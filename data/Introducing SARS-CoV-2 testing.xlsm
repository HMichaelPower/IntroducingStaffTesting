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23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chaelpower/GoogleDrive2/MIC/consulting/Papers/asymptomatic staff testing/Rscripts/data/"/>
    </mc:Choice>
  </mc:AlternateContent>
  <xr:revisionPtr revIDLastSave="0" documentId="8_{5BE2D438-308B-1449-9D70-E08FC6C73076}" xr6:coauthVersionLast="46" xr6:coauthVersionMax="46" xr10:uidLastSave="{00000000-0000-0000-0000-000000000000}"/>
  <bookViews>
    <workbookView xWindow="0" yWindow="0" windowWidth="25600" windowHeight="14400" activeTab="8" xr2:uid="{00000000-000D-0000-FFFF-FFFF00000000}"/>
  </bookViews>
  <sheets>
    <sheet name="Main output" sheetId="1" r:id="rId1"/>
    <sheet name="SA1" sheetId="3" r:id="rId2"/>
    <sheet name="SA2" sheetId="4" r:id="rId3"/>
    <sheet name="SA3" sheetId="5" r:id="rId4"/>
    <sheet name="Beta distribution calculator" sheetId="8" r:id="rId5"/>
    <sheet name="PSA" sheetId="11" r:id="rId6"/>
    <sheet name="PSA1" sheetId="10" r:id="rId7"/>
    <sheet name="PSA2" sheetId="12" r:id="rId8"/>
    <sheet name="Data for R" sheetId="13" r:id="rId9"/>
  </sheets>
  <definedNames>
    <definedName name="_xlchart.v1.0" hidden="1">'PSA2'!$B$3:$B$1002</definedName>
    <definedName name="_xlchart.v1.1" hidden="1">'PSA2'!$C$2</definedName>
    <definedName name="_xlchart.v1.2" hidden="1">'PSA2'!$C$3:$C$1002</definedName>
    <definedName name="_xlchart.v1.3" hidden="1">'PSA2'!$D$2</definedName>
    <definedName name="_xlchart.v1.4" hidden="1">'PSA2'!$D$3:$D$1002</definedName>
    <definedName name="_xlchart.v1.5" hidden="1">'PSA2'!$E$2</definedName>
    <definedName name="_xlchart.v1.6" hidden="1">'PSA2'!$E$3:$E$1002</definedName>
    <definedName name="_xlchart.v1.7" hidden="1">'PSA2'!$F$2</definedName>
    <definedName name="_xlchart.v1.8" hidden="1">'PSA2'!$F$3:$F$1002</definedName>
    <definedName name="AbsContact">'Main output'!$J$8</definedName>
    <definedName name="Absenteeism" localSheetId="1">'SA1'!$Q$21</definedName>
    <definedName name="Absenteeism" localSheetId="2">'SA2'!$R$21</definedName>
    <definedName name="Absenteeism" localSheetId="3">'SA3'!$J$14</definedName>
    <definedName name="Absenteeism">'Main output'!$J$23</definedName>
    <definedName name="AbsenteeismBaseline">PSA!$J$22</definedName>
    <definedName name="AbsenteeismLFA">PSA!$J$30</definedName>
    <definedName name="AbsenteeismNoTest">PSA!$J$23</definedName>
    <definedName name="AbsenteeismSeq" localSheetId="5">PSA!$J$25</definedName>
    <definedName name="AbsPos">PSA!$I$12</definedName>
    <definedName name="AbsPosSeq">'Main output'!$J$9</definedName>
    <definedName name="AbsTest1Pos">'Main output'!$J$6</definedName>
    <definedName name="AbsTest1Posi">PSA!$I$9</definedName>
    <definedName name="AbsTest2Pos">'Main output'!$J$7</definedName>
    <definedName name="AccuracyBaseline">PSA!$P$22</definedName>
    <definedName name="AccuracyLFA">PSA!$P$30</definedName>
    <definedName name="AccuracyNoTest">PSA!$P$23</definedName>
    <definedName name="AccuracySeq">PSA!$P$25</definedName>
    <definedName name="Appropriate" localSheetId="5">PSA!$K$25</definedName>
    <definedName name="Appropriate" localSheetId="1">'SA1'!$R$21</definedName>
    <definedName name="Appropriate" localSheetId="2">'SA2'!$S$21</definedName>
    <definedName name="Appropriate" localSheetId="3">'SA3'!$K$14</definedName>
    <definedName name="Appropriate">'Main output'!$K$23</definedName>
    <definedName name="cohort" localSheetId="5">PSA!$C$10</definedName>
    <definedName name="cohort" localSheetId="1">'SA1'!$J$3</definedName>
    <definedName name="cohort" localSheetId="2">'SA2'!$B$12</definedName>
    <definedName name="cohort" localSheetId="3">'SA3'!$S$3</definedName>
    <definedName name="cohort">'Main output'!$C$7</definedName>
    <definedName name="cohort_all" localSheetId="5">PSA!$C$9</definedName>
    <definedName name="cohort_all">'Main output'!$C$6</definedName>
    <definedName name="cohort_nonSymp" localSheetId="5">PSA!$C$10</definedName>
    <definedName name="cohort_nonSymp">'Main output'!$C$7</definedName>
    <definedName name="cohort1stRound" localSheetId="5">PSA!$C$10</definedName>
    <definedName name="cohort1stRound" localSheetId="3">'SA3'!$S$3</definedName>
    <definedName name="cohort1stRound">'Main output'!$C$7</definedName>
    <definedName name="Cohort2ndRound" localSheetId="5">PSA!$K$38</definedName>
    <definedName name="Cohort2ndRound" localSheetId="3">'SA3'!$L$6</definedName>
    <definedName name="Cohort2ndRound">'Main output'!$K$34</definedName>
    <definedName name="Cohort3rdRound" localSheetId="5">PSA!$K$39</definedName>
    <definedName name="Cohort3rdRound" localSheetId="3">'SA3'!$L$7</definedName>
    <definedName name="Cohort3rdRound">'Main output'!$K$35</definedName>
    <definedName name="contact" localSheetId="5">PSA!$I$14</definedName>
    <definedName name="contact" localSheetId="3">'SA3'!$H$8</definedName>
    <definedName name="contact">'Main output'!$J$10</definedName>
    <definedName name="corr" localSheetId="5">PSA!$C$16</definedName>
    <definedName name="corr" localSheetId="1">'SA1'!$J$9</definedName>
    <definedName name="corr" localSheetId="2">'SA2'!$H$12</definedName>
    <definedName name="corr" localSheetId="3">'SA3'!$S$9</definedName>
    <definedName name="corr">'Main output'!$C$13</definedName>
    <definedName name="FN1stRound" localSheetId="5">PSA!$K$40</definedName>
    <definedName name="FN1stRound" localSheetId="3">'SA3'!$L$8</definedName>
    <definedName name="FN1stRound">'Main output'!$K$36</definedName>
    <definedName name="FN2ndRound" localSheetId="5">PSA!$K$41</definedName>
    <definedName name="FN2ndRound" localSheetId="3">'SA3'!$L$9</definedName>
    <definedName name="FN2ndRound">'Main output'!$K$37</definedName>
    <definedName name="FNTest1" localSheetId="5">PSA!$F$25</definedName>
    <definedName name="FNTest1" localSheetId="1">'SA1'!$M$21</definedName>
    <definedName name="FNTest1" localSheetId="2">'SA2'!$N$21</definedName>
    <definedName name="FNTest1" localSheetId="3">'SA3'!$F$14</definedName>
    <definedName name="FNTest1">'Main output'!$F$23</definedName>
    <definedName name="FNTest2" localSheetId="5">PSA!$G$25</definedName>
    <definedName name="FNTest2" localSheetId="1">'SA1'!$N$21</definedName>
    <definedName name="FNTest2" localSheetId="2">'SA2'!$O$21</definedName>
    <definedName name="FNTest2" localSheetId="3">'SA3'!$G$14</definedName>
    <definedName name="FNTest2">'Main output'!$G$23</definedName>
    <definedName name="FPTest1" localSheetId="5">PSA!$D$25</definedName>
    <definedName name="FPTest1" localSheetId="1">'SA1'!$K$21</definedName>
    <definedName name="FPTest1" localSheetId="2">'SA2'!$L$21</definedName>
    <definedName name="FPTest1" localSheetId="3">'SA3'!$D$14</definedName>
    <definedName name="FPTest1">'Main output'!$D$23</definedName>
    <definedName name="FPTest2" localSheetId="5">PSA!$E$25</definedName>
    <definedName name="FPTest2" localSheetId="1">'SA1'!$L$21</definedName>
    <definedName name="FPTest2" localSheetId="2">'SA2'!$M$21</definedName>
    <definedName name="FPTest2" localSheetId="3">'SA3'!$E$14</definedName>
    <definedName name="FPTest2">'Main output'!$E$23</definedName>
    <definedName name="Glod_Sp">'Main output'!$C$16</definedName>
    <definedName name="GoldSn">'Main output'!$C$15</definedName>
    <definedName name="Inappropriate" localSheetId="5">PSA!$L$25</definedName>
    <definedName name="Inappropriate" localSheetId="1">'SA1'!$S$21</definedName>
    <definedName name="Inappropriate" localSheetId="2">'SA2'!$T$21</definedName>
    <definedName name="Inappropriate" localSheetId="3">'SA3'!$L$14</definedName>
    <definedName name="Inappropriate">'Main output'!$L$23</definedName>
    <definedName name="Incid" localSheetId="5">PSA!$C$18</definedName>
    <definedName name="Incid" localSheetId="3">'SA3'!$L$3</definedName>
    <definedName name="Incid">'Main output'!$K$31</definedName>
    <definedName name="Mean_Seq_PSA">#REF!</definedName>
    <definedName name="Prev" localSheetId="5">PSA!$C$11</definedName>
    <definedName name="prev" localSheetId="1">'SA1'!$J$4</definedName>
    <definedName name="prev" localSheetId="2">'SA2'!$C$12</definedName>
    <definedName name="Prev" localSheetId="3">'SA3'!$Q$14</definedName>
    <definedName name="Prev">'Main output'!$C$8</definedName>
    <definedName name="prev1stRound" localSheetId="5">PSA!$C$11</definedName>
    <definedName name="prev1stRound" localSheetId="3">'SA3'!$Q$14</definedName>
    <definedName name="prev1stRound">'Main output'!$C$8</definedName>
    <definedName name="Prev2ndRound" localSheetId="5">PSA!$K$36</definedName>
    <definedName name="Prev2ndRound" localSheetId="3">'SA3'!$L$4</definedName>
    <definedName name="Prev2ndRound">'Main output'!$K$32</definedName>
    <definedName name="Prev3rdRound" localSheetId="5">PSA!$K$37</definedName>
    <definedName name="Prev3rdRound" localSheetId="3">'SA3'!$L$5</definedName>
    <definedName name="Prev3rdRound">'Main output'!$K$33</definedName>
    <definedName name="prevalence" localSheetId="5">PSA!$C$11</definedName>
    <definedName name="prevalence" localSheetId="1">'SA1'!$J$4</definedName>
    <definedName name="prevalence" localSheetId="2">'SA2'!$C$12</definedName>
    <definedName name="prevalence" localSheetId="3">'SA3'!$Q$14</definedName>
    <definedName name="prevalence">'Main output'!$C$8</definedName>
    <definedName name="SD_Seq_PSA">#REF!</definedName>
    <definedName name="SnTest1" localSheetId="5">PSA!$C$12</definedName>
    <definedName name="SnTest1" localSheetId="1">'SA1'!$J$5</definedName>
    <definedName name="SnTest1" localSheetId="2">'SA2'!$D$12</definedName>
    <definedName name="SnTest1" localSheetId="3">'SA3'!$S$5</definedName>
    <definedName name="SnTest1">'Main output'!$C$9</definedName>
    <definedName name="SnTest2" localSheetId="5">PSA!$C$14</definedName>
    <definedName name="SnTest2" localSheetId="1">'SA1'!$J$7</definedName>
    <definedName name="SnTest2" localSheetId="2">'SA2'!$F$12</definedName>
    <definedName name="SnTest2" localSheetId="3">'SA3'!$S$7</definedName>
    <definedName name="SnTest2">'Main output'!$C$11</definedName>
    <definedName name="SpTest1" localSheetId="5">PSA!$C$13</definedName>
    <definedName name="SpTest1" localSheetId="1">'SA1'!$J$6</definedName>
    <definedName name="SpTest1" localSheetId="2">'SA2'!$E$12</definedName>
    <definedName name="SpTest1" localSheetId="3">'SA3'!$S$6</definedName>
    <definedName name="SpTest1">'Main output'!$C$10</definedName>
    <definedName name="SpTest2" localSheetId="5">PSA!$C$15</definedName>
    <definedName name="SpTest2" localSheetId="1">'SA1'!$J$8</definedName>
    <definedName name="SpTest2" localSheetId="2">'SA2'!$G$12</definedName>
    <definedName name="SpTest2" localSheetId="3">'SA3'!$S$8</definedName>
    <definedName name="SpTest2">'Main output'!$C$12</definedName>
    <definedName name="SwitchSnTest1" localSheetId="5">PSA!#REF!</definedName>
    <definedName name="SwitchSnTest1">'Main output'!#REF!</definedName>
    <definedName name="Symp_Cases" localSheetId="5">PSA!#REF!</definedName>
    <definedName name="Symp_Cases">'Main output'!$D$13</definedName>
    <definedName name="Symptomatic" localSheetId="5">PSA!$C$17</definedName>
    <definedName name="Symptomatic" localSheetId="3">'SA3'!$S$10</definedName>
    <definedName name="Symptomatic">'Main output'!$C$14</definedName>
    <definedName name="TNTest1" localSheetId="5">PSA!$H$25</definedName>
    <definedName name="TNTest1" localSheetId="1">'SA1'!$O$21</definedName>
    <definedName name="TNTest1" localSheetId="2">'SA2'!$P$21</definedName>
    <definedName name="TNTest1" localSheetId="3">'SA3'!$H$14</definedName>
    <definedName name="TNTest1">'Main output'!$H$23</definedName>
    <definedName name="TNTest2" localSheetId="5">PSA!$I$25</definedName>
    <definedName name="TNTest2" localSheetId="1">'SA1'!$P$21</definedName>
    <definedName name="TNTest2" localSheetId="2">'SA2'!$Q$21</definedName>
    <definedName name="TNTest2" localSheetId="3">'SA3'!$I$14</definedName>
    <definedName name="TNTest2">'Main output'!$I$23</definedName>
    <definedName name="TNTest2_2ndRound" localSheetId="5">PSA!$I$26</definedName>
    <definedName name="TNTest2_2ndRound" localSheetId="3">'SA3'!#REF!</definedName>
    <definedName name="TNTest2_2ndRound">'Main output'!$I$24</definedName>
    <definedName name="TNTest2_3rdRound" localSheetId="5">PSA!$I$27</definedName>
    <definedName name="TNTest2_3rdRound" localSheetId="3">'SA3'!#REF!</definedName>
    <definedName name="TNTest2_3rdRound">'Main output'!$I$25</definedName>
    <definedName name="Total_SnParallel" localSheetId="5">PSA!$N$37</definedName>
    <definedName name="Total_SnParallel" localSheetId="3">'SA3'!$P$5</definedName>
    <definedName name="Total_SnParallel">'Main output'!$N$33</definedName>
    <definedName name="Total_SnSeq" localSheetId="5">PSA!$N$35</definedName>
    <definedName name="Total_SnSeq" localSheetId="3">'SA3'!$P$3</definedName>
    <definedName name="Total_SnSeq">'Main output'!$N$31</definedName>
    <definedName name="Total_SpParallel" localSheetId="5">PSA!$N$38</definedName>
    <definedName name="Total_SpParallel" localSheetId="3">'SA3'!$P$6</definedName>
    <definedName name="Total_SpParallel">'Main output'!$N$34</definedName>
    <definedName name="Total_SpSeq" localSheetId="5">PSA!$N$36</definedName>
    <definedName name="Total_SpSeq" localSheetId="3">'SA3'!$P$4</definedName>
    <definedName name="Total_SpSeq">'Main output'!$N$32</definedName>
    <definedName name="TPs2ndRound" localSheetId="5">PSA!$C$26</definedName>
    <definedName name="TPs2ndRound" localSheetId="3">'SA3'!#REF!</definedName>
    <definedName name="TPs2ndRound">'Main output'!$C$24</definedName>
    <definedName name="TPs3rdRound" localSheetId="5">PSA!$C$27</definedName>
    <definedName name="TPs3rdRound" localSheetId="3">'SA3'!#REF!</definedName>
    <definedName name="TPs3rdRound">'Main output'!$C$25</definedName>
    <definedName name="TPSeq" localSheetId="5">PSA!$C$25</definedName>
    <definedName name="TPSeq" localSheetId="1">'SA1'!$J$21</definedName>
    <definedName name="TPSeq" localSheetId="2">'SA2'!$K$21</definedName>
    <definedName name="TPSeq" localSheetId="3">'SA3'!$C$14</definedName>
    <definedName name="TPSeq">'Main output'!$C$23</definedName>
    <definedName name="TPSeq2ndRound" localSheetId="5">PSA!$C$26</definedName>
    <definedName name="TPSeq2ndRound" localSheetId="3">'SA3'!#REF!</definedName>
    <definedName name="TPSeq2ndRound">'Main output'!$C$24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7" i="12" l="1"/>
  <c r="R31" i="12" s="1"/>
  <c r="R26" i="12"/>
  <c r="R30" i="12" s="1"/>
  <c r="R23" i="12"/>
  <c r="R22" i="12"/>
  <c r="R21" i="12"/>
  <c r="R25" i="12" s="1"/>
  <c r="R29" i="12" s="1"/>
  <c r="R20" i="12"/>
  <c r="R24" i="12" s="1"/>
  <c r="R28" i="12" s="1"/>
  <c r="R19" i="12"/>
  <c r="R18" i="12"/>
  <c r="R17" i="12"/>
  <c r="R16" i="12"/>
  <c r="R13" i="12"/>
  <c r="R12" i="12"/>
  <c r="R11" i="12"/>
  <c r="R15" i="12" s="1"/>
  <c r="R10" i="12"/>
  <c r="R14" i="12" s="1"/>
  <c r="R9" i="12"/>
  <c r="R8" i="12"/>
  <c r="C21" i="1"/>
  <c r="C42" i="1" l="1"/>
  <c r="D42" i="1"/>
  <c r="P42" i="1" l="1"/>
  <c r="G37" i="11"/>
  <c r="G36" i="11"/>
  <c r="E8" i="8"/>
  <c r="F37" i="11"/>
  <c r="F36" i="11"/>
  <c r="C37" i="11"/>
  <c r="C36" i="11"/>
  <c r="E11" i="11" l="1"/>
  <c r="E37" i="11" l="1"/>
  <c r="E36" i="11"/>
  <c r="S7" i="11" l="1"/>
  <c r="S6" i="11"/>
  <c r="R7" i="11" l="1"/>
  <c r="R6" i="11"/>
  <c r="S9" i="11"/>
  <c r="O7" i="11"/>
  <c r="O9" i="11"/>
  <c r="R9" i="11"/>
  <c r="S5" i="11"/>
  <c r="R5" i="11"/>
  <c r="N9" i="11"/>
  <c r="N7" i="11"/>
  <c r="G18" i="11" l="1"/>
  <c r="G17" i="11"/>
  <c r="N6" i="11"/>
  <c r="O5" i="11" l="1"/>
  <c r="N5" i="11"/>
  <c r="O6" i="11"/>
  <c r="C7" i="1"/>
  <c r="C19" i="1" l="1"/>
  <c r="C40" i="1" s="1"/>
  <c r="I21" i="1"/>
  <c r="G21" i="1"/>
  <c r="F12" i="1"/>
  <c r="F13" i="1" s="1"/>
  <c r="I19" i="1"/>
  <c r="G19" i="1"/>
  <c r="E40" i="1" s="1"/>
  <c r="E19" i="1"/>
  <c r="D40" i="1" s="1"/>
  <c r="P40" i="1" s="1"/>
  <c r="C36" i="1"/>
  <c r="K14" i="11"/>
  <c r="J14" i="11"/>
  <c r="J10" i="11"/>
  <c r="I10" i="11" s="1"/>
  <c r="K10" i="11"/>
  <c r="K9" i="11"/>
  <c r="J9" i="11"/>
  <c r="I9" i="11" s="1"/>
  <c r="E18" i="11"/>
  <c r="C18" i="11" s="1"/>
  <c r="C16" i="11"/>
  <c r="E17" i="11"/>
  <c r="C17" i="11" s="1"/>
  <c r="C11" i="11"/>
  <c r="E10" i="11"/>
  <c r="D10" i="11"/>
  <c r="D9" i="11"/>
  <c r="I14" i="11" l="1"/>
  <c r="I11" i="11" s="1"/>
  <c r="J40" i="1"/>
  <c r="F40" i="1"/>
  <c r="L40" i="1" s="1"/>
  <c r="C12" i="1"/>
  <c r="D15" i="11" s="1"/>
  <c r="C15" i="11" s="1"/>
  <c r="C10" i="11"/>
  <c r="E9" i="11"/>
  <c r="C9" i="11" s="1"/>
  <c r="C33" i="1"/>
  <c r="C35" i="1"/>
  <c r="C34" i="1"/>
  <c r="C32" i="1"/>
  <c r="C31" i="1"/>
  <c r="J8" i="1"/>
  <c r="F42" i="1"/>
  <c r="E42" i="1"/>
  <c r="M42" i="1" l="1"/>
  <c r="L42" i="1"/>
  <c r="M40" i="1"/>
  <c r="J42" i="1"/>
  <c r="J11" i="1"/>
  <c r="J9" i="1"/>
  <c r="C11" i="1"/>
  <c r="C20" i="1" s="1"/>
  <c r="C41" i="1" s="1"/>
  <c r="I12" i="11"/>
  <c r="C10" i="1"/>
  <c r="H23" i="1" s="1"/>
  <c r="C23" i="11"/>
  <c r="I23" i="11"/>
  <c r="G23" i="11"/>
  <c r="I22" i="11"/>
  <c r="E22" i="11"/>
  <c r="C9" i="1"/>
  <c r="C22" i="1" l="1"/>
  <c r="C23" i="1"/>
  <c r="C44" i="1" s="1"/>
  <c r="J21" i="1"/>
  <c r="K21" i="1"/>
  <c r="M21" i="1"/>
  <c r="J19" i="1"/>
  <c r="M19" i="1"/>
  <c r="K19" i="1"/>
  <c r="D14" i="11"/>
  <c r="C14" i="11" s="1"/>
  <c r="G22" i="11" s="1"/>
  <c r="M22" i="11" s="1"/>
  <c r="G20" i="1"/>
  <c r="E41" i="1" s="1"/>
  <c r="E28" i="1"/>
  <c r="D43" i="1" s="1"/>
  <c r="D23" i="1"/>
  <c r="M23" i="11"/>
  <c r="K23" i="11"/>
  <c r="J23" i="11"/>
  <c r="G28" i="1"/>
  <c r="N31" i="1"/>
  <c r="I57" i="1" s="1"/>
  <c r="H57" i="1"/>
  <c r="I23" i="1"/>
  <c r="F44" i="1" s="1"/>
  <c r="I28" i="1"/>
  <c r="D13" i="11"/>
  <c r="C13" i="11" s="1"/>
  <c r="C28" i="1"/>
  <c r="C43" i="1" s="1"/>
  <c r="D12" i="11"/>
  <c r="C12" i="11" s="1"/>
  <c r="P43" i="1" l="1"/>
  <c r="J43" i="1"/>
  <c r="F43" i="1"/>
  <c r="M28" i="1"/>
  <c r="E43" i="1"/>
  <c r="H40" i="1"/>
  <c r="N19" i="1"/>
  <c r="K40" i="1"/>
  <c r="O40" i="1" s="1"/>
  <c r="O19" i="1"/>
  <c r="G40" i="1"/>
  <c r="L19" i="1"/>
  <c r="I40" i="1" s="1"/>
  <c r="C22" i="11"/>
  <c r="J28" i="1"/>
  <c r="K28" i="1"/>
  <c r="L23" i="11"/>
  <c r="E23" i="1"/>
  <c r="G23" i="1"/>
  <c r="N36" i="11"/>
  <c r="E30" i="11"/>
  <c r="N38" i="11"/>
  <c r="N35" i="11"/>
  <c r="N37" i="11"/>
  <c r="K40" i="11"/>
  <c r="K38" i="11"/>
  <c r="N23" i="11"/>
  <c r="O23" i="11"/>
  <c r="C25" i="11"/>
  <c r="H25" i="11"/>
  <c r="I30" i="11"/>
  <c r="I25" i="11"/>
  <c r="E25" i="11" s="1"/>
  <c r="E24" i="11"/>
  <c r="I24" i="11"/>
  <c r="D25" i="11"/>
  <c r="G30" i="11"/>
  <c r="M30" i="11" s="1"/>
  <c r="F25" i="11"/>
  <c r="G24" i="11"/>
  <c r="M24" i="11" s="1"/>
  <c r="C30" i="11"/>
  <c r="K30" i="11" s="1"/>
  <c r="C24" i="11"/>
  <c r="N40" i="1" l="1"/>
  <c r="M43" i="1"/>
  <c r="L43" i="1"/>
  <c r="D44" i="1"/>
  <c r="P44" i="1" s="1"/>
  <c r="L23" i="1"/>
  <c r="P19" i="1"/>
  <c r="Q40" i="1" s="1"/>
  <c r="K23" i="1"/>
  <c r="J23" i="1"/>
  <c r="K22" i="11"/>
  <c r="J22" i="11"/>
  <c r="J30" i="11"/>
  <c r="L30" i="11" s="1"/>
  <c r="K36" i="11"/>
  <c r="K41" i="11" s="1"/>
  <c r="P23" i="11"/>
  <c r="G25" i="11"/>
  <c r="M25" i="11" s="1"/>
  <c r="Q23" i="11"/>
  <c r="Q24" i="11"/>
  <c r="Q22" i="11"/>
  <c r="J24" i="11"/>
  <c r="K24" i="11"/>
  <c r="Q30" i="11"/>
  <c r="Q25" i="11"/>
  <c r="I20" i="8"/>
  <c r="L17" i="8"/>
  <c r="M17" i="8"/>
  <c r="L20" i="8"/>
  <c r="L22" i="11" l="1"/>
  <c r="N22" i="11"/>
  <c r="O22" i="11"/>
  <c r="J25" i="11"/>
  <c r="K25" i="11"/>
  <c r="O25" i="11" s="1"/>
  <c r="K39" i="11"/>
  <c r="K37" i="11" s="1"/>
  <c r="D27" i="11" s="1"/>
  <c r="L24" i="11"/>
  <c r="O30" i="11"/>
  <c r="N30" i="11"/>
  <c r="O24" i="11"/>
  <c r="N24" i="11"/>
  <c r="I17" i="8"/>
  <c r="E6" i="8"/>
  <c r="C6" i="8"/>
  <c r="P22" i="11" l="1"/>
  <c r="L25" i="11"/>
  <c r="N25" i="11"/>
  <c r="P25" i="11" s="1"/>
  <c r="C27" i="11"/>
  <c r="P30" i="11"/>
  <c r="P24" i="11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16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7" i="5"/>
  <c r="C16" i="5"/>
  <c r="I15" i="5"/>
  <c r="H15" i="5"/>
  <c r="F15" i="5"/>
  <c r="D15" i="5"/>
  <c r="C15" i="5"/>
  <c r="D14" i="5"/>
  <c r="C14" i="5"/>
  <c r="G48" i="5" s="1"/>
  <c r="P3" i="5"/>
  <c r="P4" i="5"/>
  <c r="P5" i="5"/>
  <c r="P6" i="5"/>
  <c r="I14" i="5"/>
  <c r="E560" i="5" s="1"/>
  <c r="H14" i="5"/>
  <c r="F14" i="5"/>
  <c r="H5" i="5"/>
  <c r="H6" i="5" s="1"/>
  <c r="J21" i="3"/>
  <c r="E21" i="5" l="1"/>
  <c r="E22" i="5"/>
  <c r="E38" i="5"/>
  <c r="E54" i="5"/>
  <c r="E70" i="5"/>
  <c r="E82" i="5"/>
  <c r="E93" i="5"/>
  <c r="E104" i="5"/>
  <c r="E114" i="5"/>
  <c r="E125" i="5"/>
  <c r="E136" i="5"/>
  <c r="E146" i="5"/>
  <c r="E157" i="5"/>
  <c r="E168" i="5"/>
  <c r="E178" i="5"/>
  <c r="E189" i="5"/>
  <c r="E200" i="5"/>
  <c r="E210" i="5"/>
  <c r="E221" i="5"/>
  <c r="E232" i="5"/>
  <c r="E242" i="5"/>
  <c r="E253" i="5"/>
  <c r="E264" i="5"/>
  <c r="E274" i="5"/>
  <c r="E285" i="5"/>
  <c r="E296" i="5"/>
  <c r="E306" i="5"/>
  <c r="E317" i="5"/>
  <c r="E328" i="5"/>
  <c r="E338" i="5"/>
  <c r="E349" i="5"/>
  <c r="E360" i="5"/>
  <c r="E370" i="5"/>
  <c r="E381" i="5"/>
  <c r="E392" i="5"/>
  <c r="E402" i="5"/>
  <c r="E413" i="5"/>
  <c r="E424" i="5"/>
  <c r="E434" i="5"/>
  <c r="E445" i="5"/>
  <c r="E456" i="5"/>
  <c r="E466" i="5"/>
  <c r="E477" i="5"/>
  <c r="E488" i="5"/>
  <c r="E498" i="5"/>
  <c r="E509" i="5"/>
  <c r="E520" i="5"/>
  <c r="E530" i="5"/>
  <c r="E541" i="5"/>
  <c r="E552" i="5"/>
  <c r="E562" i="5"/>
  <c r="E573" i="5"/>
  <c r="E18" i="5"/>
  <c r="E50" i="5"/>
  <c r="E80" i="5"/>
  <c r="E101" i="5"/>
  <c r="E112" i="5"/>
  <c r="E133" i="5"/>
  <c r="E154" i="5"/>
  <c r="E176" i="5"/>
  <c r="E208" i="5"/>
  <c r="E218" i="5"/>
  <c r="E250" i="5"/>
  <c r="E282" i="5"/>
  <c r="E293" i="5"/>
  <c r="E325" i="5"/>
  <c r="E357" i="5"/>
  <c r="E389" i="5"/>
  <c r="E410" i="5"/>
  <c r="E442" i="5"/>
  <c r="E464" i="5"/>
  <c r="E496" i="5"/>
  <c r="E528" i="5"/>
  <c r="E26" i="5"/>
  <c r="E42" i="5"/>
  <c r="E58" i="5"/>
  <c r="E74" i="5"/>
  <c r="E85" i="5"/>
  <c r="E96" i="5"/>
  <c r="E106" i="5"/>
  <c r="E117" i="5"/>
  <c r="E128" i="5"/>
  <c r="E138" i="5"/>
  <c r="E149" i="5"/>
  <c r="E160" i="5"/>
  <c r="E170" i="5"/>
  <c r="E181" i="5"/>
  <c r="E192" i="5"/>
  <c r="E202" i="5"/>
  <c r="J202" i="5" s="1"/>
  <c r="E213" i="5"/>
  <c r="E224" i="5"/>
  <c r="E234" i="5"/>
  <c r="E245" i="5"/>
  <c r="E256" i="5"/>
  <c r="E266" i="5"/>
  <c r="E277" i="5"/>
  <c r="E288" i="5"/>
  <c r="E298" i="5"/>
  <c r="E309" i="5"/>
  <c r="E320" i="5"/>
  <c r="E330" i="5"/>
  <c r="J330" i="5" s="1"/>
  <c r="L330" i="5" s="1"/>
  <c r="E341" i="5"/>
  <c r="E352" i="5"/>
  <c r="E362" i="5"/>
  <c r="E373" i="5"/>
  <c r="E384" i="5"/>
  <c r="E394" i="5"/>
  <c r="E405" i="5"/>
  <c r="E416" i="5"/>
  <c r="E426" i="5"/>
  <c r="E437" i="5"/>
  <c r="E448" i="5"/>
  <c r="E458" i="5"/>
  <c r="E469" i="5"/>
  <c r="E480" i="5"/>
  <c r="E490" i="5"/>
  <c r="E501" i="5"/>
  <c r="E512" i="5"/>
  <c r="E522" i="5"/>
  <c r="E533" i="5"/>
  <c r="E544" i="5"/>
  <c r="E554" i="5"/>
  <c r="E565" i="5"/>
  <c r="E576" i="5"/>
  <c r="E34" i="5"/>
  <c r="E66" i="5"/>
  <c r="E90" i="5"/>
  <c r="E122" i="5"/>
  <c r="E144" i="5"/>
  <c r="E165" i="5"/>
  <c r="E197" i="5"/>
  <c r="E229" i="5"/>
  <c r="E261" i="5"/>
  <c r="E304" i="5"/>
  <c r="E336" i="5"/>
  <c r="E368" i="5"/>
  <c r="E400" i="5"/>
  <c r="E432" i="5"/>
  <c r="E474" i="5"/>
  <c r="E506" i="5"/>
  <c r="E538" i="5"/>
  <c r="E30" i="5"/>
  <c r="E46" i="5"/>
  <c r="E62" i="5"/>
  <c r="E77" i="5"/>
  <c r="E88" i="5"/>
  <c r="E98" i="5"/>
  <c r="E109" i="5"/>
  <c r="E120" i="5"/>
  <c r="J120" i="5" s="1"/>
  <c r="E130" i="5"/>
  <c r="E141" i="5"/>
  <c r="E152" i="5"/>
  <c r="E162" i="5"/>
  <c r="E173" i="5"/>
  <c r="E184" i="5"/>
  <c r="E194" i="5"/>
  <c r="E205" i="5"/>
  <c r="E216" i="5"/>
  <c r="E226" i="5"/>
  <c r="E237" i="5"/>
  <c r="E248" i="5"/>
  <c r="E258" i="5"/>
  <c r="E269" i="5"/>
  <c r="E280" i="5"/>
  <c r="E290" i="5"/>
  <c r="E301" i="5"/>
  <c r="E312" i="5"/>
  <c r="E322" i="5"/>
  <c r="E333" i="5"/>
  <c r="E344" i="5"/>
  <c r="E354" i="5"/>
  <c r="E365" i="5"/>
  <c r="E376" i="5"/>
  <c r="E386" i="5"/>
  <c r="E397" i="5"/>
  <c r="E408" i="5"/>
  <c r="E418" i="5"/>
  <c r="E429" i="5"/>
  <c r="E440" i="5"/>
  <c r="E450" i="5"/>
  <c r="E461" i="5"/>
  <c r="E472" i="5"/>
  <c r="E482" i="5"/>
  <c r="E493" i="5"/>
  <c r="E504" i="5"/>
  <c r="E514" i="5"/>
  <c r="E525" i="5"/>
  <c r="E536" i="5"/>
  <c r="E546" i="5"/>
  <c r="E557" i="5"/>
  <c r="E568" i="5"/>
  <c r="E186" i="5"/>
  <c r="E240" i="5"/>
  <c r="E272" i="5"/>
  <c r="E314" i="5"/>
  <c r="E346" i="5"/>
  <c r="E378" i="5"/>
  <c r="E421" i="5"/>
  <c r="E453" i="5"/>
  <c r="E485" i="5"/>
  <c r="E517" i="5"/>
  <c r="E549" i="5"/>
  <c r="E570" i="5"/>
  <c r="K238" i="5"/>
  <c r="K143" i="5"/>
  <c r="K555" i="5"/>
  <c r="K539" i="5"/>
  <c r="K523" i="5"/>
  <c r="K491" i="5"/>
  <c r="K475" i="5"/>
  <c r="K459" i="5"/>
  <c r="K427" i="5"/>
  <c r="K411" i="5"/>
  <c r="K363" i="5"/>
  <c r="K347" i="5"/>
  <c r="K299" i="5"/>
  <c r="K259" i="5"/>
  <c r="K207" i="5"/>
  <c r="K155" i="5"/>
  <c r="K147" i="5"/>
  <c r="K131" i="5"/>
  <c r="K119" i="5"/>
  <c r="K111" i="5"/>
  <c r="K95" i="5"/>
  <c r="K83" i="5"/>
  <c r="K71" i="5"/>
  <c r="K63" i="5"/>
  <c r="K51" i="5"/>
  <c r="K39" i="5"/>
  <c r="K27" i="5"/>
  <c r="K573" i="5"/>
  <c r="K561" i="5"/>
  <c r="K549" i="5"/>
  <c r="K537" i="5"/>
  <c r="K525" i="5"/>
  <c r="K513" i="5"/>
  <c r="K501" i="5"/>
  <c r="K489" i="5"/>
  <c r="K477" i="5"/>
  <c r="K465" i="5"/>
  <c r="K453" i="5"/>
  <c r="K441" i="5"/>
  <c r="K429" i="5"/>
  <c r="K417" i="5"/>
  <c r="K405" i="5"/>
  <c r="K401" i="5"/>
  <c r="K389" i="5"/>
  <c r="K377" i="5"/>
  <c r="K365" i="5"/>
  <c r="K353" i="5"/>
  <c r="K341" i="5"/>
  <c r="K329" i="5"/>
  <c r="K317" i="5"/>
  <c r="K305" i="5"/>
  <c r="K301" i="5"/>
  <c r="K293" i="5"/>
  <c r="K285" i="5"/>
  <c r="K277" i="5"/>
  <c r="K273" i="5"/>
  <c r="K269" i="5"/>
  <c r="K265" i="5"/>
  <c r="K261" i="5"/>
  <c r="K257" i="5"/>
  <c r="K253" i="5"/>
  <c r="K249" i="5"/>
  <c r="K245" i="5"/>
  <c r="K241" i="5"/>
  <c r="K237" i="5"/>
  <c r="K233" i="5"/>
  <c r="K229" i="5"/>
  <c r="K225" i="5"/>
  <c r="K221" i="5"/>
  <c r="K217" i="5"/>
  <c r="K213" i="5"/>
  <c r="K209" i="5"/>
  <c r="K205" i="5"/>
  <c r="K201" i="5"/>
  <c r="K197" i="5"/>
  <c r="K193" i="5"/>
  <c r="K189" i="5"/>
  <c r="K185" i="5"/>
  <c r="K181" i="5"/>
  <c r="K177" i="5"/>
  <c r="K173" i="5"/>
  <c r="K169" i="5"/>
  <c r="K165" i="5"/>
  <c r="G564" i="5"/>
  <c r="M564" i="5" s="1"/>
  <c r="G548" i="5"/>
  <c r="M548" i="5" s="1"/>
  <c r="G532" i="5"/>
  <c r="G516" i="5"/>
  <c r="G500" i="5"/>
  <c r="M500" i="5" s="1"/>
  <c r="G484" i="5"/>
  <c r="M484" i="5" s="1"/>
  <c r="G468" i="5"/>
  <c r="G452" i="5"/>
  <c r="M452" i="5" s="1"/>
  <c r="O452" i="5" s="1"/>
  <c r="G436" i="5"/>
  <c r="M436" i="5" s="1"/>
  <c r="G420" i="5"/>
  <c r="M420" i="5" s="1"/>
  <c r="G404" i="5"/>
  <c r="G388" i="5"/>
  <c r="G372" i="5"/>
  <c r="M372" i="5" s="1"/>
  <c r="G356" i="5"/>
  <c r="M356" i="5" s="1"/>
  <c r="G340" i="5"/>
  <c r="G324" i="5"/>
  <c r="G308" i="5"/>
  <c r="G292" i="5"/>
  <c r="M292" i="5" s="1"/>
  <c r="G276" i="5"/>
  <c r="M276" i="5" s="1"/>
  <c r="O276" i="5" s="1"/>
  <c r="G260" i="5"/>
  <c r="G244" i="5"/>
  <c r="M244" i="5" s="1"/>
  <c r="G228" i="5"/>
  <c r="G212" i="5"/>
  <c r="G196" i="5"/>
  <c r="M196" i="5" s="1"/>
  <c r="G180" i="5"/>
  <c r="M180" i="5" s="1"/>
  <c r="G164" i="5"/>
  <c r="M164" i="5" s="1"/>
  <c r="G145" i="5"/>
  <c r="G124" i="5"/>
  <c r="G96" i="5"/>
  <c r="M96" i="5" s="1"/>
  <c r="G64" i="5"/>
  <c r="G32" i="5"/>
  <c r="M32" i="5" s="1"/>
  <c r="O32" i="5" s="1"/>
  <c r="K162" i="5"/>
  <c r="K158" i="5"/>
  <c r="K154" i="5"/>
  <c r="K150" i="5"/>
  <c r="K146" i="5"/>
  <c r="K142" i="5"/>
  <c r="K138" i="5"/>
  <c r="K134" i="5"/>
  <c r="K130" i="5"/>
  <c r="K126" i="5"/>
  <c r="K122" i="5"/>
  <c r="K118" i="5"/>
  <c r="K114" i="5"/>
  <c r="K110" i="5"/>
  <c r="K106" i="5"/>
  <c r="K102" i="5"/>
  <c r="K98" i="5"/>
  <c r="K94" i="5"/>
  <c r="K90" i="5"/>
  <c r="K86" i="5"/>
  <c r="K82" i="5"/>
  <c r="K78" i="5"/>
  <c r="K74" i="5"/>
  <c r="K70" i="5"/>
  <c r="K66" i="5"/>
  <c r="K62" i="5"/>
  <c r="K58" i="5"/>
  <c r="K54" i="5"/>
  <c r="K50" i="5"/>
  <c r="K46" i="5"/>
  <c r="K42" i="5"/>
  <c r="K38" i="5"/>
  <c r="K34" i="5"/>
  <c r="K30" i="5"/>
  <c r="K26" i="5"/>
  <c r="K22" i="5"/>
  <c r="K18" i="5"/>
  <c r="K576" i="5"/>
  <c r="K572" i="5"/>
  <c r="K568" i="5"/>
  <c r="K564" i="5"/>
  <c r="K560" i="5"/>
  <c r="K556" i="5"/>
  <c r="K552" i="5"/>
  <c r="K548" i="5"/>
  <c r="K544" i="5"/>
  <c r="K540" i="5"/>
  <c r="K536" i="5"/>
  <c r="K532" i="5"/>
  <c r="K528" i="5"/>
  <c r="K524" i="5"/>
  <c r="K520" i="5"/>
  <c r="K516" i="5"/>
  <c r="K512" i="5"/>
  <c r="K508" i="5"/>
  <c r="K504" i="5"/>
  <c r="K500" i="5"/>
  <c r="K496" i="5"/>
  <c r="K492" i="5"/>
  <c r="K488" i="5"/>
  <c r="K484" i="5"/>
  <c r="K480" i="5"/>
  <c r="K476" i="5"/>
  <c r="K472" i="5"/>
  <c r="K468" i="5"/>
  <c r="K464" i="5"/>
  <c r="K460" i="5"/>
  <c r="K456" i="5"/>
  <c r="K452" i="5"/>
  <c r="K448" i="5"/>
  <c r="K444" i="5"/>
  <c r="K440" i="5"/>
  <c r="K436" i="5"/>
  <c r="K432" i="5"/>
  <c r="K428" i="5"/>
  <c r="K424" i="5"/>
  <c r="K420" i="5"/>
  <c r="K416" i="5"/>
  <c r="K412" i="5"/>
  <c r="K408" i="5"/>
  <c r="K404" i="5"/>
  <c r="K400" i="5"/>
  <c r="K396" i="5"/>
  <c r="K392" i="5"/>
  <c r="K388" i="5"/>
  <c r="K384" i="5"/>
  <c r="K380" i="5"/>
  <c r="K376" i="5"/>
  <c r="K372" i="5"/>
  <c r="K368" i="5"/>
  <c r="K364" i="5"/>
  <c r="K360" i="5"/>
  <c r="K356" i="5"/>
  <c r="K352" i="5"/>
  <c r="K348" i="5"/>
  <c r="K344" i="5"/>
  <c r="K340" i="5"/>
  <c r="K336" i="5"/>
  <c r="K332" i="5"/>
  <c r="K328" i="5"/>
  <c r="K324" i="5"/>
  <c r="K320" i="5"/>
  <c r="K316" i="5"/>
  <c r="K312" i="5"/>
  <c r="K308" i="5"/>
  <c r="K304" i="5"/>
  <c r="K300" i="5"/>
  <c r="K296" i="5"/>
  <c r="K292" i="5"/>
  <c r="K288" i="5"/>
  <c r="K284" i="5"/>
  <c r="K280" i="5"/>
  <c r="K276" i="5"/>
  <c r="K272" i="5"/>
  <c r="K268" i="5"/>
  <c r="K264" i="5"/>
  <c r="K260" i="5"/>
  <c r="K256" i="5"/>
  <c r="K252" i="5"/>
  <c r="K248" i="5"/>
  <c r="K244" i="5"/>
  <c r="K240" i="5"/>
  <c r="K236" i="5"/>
  <c r="K232" i="5"/>
  <c r="K228" i="5"/>
  <c r="K224" i="5"/>
  <c r="K220" i="5"/>
  <c r="K216" i="5"/>
  <c r="K212" i="5"/>
  <c r="K208" i="5"/>
  <c r="K204" i="5"/>
  <c r="K200" i="5"/>
  <c r="K196" i="5"/>
  <c r="K192" i="5"/>
  <c r="K188" i="5"/>
  <c r="K184" i="5"/>
  <c r="K180" i="5"/>
  <c r="K176" i="5"/>
  <c r="K172" i="5"/>
  <c r="K168" i="5"/>
  <c r="K164" i="5"/>
  <c r="E16" i="5"/>
  <c r="E572" i="5"/>
  <c r="E566" i="5"/>
  <c r="E561" i="5"/>
  <c r="E556" i="5"/>
  <c r="E550" i="5"/>
  <c r="E545" i="5"/>
  <c r="E540" i="5"/>
  <c r="E534" i="5"/>
  <c r="E529" i="5"/>
  <c r="E524" i="5"/>
  <c r="E518" i="5"/>
  <c r="E513" i="5"/>
  <c r="E508" i="5"/>
  <c r="E502" i="5"/>
  <c r="E497" i="5"/>
  <c r="E492" i="5"/>
  <c r="E486" i="5"/>
  <c r="E481" i="5"/>
  <c r="E476" i="5"/>
  <c r="E470" i="5"/>
  <c r="E465" i="5"/>
  <c r="E460" i="5"/>
  <c r="E454" i="5"/>
  <c r="E449" i="5"/>
  <c r="E444" i="5"/>
  <c r="E438" i="5"/>
  <c r="E433" i="5"/>
  <c r="E428" i="5"/>
  <c r="E422" i="5"/>
  <c r="E417" i="5"/>
  <c r="E412" i="5"/>
  <c r="E406" i="5"/>
  <c r="E401" i="5"/>
  <c r="E396" i="5"/>
  <c r="E390" i="5"/>
  <c r="E385" i="5"/>
  <c r="E380" i="5"/>
  <c r="E374" i="5"/>
  <c r="E369" i="5"/>
  <c r="E364" i="5"/>
  <c r="E358" i="5"/>
  <c r="E353" i="5"/>
  <c r="E348" i="5"/>
  <c r="E342" i="5"/>
  <c r="E337" i="5"/>
  <c r="J337" i="5" s="1"/>
  <c r="L337" i="5" s="1"/>
  <c r="E332" i="5"/>
  <c r="E326" i="5"/>
  <c r="E321" i="5"/>
  <c r="E316" i="5"/>
  <c r="E310" i="5"/>
  <c r="E305" i="5"/>
  <c r="E300" i="5"/>
  <c r="E294" i="5"/>
  <c r="E289" i="5"/>
  <c r="E284" i="5"/>
  <c r="E278" i="5"/>
  <c r="E273" i="5"/>
  <c r="E268" i="5"/>
  <c r="E262" i="5"/>
  <c r="E257" i="5"/>
  <c r="E252" i="5"/>
  <c r="E246" i="5"/>
  <c r="E241" i="5"/>
  <c r="E236" i="5"/>
  <c r="E230" i="5"/>
  <c r="E225" i="5"/>
  <c r="E220" i="5"/>
  <c r="E214" i="5"/>
  <c r="E209" i="5"/>
  <c r="E204" i="5"/>
  <c r="E198" i="5"/>
  <c r="E193" i="5"/>
  <c r="E188" i="5"/>
  <c r="E182" i="5"/>
  <c r="E177" i="5"/>
  <c r="E172" i="5"/>
  <c r="E166" i="5"/>
  <c r="E161" i="5"/>
  <c r="E156" i="5"/>
  <c r="E150" i="5"/>
  <c r="E145" i="5"/>
  <c r="J145" i="5" s="1"/>
  <c r="E140" i="5"/>
  <c r="E134" i="5"/>
  <c r="E129" i="5"/>
  <c r="E124" i="5"/>
  <c r="J124" i="5" s="1"/>
  <c r="E118" i="5"/>
  <c r="E113" i="5"/>
  <c r="E108" i="5"/>
  <c r="E102" i="5"/>
  <c r="E97" i="5"/>
  <c r="E92" i="5"/>
  <c r="E86" i="5"/>
  <c r="E81" i="5"/>
  <c r="E76" i="5"/>
  <c r="E69" i="5"/>
  <c r="E61" i="5"/>
  <c r="E53" i="5"/>
  <c r="E45" i="5"/>
  <c r="E37" i="5"/>
  <c r="E29" i="5"/>
  <c r="M228" i="5"/>
  <c r="M48" i="5"/>
  <c r="G576" i="5"/>
  <c r="G560" i="5"/>
  <c r="J560" i="5" s="1"/>
  <c r="L560" i="5" s="1"/>
  <c r="G544" i="5"/>
  <c r="J544" i="5" s="1"/>
  <c r="L544" i="5" s="1"/>
  <c r="G528" i="5"/>
  <c r="J528" i="5" s="1"/>
  <c r="G512" i="5"/>
  <c r="G496" i="5"/>
  <c r="M496" i="5" s="1"/>
  <c r="O496" i="5" s="1"/>
  <c r="G480" i="5"/>
  <c r="J480" i="5" s="1"/>
  <c r="L480" i="5" s="1"/>
  <c r="G464" i="5"/>
  <c r="G448" i="5"/>
  <c r="M448" i="5" s="1"/>
  <c r="O448" i="5" s="1"/>
  <c r="G432" i="5"/>
  <c r="G416" i="5"/>
  <c r="J416" i="5" s="1"/>
  <c r="G400" i="5"/>
  <c r="G384" i="5"/>
  <c r="J384" i="5" s="1"/>
  <c r="G368" i="5"/>
  <c r="M368" i="5" s="1"/>
  <c r="O368" i="5" s="1"/>
  <c r="G352" i="5"/>
  <c r="G336" i="5"/>
  <c r="G320" i="5"/>
  <c r="G304" i="5"/>
  <c r="J304" i="5" s="1"/>
  <c r="L304" i="5" s="1"/>
  <c r="G288" i="5"/>
  <c r="J288" i="5" s="1"/>
  <c r="L288" i="5" s="1"/>
  <c r="G272" i="5"/>
  <c r="M272" i="5" s="1"/>
  <c r="O272" i="5" s="1"/>
  <c r="G256" i="5"/>
  <c r="J256" i="5" s="1"/>
  <c r="G240" i="5"/>
  <c r="J240" i="5" s="1"/>
  <c r="L240" i="5" s="1"/>
  <c r="G224" i="5"/>
  <c r="J224" i="5" s="1"/>
  <c r="G208" i="5"/>
  <c r="J208" i="5" s="1"/>
  <c r="G192" i="5"/>
  <c r="G176" i="5"/>
  <c r="M176" i="5" s="1"/>
  <c r="O176" i="5" s="1"/>
  <c r="G160" i="5"/>
  <c r="G140" i="5"/>
  <c r="G118" i="5"/>
  <c r="G88" i="5"/>
  <c r="J88" i="5" s="1"/>
  <c r="G56" i="5"/>
  <c r="M56" i="5" s="1"/>
  <c r="G24" i="5"/>
  <c r="M24" i="5" s="1"/>
  <c r="K281" i="5"/>
  <c r="K17" i="5"/>
  <c r="K151" i="5"/>
  <c r="K139" i="5"/>
  <c r="K127" i="5"/>
  <c r="K115" i="5"/>
  <c r="K103" i="5"/>
  <c r="K91" i="5"/>
  <c r="K67" i="5"/>
  <c r="K55" i="5"/>
  <c r="K43" i="5"/>
  <c r="K31" i="5"/>
  <c r="K19" i="5"/>
  <c r="K565" i="5"/>
  <c r="K553" i="5"/>
  <c r="K545" i="5"/>
  <c r="K533" i="5"/>
  <c r="K521" i="5"/>
  <c r="K509" i="5"/>
  <c r="K497" i="5"/>
  <c r="K481" i="5"/>
  <c r="K469" i="5"/>
  <c r="K461" i="5"/>
  <c r="K449" i="5"/>
  <c r="K437" i="5"/>
  <c r="K425" i="5"/>
  <c r="K413" i="5"/>
  <c r="K393" i="5"/>
  <c r="K381" i="5"/>
  <c r="K373" i="5"/>
  <c r="K361" i="5"/>
  <c r="K349" i="5"/>
  <c r="K333" i="5"/>
  <c r="K325" i="5"/>
  <c r="K313" i="5"/>
  <c r="K297" i="5"/>
  <c r="K15" i="5"/>
  <c r="K161" i="5"/>
  <c r="K153" i="5"/>
  <c r="K145" i="5"/>
  <c r="K137" i="5"/>
  <c r="K129" i="5"/>
  <c r="K121" i="5"/>
  <c r="K113" i="5"/>
  <c r="K105" i="5"/>
  <c r="K97" i="5"/>
  <c r="K89" i="5"/>
  <c r="K81" i="5"/>
  <c r="K73" i="5"/>
  <c r="K65" i="5"/>
  <c r="K53" i="5"/>
  <c r="K45" i="5"/>
  <c r="K37" i="5"/>
  <c r="K29" i="5"/>
  <c r="K21" i="5"/>
  <c r="K575" i="5"/>
  <c r="K563" i="5"/>
  <c r="K559" i="5"/>
  <c r="K551" i="5"/>
  <c r="K531" i="5"/>
  <c r="K527" i="5"/>
  <c r="K519" i="5"/>
  <c r="K499" i="5"/>
  <c r="K495" i="5"/>
  <c r="K487" i="5"/>
  <c r="K467" i="5"/>
  <c r="K463" i="5"/>
  <c r="K451" i="5"/>
  <c r="K447" i="5"/>
  <c r="K439" i="5"/>
  <c r="K419" i="5"/>
  <c r="K415" i="5"/>
  <c r="K407" i="5"/>
  <c r="K387" i="5"/>
  <c r="K383" i="5"/>
  <c r="K375" i="5"/>
  <c r="K359" i="5"/>
  <c r="K351" i="5"/>
  <c r="K343" i="5"/>
  <c r="K323" i="5"/>
  <c r="K319" i="5"/>
  <c r="K307" i="5"/>
  <c r="K303" i="5"/>
  <c r="K295" i="5"/>
  <c r="K287" i="5"/>
  <c r="K279" i="5"/>
  <c r="K267" i="5"/>
  <c r="K263" i="5"/>
  <c r="K251" i="5"/>
  <c r="K243" i="5"/>
  <c r="K235" i="5"/>
  <c r="K227" i="5"/>
  <c r="K219" i="5"/>
  <c r="K211" i="5"/>
  <c r="K203" i="5"/>
  <c r="K199" i="5"/>
  <c r="K191" i="5"/>
  <c r="K183" i="5"/>
  <c r="K171" i="5"/>
  <c r="K163" i="5"/>
  <c r="G572" i="5"/>
  <c r="G556" i="5"/>
  <c r="G540" i="5"/>
  <c r="M540" i="5" s="1"/>
  <c r="O540" i="5" s="1"/>
  <c r="G524" i="5"/>
  <c r="G508" i="5"/>
  <c r="G492" i="5"/>
  <c r="J492" i="5" s="1"/>
  <c r="G476" i="5"/>
  <c r="M476" i="5" s="1"/>
  <c r="O476" i="5" s="1"/>
  <c r="G460" i="5"/>
  <c r="M460" i="5" s="1"/>
  <c r="G444" i="5"/>
  <c r="M444" i="5" s="1"/>
  <c r="O444" i="5" s="1"/>
  <c r="G428" i="5"/>
  <c r="J428" i="5" s="1"/>
  <c r="G412" i="5"/>
  <c r="M412" i="5" s="1"/>
  <c r="G396" i="5"/>
  <c r="G380" i="5"/>
  <c r="G364" i="5"/>
  <c r="J364" i="5" s="1"/>
  <c r="G348" i="5"/>
  <c r="M348" i="5" s="1"/>
  <c r="G332" i="5"/>
  <c r="G316" i="5"/>
  <c r="G300" i="5"/>
  <c r="G284" i="5"/>
  <c r="M284" i="5" s="1"/>
  <c r="O284" i="5" s="1"/>
  <c r="G268" i="5"/>
  <c r="G252" i="5"/>
  <c r="M252" i="5" s="1"/>
  <c r="G236" i="5"/>
  <c r="G220" i="5"/>
  <c r="M220" i="5" s="1"/>
  <c r="G204" i="5"/>
  <c r="G188" i="5"/>
  <c r="G172" i="5"/>
  <c r="J172" i="5" s="1"/>
  <c r="G156" i="5"/>
  <c r="J156" i="5" s="1"/>
  <c r="G134" i="5"/>
  <c r="G112" i="5"/>
  <c r="M112" i="5" s="1"/>
  <c r="G80" i="5"/>
  <c r="J80" i="5" s="1"/>
  <c r="K395" i="5"/>
  <c r="K331" i="5"/>
  <c r="K79" i="5"/>
  <c r="G15" i="5"/>
  <c r="M15" i="5" s="1"/>
  <c r="G17" i="5"/>
  <c r="M17" i="5" s="1"/>
  <c r="O17" i="5" s="1"/>
  <c r="G21" i="5"/>
  <c r="J21" i="5" s="1"/>
  <c r="G25" i="5"/>
  <c r="G29" i="5"/>
  <c r="M29" i="5" s="1"/>
  <c r="O29" i="5" s="1"/>
  <c r="G33" i="5"/>
  <c r="M33" i="5" s="1"/>
  <c r="G37" i="5"/>
  <c r="G41" i="5"/>
  <c r="G45" i="5"/>
  <c r="M45" i="5" s="1"/>
  <c r="O45" i="5" s="1"/>
  <c r="G49" i="5"/>
  <c r="M49" i="5" s="1"/>
  <c r="G53" i="5"/>
  <c r="M53" i="5" s="1"/>
  <c r="G57" i="5"/>
  <c r="M57" i="5" s="1"/>
  <c r="O57" i="5" s="1"/>
  <c r="G61" i="5"/>
  <c r="G65" i="5"/>
  <c r="M65" i="5" s="1"/>
  <c r="O65" i="5" s="1"/>
  <c r="G69" i="5"/>
  <c r="G73" i="5"/>
  <c r="G77" i="5"/>
  <c r="J77" i="5" s="1"/>
  <c r="G81" i="5"/>
  <c r="M81" i="5" s="1"/>
  <c r="O81" i="5" s="1"/>
  <c r="G85" i="5"/>
  <c r="G89" i="5"/>
  <c r="G93" i="5"/>
  <c r="M93" i="5" s="1"/>
  <c r="G97" i="5"/>
  <c r="M97" i="5" s="1"/>
  <c r="O97" i="5" s="1"/>
  <c r="G101" i="5"/>
  <c r="M101" i="5" s="1"/>
  <c r="O101" i="5" s="1"/>
  <c r="G105" i="5"/>
  <c r="M105" i="5" s="1"/>
  <c r="O105" i="5" s="1"/>
  <c r="G109" i="5"/>
  <c r="M109" i="5" s="1"/>
  <c r="G113" i="5"/>
  <c r="M113" i="5" s="1"/>
  <c r="O113" i="5" s="1"/>
  <c r="G19" i="5"/>
  <c r="M19" i="5" s="1"/>
  <c r="G23" i="5"/>
  <c r="M23" i="5" s="1"/>
  <c r="G27" i="5"/>
  <c r="M27" i="5" s="1"/>
  <c r="O27" i="5" s="1"/>
  <c r="G31" i="5"/>
  <c r="M31" i="5" s="1"/>
  <c r="O31" i="5" s="1"/>
  <c r="G35" i="5"/>
  <c r="G39" i="5"/>
  <c r="M39" i="5" s="1"/>
  <c r="O39" i="5" s="1"/>
  <c r="G43" i="5"/>
  <c r="M43" i="5" s="1"/>
  <c r="G47" i="5"/>
  <c r="M47" i="5" s="1"/>
  <c r="G51" i="5"/>
  <c r="M51" i="5" s="1"/>
  <c r="G55" i="5"/>
  <c r="M55" i="5" s="1"/>
  <c r="G59" i="5"/>
  <c r="M59" i="5" s="1"/>
  <c r="G63" i="5"/>
  <c r="M63" i="5" s="1"/>
  <c r="G67" i="5"/>
  <c r="M67" i="5" s="1"/>
  <c r="O67" i="5" s="1"/>
  <c r="G71" i="5"/>
  <c r="M71" i="5" s="1"/>
  <c r="O71" i="5" s="1"/>
  <c r="G75" i="5"/>
  <c r="M75" i="5" s="1"/>
  <c r="G79" i="5"/>
  <c r="M79" i="5" s="1"/>
  <c r="O79" i="5" s="1"/>
  <c r="G83" i="5"/>
  <c r="M83" i="5" s="1"/>
  <c r="O83" i="5" s="1"/>
  <c r="G87" i="5"/>
  <c r="M87" i="5" s="1"/>
  <c r="G91" i="5"/>
  <c r="M91" i="5" s="1"/>
  <c r="G95" i="5"/>
  <c r="M95" i="5" s="1"/>
  <c r="G99" i="5"/>
  <c r="M99" i="5" s="1"/>
  <c r="G103" i="5"/>
  <c r="M103" i="5" s="1"/>
  <c r="G107" i="5"/>
  <c r="M107" i="5" s="1"/>
  <c r="G111" i="5"/>
  <c r="M111" i="5" s="1"/>
  <c r="O111" i="5" s="1"/>
  <c r="G115" i="5"/>
  <c r="M115" i="5" s="1"/>
  <c r="G119" i="5"/>
  <c r="G123" i="5"/>
  <c r="M123" i="5" s="1"/>
  <c r="G127" i="5"/>
  <c r="M127" i="5" s="1"/>
  <c r="O127" i="5" s="1"/>
  <c r="G131" i="5"/>
  <c r="M131" i="5" s="1"/>
  <c r="G135" i="5"/>
  <c r="G139" i="5"/>
  <c r="M139" i="5" s="1"/>
  <c r="G143" i="5"/>
  <c r="M143" i="5" s="1"/>
  <c r="O143" i="5" s="1"/>
  <c r="G147" i="5"/>
  <c r="M147" i="5" s="1"/>
  <c r="G151" i="5"/>
  <c r="M151" i="5" s="1"/>
  <c r="G155" i="5"/>
  <c r="M155" i="5" s="1"/>
  <c r="G18" i="5"/>
  <c r="G26" i="5"/>
  <c r="G34" i="5"/>
  <c r="G42" i="5"/>
  <c r="M42" i="5" s="1"/>
  <c r="G50" i="5"/>
  <c r="J50" i="5" s="1"/>
  <c r="L50" i="5" s="1"/>
  <c r="G58" i="5"/>
  <c r="G66" i="5"/>
  <c r="G74" i="5"/>
  <c r="M74" i="5" s="1"/>
  <c r="G82" i="5"/>
  <c r="G90" i="5"/>
  <c r="M90" i="5" s="1"/>
  <c r="G98" i="5"/>
  <c r="M98" i="5" s="1"/>
  <c r="O98" i="5" s="1"/>
  <c r="G106" i="5"/>
  <c r="M106" i="5" s="1"/>
  <c r="G114" i="5"/>
  <c r="J114" i="5" s="1"/>
  <c r="G120" i="5"/>
  <c r="G125" i="5"/>
  <c r="G130" i="5"/>
  <c r="G136" i="5"/>
  <c r="M136" i="5" s="1"/>
  <c r="G141" i="5"/>
  <c r="G146" i="5"/>
  <c r="G152" i="5"/>
  <c r="M152" i="5" s="1"/>
  <c r="G157" i="5"/>
  <c r="J157" i="5" s="1"/>
  <c r="G161" i="5"/>
  <c r="M161" i="5" s="1"/>
  <c r="O161" i="5" s="1"/>
  <c r="G165" i="5"/>
  <c r="J165" i="5" s="1"/>
  <c r="L165" i="5" s="1"/>
  <c r="G169" i="5"/>
  <c r="M169" i="5" s="1"/>
  <c r="O169" i="5" s="1"/>
  <c r="G173" i="5"/>
  <c r="G177" i="5"/>
  <c r="G181" i="5"/>
  <c r="G185" i="5"/>
  <c r="M185" i="5" s="1"/>
  <c r="O185" i="5" s="1"/>
  <c r="G189" i="5"/>
  <c r="M189" i="5" s="1"/>
  <c r="G193" i="5"/>
  <c r="G197" i="5"/>
  <c r="G201" i="5"/>
  <c r="M201" i="5" s="1"/>
  <c r="O201" i="5" s="1"/>
  <c r="G205" i="5"/>
  <c r="J205" i="5" s="1"/>
  <c r="G209" i="5"/>
  <c r="M209" i="5" s="1"/>
  <c r="O209" i="5" s="1"/>
  <c r="G213" i="5"/>
  <c r="J213" i="5" s="1"/>
  <c r="L213" i="5" s="1"/>
  <c r="G217" i="5"/>
  <c r="M217" i="5" s="1"/>
  <c r="O217" i="5" s="1"/>
  <c r="G221" i="5"/>
  <c r="J221" i="5" s="1"/>
  <c r="G225" i="5"/>
  <c r="G229" i="5"/>
  <c r="G233" i="5"/>
  <c r="M233" i="5" s="1"/>
  <c r="O233" i="5" s="1"/>
  <c r="G237" i="5"/>
  <c r="M237" i="5" s="1"/>
  <c r="G241" i="5"/>
  <c r="G245" i="5"/>
  <c r="J245" i="5" s="1"/>
  <c r="L245" i="5" s="1"/>
  <c r="G249" i="5"/>
  <c r="M249" i="5" s="1"/>
  <c r="O249" i="5" s="1"/>
  <c r="G253" i="5"/>
  <c r="J253" i="5" s="1"/>
  <c r="G257" i="5"/>
  <c r="M257" i="5" s="1"/>
  <c r="O257" i="5" s="1"/>
  <c r="G261" i="5"/>
  <c r="J261" i="5" s="1"/>
  <c r="L261" i="5" s="1"/>
  <c r="G265" i="5"/>
  <c r="M265" i="5" s="1"/>
  <c r="O265" i="5" s="1"/>
  <c r="G269" i="5"/>
  <c r="J269" i="5" s="1"/>
  <c r="G273" i="5"/>
  <c r="G277" i="5"/>
  <c r="G281" i="5"/>
  <c r="M281" i="5" s="1"/>
  <c r="G285" i="5"/>
  <c r="J285" i="5" s="1"/>
  <c r="L285" i="5" s="1"/>
  <c r="G289" i="5"/>
  <c r="J289" i="5" s="1"/>
  <c r="G293" i="5"/>
  <c r="G297" i="5"/>
  <c r="M297" i="5" s="1"/>
  <c r="G301" i="5"/>
  <c r="J301" i="5" s="1"/>
  <c r="L301" i="5" s="1"/>
  <c r="G305" i="5"/>
  <c r="M305" i="5" s="1"/>
  <c r="O305" i="5" s="1"/>
  <c r="G309" i="5"/>
  <c r="M309" i="5" s="1"/>
  <c r="O309" i="5" s="1"/>
  <c r="G313" i="5"/>
  <c r="M313" i="5" s="1"/>
  <c r="G317" i="5"/>
  <c r="M317" i="5" s="1"/>
  <c r="O317" i="5" s="1"/>
  <c r="G321" i="5"/>
  <c r="G325" i="5"/>
  <c r="G329" i="5"/>
  <c r="M329" i="5" s="1"/>
  <c r="G333" i="5"/>
  <c r="J333" i="5" s="1"/>
  <c r="L333" i="5" s="1"/>
  <c r="G337" i="5"/>
  <c r="M337" i="5" s="1"/>
  <c r="G341" i="5"/>
  <c r="G345" i="5"/>
  <c r="M345" i="5" s="1"/>
  <c r="G349" i="5"/>
  <c r="J349" i="5" s="1"/>
  <c r="L349" i="5" s="1"/>
  <c r="G353" i="5"/>
  <c r="M353" i="5" s="1"/>
  <c r="O353" i="5" s="1"/>
  <c r="G357" i="5"/>
  <c r="G361" i="5"/>
  <c r="M361" i="5" s="1"/>
  <c r="G365" i="5"/>
  <c r="M365" i="5" s="1"/>
  <c r="O365" i="5" s="1"/>
  <c r="G369" i="5"/>
  <c r="G373" i="5"/>
  <c r="J373" i="5" s="1"/>
  <c r="G377" i="5"/>
  <c r="M377" i="5" s="1"/>
  <c r="G381" i="5"/>
  <c r="J381" i="5" s="1"/>
  <c r="L381" i="5" s="1"/>
  <c r="G385" i="5"/>
  <c r="M385" i="5" s="1"/>
  <c r="G389" i="5"/>
  <c r="G393" i="5"/>
  <c r="G397" i="5"/>
  <c r="J397" i="5" s="1"/>
  <c r="G401" i="5"/>
  <c r="M401" i="5" s="1"/>
  <c r="G405" i="5"/>
  <c r="M405" i="5" s="1"/>
  <c r="O405" i="5" s="1"/>
  <c r="G409" i="5"/>
  <c r="M409" i="5" s="1"/>
  <c r="G413" i="5"/>
  <c r="J413" i="5" s="1"/>
  <c r="G417" i="5"/>
  <c r="M417" i="5" s="1"/>
  <c r="G421" i="5"/>
  <c r="G425" i="5"/>
  <c r="M425" i="5" s="1"/>
  <c r="O425" i="5" s="1"/>
  <c r="G429" i="5"/>
  <c r="G433" i="5"/>
  <c r="G437" i="5"/>
  <c r="G441" i="5"/>
  <c r="M441" i="5" s="1"/>
  <c r="O441" i="5" s="1"/>
  <c r="G445" i="5"/>
  <c r="M445" i="5" s="1"/>
  <c r="G449" i="5"/>
  <c r="M449" i="5" s="1"/>
  <c r="O449" i="5" s="1"/>
  <c r="G453" i="5"/>
  <c r="M453" i="5" s="1"/>
  <c r="O453" i="5" s="1"/>
  <c r="G457" i="5"/>
  <c r="M457" i="5" s="1"/>
  <c r="G461" i="5"/>
  <c r="J461" i="5" s="1"/>
  <c r="G465" i="5"/>
  <c r="M465" i="5" s="1"/>
  <c r="G469" i="5"/>
  <c r="G473" i="5"/>
  <c r="M473" i="5" s="1"/>
  <c r="G477" i="5"/>
  <c r="J477" i="5" s="1"/>
  <c r="L477" i="5" s="1"/>
  <c r="G481" i="5"/>
  <c r="M481" i="5" s="1"/>
  <c r="O481" i="5" s="1"/>
  <c r="G485" i="5"/>
  <c r="G489" i="5"/>
  <c r="M489" i="5" s="1"/>
  <c r="G493" i="5"/>
  <c r="M493" i="5" s="1"/>
  <c r="G497" i="5"/>
  <c r="M497" i="5" s="1"/>
  <c r="O497" i="5" s="1"/>
  <c r="G501" i="5"/>
  <c r="J501" i="5" s="1"/>
  <c r="L501" i="5" s="1"/>
  <c r="G505" i="5"/>
  <c r="M505" i="5" s="1"/>
  <c r="G509" i="5"/>
  <c r="G513" i="5"/>
  <c r="M513" i="5" s="1"/>
  <c r="G517" i="5"/>
  <c r="J517" i="5" s="1"/>
  <c r="G521" i="5"/>
  <c r="M521" i="5" s="1"/>
  <c r="O521" i="5" s="1"/>
  <c r="G525" i="5"/>
  <c r="J525" i="5" s="1"/>
  <c r="L525" i="5" s="1"/>
  <c r="G529" i="5"/>
  <c r="M529" i="5" s="1"/>
  <c r="G533" i="5"/>
  <c r="G537" i="5"/>
  <c r="M537" i="5" s="1"/>
  <c r="G541" i="5"/>
  <c r="J541" i="5" s="1"/>
  <c r="G545" i="5"/>
  <c r="M545" i="5" s="1"/>
  <c r="O545" i="5" s="1"/>
  <c r="G549" i="5"/>
  <c r="J549" i="5" s="1"/>
  <c r="L549" i="5" s="1"/>
  <c r="G553" i="5"/>
  <c r="G557" i="5"/>
  <c r="G561" i="5"/>
  <c r="M561" i="5" s="1"/>
  <c r="G565" i="5"/>
  <c r="G569" i="5"/>
  <c r="M569" i="5" s="1"/>
  <c r="G573" i="5"/>
  <c r="M573" i="5" s="1"/>
  <c r="O573" i="5" s="1"/>
  <c r="G16" i="5"/>
  <c r="G20" i="5"/>
  <c r="G28" i="5"/>
  <c r="M28" i="5" s="1"/>
  <c r="G36" i="5"/>
  <c r="M36" i="5" s="1"/>
  <c r="G44" i="5"/>
  <c r="M44" i="5" s="1"/>
  <c r="O44" i="5" s="1"/>
  <c r="G52" i="5"/>
  <c r="J52" i="5" s="1"/>
  <c r="G60" i="5"/>
  <c r="G68" i="5"/>
  <c r="M68" i="5" s="1"/>
  <c r="G76" i="5"/>
  <c r="G84" i="5"/>
  <c r="G92" i="5"/>
  <c r="J92" i="5" s="1"/>
  <c r="G100" i="5"/>
  <c r="M100" i="5" s="1"/>
  <c r="G108" i="5"/>
  <c r="G116" i="5"/>
  <c r="G121" i="5"/>
  <c r="G126" i="5"/>
  <c r="M126" i="5" s="1"/>
  <c r="O126" i="5" s="1"/>
  <c r="G132" i="5"/>
  <c r="M132" i="5" s="1"/>
  <c r="G137" i="5"/>
  <c r="M137" i="5" s="1"/>
  <c r="O137" i="5" s="1"/>
  <c r="G142" i="5"/>
  <c r="M142" i="5" s="1"/>
  <c r="G148" i="5"/>
  <c r="M148" i="5" s="1"/>
  <c r="G153" i="5"/>
  <c r="G158" i="5"/>
  <c r="G162" i="5"/>
  <c r="J162" i="5" s="1"/>
  <c r="G166" i="5"/>
  <c r="M166" i="5" s="1"/>
  <c r="G170" i="5"/>
  <c r="J170" i="5" s="1"/>
  <c r="G174" i="5"/>
  <c r="G178" i="5"/>
  <c r="M178" i="5" s="1"/>
  <c r="G182" i="5"/>
  <c r="G186" i="5"/>
  <c r="M186" i="5" s="1"/>
  <c r="G190" i="5"/>
  <c r="M190" i="5" s="1"/>
  <c r="G194" i="5"/>
  <c r="M194" i="5" s="1"/>
  <c r="G198" i="5"/>
  <c r="M198" i="5" s="1"/>
  <c r="G202" i="5"/>
  <c r="G206" i="5"/>
  <c r="G210" i="5"/>
  <c r="G214" i="5"/>
  <c r="M214" i="5" s="1"/>
  <c r="G218" i="5"/>
  <c r="J218" i="5" s="1"/>
  <c r="G222" i="5"/>
  <c r="G226" i="5"/>
  <c r="M226" i="5" s="1"/>
  <c r="G230" i="5"/>
  <c r="M230" i="5" s="1"/>
  <c r="G234" i="5"/>
  <c r="M234" i="5" s="1"/>
  <c r="G238" i="5"/>
  <c r="M238" i="5" s="1"/>
  <c r="G242" i="5"/>
  <c r="M242" i="5" s="1"/>
  <c r="G246" i="5"/>
  <c r="G250" i="5"/>
  <c r="G254" i="5"/>
  <c r="G258" i="5"/>
  <c r="G262" i="5"/>
  <c r="M262" i="5" s="1"/>
  <c r="G266" i="5"/>
  <c r="G270" i="5"/>
  <c r="G274" i="5"/>
  <c r="M274" i="5" s="1"/>
  <c r="G278" i="5"/>
  <c r="M278" i="5" s="1"/>
  <c r="G282" i="5"/>
  <c r="M282" i="5" s="1"/>
  <c r="G286" i="5"/>
  <c r="M286" i="5" s="1"/>
  <c r="G290" i="5"/>
  <c r="J290" i="5" s="1"/>
  <c r="G294" i="5"/>
  <c r="M294" i="5" s="1"/>
  <c r="G298" i="5"/>
  <c r="J298" i="5" s="1"/>
  <c r="G302" i="5"/>
  <c r="M302" i="5" s="1"/>
  <c r="G306" i="5"/>
  <c r="M306" i="5" s="1"/>
  <c r="G310" i="5"/>
  <c r="J310" i="5" s="1"/>
  <c r="G314" i="5"/>
  <c r="G318" i="5"/>
  <c r="G322" i="5"/>
  <c r="M322" i="5" s="1"/>
  <c r="G326" i="5"/>
  <c r="M326" i="5" s="1"/>
  <c r="G330" i="5"/>
  <c r="M330" i="5" s="1"/>
  <c r="O330" i="5" s="1"/>
  <c r="G334" i="5"/>
  <c r="G338" i="5"/>
  <c r="M338" i="5" s="1"/>
  <c r="G342" i="5"/>
  <c r="M342" i="5" s="1"/>
  <c r="G346" i="5"/>
  <c r="G350" i="5"/>
  <c r="G354" i="5"/>
  <c r="M354" i="5" s="1"/>
  <c r="G358" i="5"/>
  <c r="M358" i="5" s="1"/>
  <c r="G362" i="5"/>
  <c r="G366" i="5"/>
  <c r="G370" i="5"/>
  <c r="G374" i="5"/>
  <c r="M374" i="5" s="1"/>
  <c r="G378" i="5"/>
  <c r="J378" i="5" s="1"/>
  <c r="G382" i="5"/>
  <c r="G386" i="5"/>
  <c r="M386" i="5" s="1"/>
  <c r="G390" i="5"/>
  <c r="J390" i="5" s="1"/>
  <c r="G394" i="5"/>
  <c r="G398" i="5"/>
  <c r="G402" i="5"/>
  <c r="M402" i="5" s="1"/>
  <c r="G406" i="5"/>
  <c r="M406" i="5" s="1"/>
  <c r="G410" i="5"/>
  <c r="J410" i="5" s="1"/>
  <c r="G414" i="5"/>
  <c r="G418" i="5"/>
  <c r="M418" i="5" s="1"/>
  <c r="G422" i="5"/>
  <c r="M422" i="5" s="1"/>
  <c r="G426" i="5"/>
  <c r="J426" i="5" s="1"/>
  <c r="G430" i="5"/>
  <c r="G434" i="5"/>
  <c r="M434" i="5" s="1"/>
  <c r="G438" i="5"/>
  <c r="G442" i="5"/>
  <c r="J442" i="5" s="1"/>
  <c r="G446" i="5"/>
  <c r="G450" i="5"/>
  <c r="M450" i="5" s="1"/>
  <c r="G454" i="5"/>
  <c r="J454" i="5" s="1"/>
  <c r="G458" i="5"/>
  <c r="G462" i="5"/>
  <c r="G466" i="5"/>
  <c r="G470" i="5"/>
  <c r="M470" i="5" s="1"/>
  <c r="G474" i="5"/>
  <c r="M474" i="5" s="1"/>
  <c r="G478" i="5"/>
  <c r="G482" i="5"/>
  <c r="M482" i="5" s="1"/>
  <c r="G486" i="5"/>
  <c r="M486" i="5" s="1"/>
  <c r="G490" i="5"/>
  <c r="G494" i="5"/>
  <c r="G498" i="5"/>
  <c r="G502" i="5"/>
  <c r="J502" i="5" s="1"/>
  <c r="G506" i="5"/>
  <c r="G510" i="5"/>
  <c r="G514" i="5"/>
  <c r="G518" i="5"/>
  <c r="J518" i="5" s="1"/>
  <c r="G522" i="5"/>
  <c r="M522" i="5" s="1"/>
  <c r="O522" i="5" s="1"/>
  <c r="G526" i="5"/>
  <c r="G530" i="5"/>
  <c r="M530" i="5" s="1"/>
  <c r="G534" i="5"/>
  <c r="M534" i="5" s="1"/>
  <c r="G538" i="5"/>
  <c r="J538" i="5" s="1"/>
  <c r="G542" i="5"/>
  <c r="G546" i="5"/>
  <c r="M546" i="5" s="1"/>
  <c r="G550" i="5"/>
  <c r="M550" i="5" s="1"/>
  <c r="G554" i="5"/>
  <c r="J554" i="5" s="1"/>
  <c r="G558" i="5"/>
  <c r="G562" i="5"/>
  <c r="M562" i="5" s="1"/>
  <c r="G566" i="5"/>
  <c r="G570" i="5"/>
  <c r="M570" i="5" s="1"/>
  <c r="O570" i="5" s="1"/>
  <c r="G574" i="5"/>
  <c r="G22" i="5"/>
  <c r="J22" i="5" s="1"/>
  <c r="G30" i="5"/>
  <c r="J30" i="5" s="1"/>
  <c r="L30" i="5" s="1"/>
  <c r="G38" i="5"/>
  <c r="G46" i="5"/>
  <c r="G54" i="5"/>
  <c r="M54" i="5" s="1"/>
  <c r="O54" i="5" s="1"/>
  <c r="G62" i="5"/>
  <c r="M62" i="5" s="1"/>
  <c r="O62" i="5" s="1"/>
  <c r="G70" i="5"/>
  <c r="G78" i="5"/>
  <c r="G86" i="5"/>
  <c r="M86" i="5" s="1"/>
  <c r="O86" i="5" s="1"/>
  <c r="G94" i="5"/>
  <c r="M94" i="5" s="1"/>
  <c r="G102" i="5"/>
  <c r="M102" i="5" s="1"/>
  <c r="O102" i="5" s="1"/>
  <c r="G110" i="5"/>
  <c r="G117" i="5"/>
  <c r="J117" i="5" s="1"/>
  <c r="G122" i="5"/>
  <c r="M122" i="5" s="1"/>
  <c r="G128" i="5"/>
  <c r="G133" i="5"/>
  <c r="J133" i="5" s="1"/>
  <c r="G138" i="5"/>
  <c r="M138" i="5" s="1"/>
  <c r="G144" i="5"/>
  <c r="J144" i="5" s="1"/>
  <c r="G149" i="5"/>
  <c r="G154" i="5"/>
  <c r="G159" i="5"/>
  <c r="M159" i="5" s="1"/>
  <c r="G163" i="5"/>
  <c r="M163" i="5" s="1"/>
  <c r="O163" i="5" s="1"/>
  <c r="G167" i="5"/>
  <c r="M167" i="5" s="1"/>
  <c r="G171" i="5"/>
  <c r="M171" i="5" s="1"/>
  <c r="G175" i="5"/>
  <c r="M175" i="5" s="1"/>
  <c r="G179" i="5"/>
  <c r="M179" i="5" s="1"/>
  <c r="G183" i="5"/>
  <c r="M183" i="5" s="1"/>
  <c r="O183" i="5" s="1"/>
  <c r="G187" i="5"/>
  <c r="M187" i="5" s="1"/>
  <c r="G191" i="5"/>
  <c r="M191" i="5" s="1"/>
  <c r="G195" i="5"/>
  <c r="M195" i="5" s="1"/>
  <c r="G199" i="5"/>
  <c r="G203" i="5"/>
  <c r="M203" i="5" s="1"/>
  <c r="G207" i="5"/>
  <c r="M207" i="5" s="1"/>
  <c r="O207" i="5" s="1"/>
  <c r="G211" i="5"/>
  <c r="M211" i="5" s="1"/>
  <c r="O211" i="5" s="1"/>
  <c r="G215" i="5"/>
  <c r="M215" i="5" s="1"/>
  <c r="G219" i="5"/>
  <c r="M219" i="5" s="1"/>
  <c r="O219" i="5" s="1"/>
  <c r="G223" i="5"/>
  <c r="M223" i="5" s="1"/>
  <c r="G227" i="5"/>
  <c r="M227" i="5" s="1"/>
  <c r="O227" i="5" s="1"/>
  <c r="G231" i="5"/>
  <c r="M231" i="5" s="1"/>
  <c r="G235" i="5"/>
  <c r="M235" i="5" s="1"/>
  <c r="G239" i="5"/>
  <c r="M239" i="5" s="1"/>
  <c r="G243" i="5"/>
  <c r="M243" i="5" s="1"/>
  <c r="O243" i="5" s="1"/>
  <c r="G247" i="5"/>
  <c r="M247" i="5" s="1"/>
  <c r="G251" i="5"/>
  <c r="G255" i="5"/>
  <c r="M255" i="5" s="1"/>
  <c r="G259" i="5"/>
  <c r="M259" i="5" s="1"/>
  <c r="O259" i="5" s="1"/>
  <c r="G263" i="5"/>
  <c r="G267" i="5"/>
  <c r="M267" i="5" s="1"/>
  <c r="G271" i="5"/>
  <c r="M271" i="5" s="1"/>
  <c r="G275" i="5"/>
  <c r="M275" i="5" s="1"/>
  <c r="G279" i="5"/>
  <c r="M279" i="5" s="1"/>
  <c r="O279" i="5" s="1"/>
  <c r="G283" i="5"/>
  <c r="M283" i="5" s="1"/>
  <c r="G287" i="5"/>
  <c r="M287" i="5" s="1"/>
  <c r="G291" i="5"/>
  <c r="M291" i="5" s="1"/>
  <c r="G295" i="5"/>
  <c r="M295" i="5" s="1"/>
  <c r="G299" i="5"/>
  <c r="M299" i="5" s="1"/>
  <c r="G303" i="5"/>
  <c r="M303" i="5" s="1"/>
  <c r="G307" i="5"/>
  <c r="M307" i="5" s="1"/>
  <c r="O307" i="5" s="1"/>
  <c r="G311" i="5"/>
  <c r="M311" i="5" s="1"/>
  <c r="G315" i="5"/>
  <c r="M315" i="5" s="1"/>
  <c r="G319" i="5"/>
  <c r="M319" i="5" s="1"/>
  <c r="O319" i="5" s="1"/>
  <c r="G323" i="5"/>
  <c r="M323" i="5" s="1"/>
  <c r="O323" i="5" s="1"/>
  <c r="G327" i="5"/>
  <c r="M327" i="5" s="1"/>
  <c r="G331" i="5"/>
  <c r="G335" i="5"/>
  <c r="M335" i="5" s="1"/>
  <c r="G339" i="5"/>
  <c r="M339" i="5" s="1"/>
  <c r="G343" i="5"/>
  <c r="M343" i="5" s="1"/>
  <c r="G347" i="5"/>
  <c r="G351" i="5"/>
  <c r="M351" i="5" s="1"/>
  <c r="G355" i="5"/>
  <c r="M355" i="5" s="1"/>
  <c r="G359" i="5"/>
  <c r="M359" i="5" s="1"/>
  <c r="O359" i="5" s="1"/>
  <c r="G363" i="5"/>
  <c r="M363" i="5" s="1"/>
  <c r="O363" i="5" s="1"/>
  <c r="G367" i="5"/>
  <c r="M367" i="5" s="1"/>
  <c r="G371" i="5"/>
  <c r="M371" i="5" s="1"/>
  <c r="G375" i="5"/>
  <c r="M375" i="5" s="1"/>
  <c r="O375" i="5" s="1"/>
  <c r="G379" i="5"/>
  <c r="M379" i="5" s="1"/>
  <c r="G383" i="5"/>
  <c r="M383" i="5" s="1"/>
  <c r="G387" i="5"/>
  <c r="M387" i="5" s="1"/>
  <c r="O387" i="5" s="1"/>
  <c r="G391" i="5"/>
  <c r="M391" i="5" s="1"/>
  <c r="G395" i="5"/>
  <c r="G399" i="5"/>
  <c r="M399" i="5" s="1"/>
  <c r="G403" i="5"/>
  <c r="M403" i="5" s="1"/>
  <c r="G407" i="5"/>
  <c r="M407" i="5" s="1"/>
  <c r="G411" i="5"/>
  <c r="M411" i="5" s="1"/>
  <c r="O411" i="5" s="1"/>
  <c r="G415" i="5"/>
  <c r="M415" i="5" s="1"/>
  <c r="G419" i="5"/>
  <c r="M419" i="5" s="1"/>
  <c r="G423" i="5"/>
  <c r="M423" i="5" s="1"/>
  <c r="G427" i="5"/>
  <c r="M427" i="5" s="1"/>
  <c r="G431" i="5"/>
  <c r="M431" i="5" s="1"/>
  <c r="G435" i="5"/>
  <c r="M435" i="5" s="1"/>
  <c r="G439" i="5"/>
  <c r="M439" i="5" s="1"/>
  <c r="O439" i="5" s="1"/>
  <c r="G443" i="5"/>
  <c r="M443" i="5" s="1"/>
  <c r="G447" i="5"/>
  <c r="M447" i="5" s="1"/>
  <c r="O447" i="5" s="1"/>
  <c r="G451" i="5"/>
  <c r="M451" i="5" s="1"/>
  <c r="O451" i="5" s="1"/>
  <c r="G455" i="5"/>
  <c r="M455" i="5" s="1"/>
  <c r="G459" i="5"/>
  <c r="M459" i="5" s="1"/>
  <c r="O459" i="5" s="1"/>
  <c r="G463" i="5"/>
  <c r="M463" i="5" s="1"/>
  <c r="G467" i="5"/>
  <c r="M467" i="5" s="1"/>
  <c r="G471" i="5"/>
  <c r="M471" i="5" s="1"/>
  <c r="G475" i="5"/>
  <c r="M475" i="5" s="1"/>
  <c r="G479" i="5"/>
  <c r="M479" i="5" s="1"/>
  <c r="G483" i="5"/>
  <c r="M483" i="5" s="1"/>
  <c r="G487" i="5"/>
  <c r="G491" i="5"/>
  <c r="M491" i="5" s="1"/>
  <c r="G495" i="5"/>
  <c r="M495" i="5" s="1"/>
  <c r="G499" i="5"/>
  <c r="M499" i="5" s="1"/>
  <c r="O499" i="5" s="1"/>
  <c r="G503" i="5"/>
  <c r="M503" i="5" s="1"/>
  <c r="G507" i="5"/>
  <c r="M507" i="5" s="1"/>
  <c r="G511" i="5"/>
  <c r="M511" i="5" s="1"/>
  <c r="G515" i="5"/>
  <c r="M515" i="5" s="1"/>
  <c r="G519" i="5"/>
  <c r="M519" i="5" s="1"/>
  <c r="O519" i="5" s="1"/>
  <c r="G523" i="5"/>
  <c r="M523" i="5" s="1"/>
  <c r="G527" i="5"/>
  <c r="M527" i="5" s="1"/>
  <c r="G531" i="5"/>
  <c r="M531" i="5" s="1"/>
  <c r="O531" i="5" s="1"/>
  <c r="G535" i="5"/>
  <c r="M535" i="5" s="1"/>
  <c r="G539" i="5"/>
  <c r="M539" i="5" s="1"/>
  <c r="O539" i="5" s="1"/>
  <c r="G543" i="5"/>
  <c r="M543" i="5" s="1"/>
  <c r="G547" i="5"/>
  <c r="M547" i="5" s="1"/>
  <c r="G551" i="5"/>
  <c r="M551" i="5" s="1"/>
  <c r="G555" i="5"/>
  <c r="M555" i="5" s="1"/>
  <c r="O555" i="5" s="1"/>
  <c r="G559" i="5"/>
  <c r="M559" i="5" s="1"/>
  <c r="O559" i="5" s="1"/>
  <c r="G563" i="5"/>
  <c r="M563" i="5" s="1"/>
  <c r="O563" i="5" s="1"/>
  <c r="G567" i="5"/>
  <c r="M567" i="5" s="1"/>
  <c r="G571" i="5"/>
  <c r="G575" i="5"/>
  <c r="M575" i="5" s="1"/>
  <c r="K159" i="5"/>
  <c r="K135" i="5"/>
  <c r="K123" i="5"/>
  <c r="K107" i="5"/>
  <c r="K99" i="5"/>
  <c r="K87" i="5"/>
  <c r="K75" i="5"/>
  <c r="K59" i="5"/>
  <c r="K47" i="5"/>
  <c r="K35" i="5"/>
  <c r="K23" i="5"/>
  <c r="K569" i="5"/>
  <c r="K557" i="5"/>
  <c r="K541" i="5"/>
  <c r="K529" i="5"/>
  <c r="K517" i="5"/>
  <c r="K505" i="5"/>
  <c r="K493" i="5"/>
  <c r="K485" i="5"/>
  <c r="K473" i="5"/>
  <c r="K457" i="5"/>
  <c r="K445" i="5"/>
  <c r="K433" i="5"/>
  <c r="K421" i="5"/>
  <c r="J421" i="5"/>
  <c r="K409" i="5"/>
  <c r="K397" i="5"/>
  <c r="K385" i="5"/>
  <c r="K369" i="5"/>
  <c r="K357" i="5"/>
  <c r="K345" i="5"/>
  <c r="K337" i="5"/>
  <c r="K321" i="5"/>
  <c r="K309" i="5"/>
  <c r="K289" i="5"/>
  <c r="K157" i="5"/>
  <c r="K149" i="5"/>
  <c r="K141" i="5"/>
  <c r="K133" i="5"/>
  <c r="K125" i="5"/>
  <c r="J125" i="5"/>
  <c r="K117" i="5"/>
  <c r="K109" i="5"/>
  <c r="K101" i="5"/>
  <c r="K93" i="5"/>
  <c r="K85" i="5"/>
  <c r="K77" i="5"/>
  <c r="K69" i="5"/>
  <c r="K61" i="5"/>
  <c r="K57" i="5"/>
  <c r="K49" i="5"/>
  <c r="K41" i="5"/>
  <c r="K33" i="5"/>
  <c r="K25" i="5"/>
  <c r="K567" i="5"/>
  <c r="K547" i="5"/>
  <c r="K543" i="5"/>
  <c r="K535" i="5"/>
  <c r="K515" i="5"/>
  <c r="K511" i="5"/>
  <c r="K503" i="5"/>
  <c r="K483" i="5"/>
  <c r="K479" i="5"/>
  <c r="K471" i="5"/>
  <c r="K455" i="5"/>
  <c r="K435" i="5"/>
  <c r="K431" i="5"/>
  <c r="K423" i="5"/>
  <c r="K403" i="5"/>
  <c r="K399" i="5"/>
  <c r="K391" i="5"/>
  <c r="K371" i="5"/>
  <c r="K367" i="5"/>
  <c r="K355" i="5"/>
  <c r="K339" i="5"/>
  <c r="K335" i="5"/>
  <c r="K327" i="5"/>
  <c r="K311" i="5"/>
  <c r="K291" i="5"/>
  <c r="K283" i="5"/>
  <c r="K275" i="5"/>
  <c r="K271" i="5"/>
  <c r="K255" i="5"/>
  <c r="K247" i="5"/>
  <c r="K239" i="5"/>
  <c r="K231" i="5"/>
  <c r="K223" i="5"/>
  <c r="K215" i="5"/>
  <c r="K195" i="5"/>
  <c r="K187" i="5"/>
  <c r="K179" i="5"/>
  <c r="K175" i="5"/>
  <c r="K167" i="5"/>
  <c r="M571" i="5"/>
  <c r="M487" i="5"/>
  <c r="O487" i="5" s="1"/>
  <c r="M395" i="5"/>
  <c r="M347" i="5"/>
  <c r="M331" i="5"/>
  <c r="M263" i="5"/>
  <c r="O263" i="5" s="1"/>
  <c r="M251" i="5"/>
  <c r="M199" i="5"/>
  <c r="M135" i="5"/>
  <c r="M119" i="5"/>
  <c r="O119" i="5" s="1"/>
  <c r="M35" i="5"/>
  <c r="E14" i="5"/>
  <c r="E19" i="5"/>
  <c r="E23" i="5"/>
  <c r="J23" i="5" s="1"/>
  <c r="E27" i="5"/>
  <c r="E31" i="5"/>
  <c r="E35" i="5"/>
  <c r="E39" i="5"/>
  <c r="J39" i="5" s="1"/>
  <c r="L39" i="5" s="1"/>
  <c r="E43" i="5"/>
  <c r="E47" i="5"/>
  <c r="E51" i="5"/>
  <c r="J51" i="5" s="1"/>
  <c r="E55" i="5"/>
  <c r="J55" i="5" s="1"/>
  <c r="L55" i="5" s="1"/>
  <c r="E59" i="5"/>
  <c r="E63" i="5"/>
  <c r="E67" i="5"/>
  <c r="J67" i="5" s="1"/>
  <c r="L67" i="5" s="1"/>
  <c r="E71" i="5"/>
  <c r="J71" i="5" s="1"/>
  <c r="L71" i="5" s="1"/>
  <c r="E75" i="5"/>
  <c r="E79" i="5"/>
  <c r="E83" i="5"/>
  <c r="J83" i="5" s="1"/>
  <c r="L83" i="5" s="1"/>
  <c r="E87" i="5"/>
  <c r="J87" i="5" s="1"/>
  <c r="E91" i="5"/>
  <c r="E95" i="5"/>
  <c r="E99" i="5"/>
  <c r="J99" i="5" s="1"/>
  <c r="E103" i="5"/>
  <c r="J103" i="5" s="1"/>
  <c r="E107" i="5"/>
  <c r="E111" i="5"/>
  <c r="E115" i="5"/>
  <c r="J115" i="5" s="1"/>
  <c r="E119" i="5"/>
  <c r="J119" i="5" s="1"/>
  <c r="E123" i="5"/>
  <c r="E127" i="5"/>
  <c r="E131" i="5"/>
  <c r="J131" i="5" s="1"/>
  <c r="E135" i="5"/>
  <c r="J135" i="5" s="1"/>
  <c r="E139" i="5"/>
  <c r="E143" i="5"/>
  <c r="E147" i="5"/>
  <c r="J147" i="5" s="1"/>
  <c r="E151" i="5"/>
  <c r="J151" i="5" s="1"/>
  <c r="E155" i="5"/>
  <c r="E159" i="5"/>
  <c r="E163" i="5"/>
  <c r="E167" i="5"/>
  <c r="E171" i="5"/>
  <c r="E175" i="5"/>
  <c r="E179" i="5"/>
  <c r="E183" i="5"/>
  <c r="E187" i="5"/>
  <c r="E191" i="5"/>
  <c r="E195" i="5"/>
  <c r="E199" i="5"/>
  <c r="E203" i="5"/>
  <c r="J203" i="5" s="1"/>
  <c r="E207" i="5"/>
  <c r="E211" i="5"/>
  <c r="E215" i="5"/>
  <c r="E219" i="5"/>
  <c r="E223" i="5"/>
  <c r="E227" i="5"/>
  <c r="E231" i="5"/>
  <c r="E235" i="5"/>
  <c r="E239" i="5"/>
  <c r="E243" i="5"/>
  <c r="E247" i="5"/>
  <c r="E251" i="5"/>
  <c r="J251" i="5" s="1"/>
  <c r="E255" i="5"/>
  <c r="E259" i="5"/>
  <c r="E263" i="5"/>
  <c r="E267" i="5"/>
  <c r="E271" i="5"/>
  <c r="E275" i="5"/>
  <c r="E279" i="5"/>
  <c r="E283" i="5"/>
  <c r="E287" i="5"/>
  <c r="E291" i="5"/>
  <c r="E295" i="5"/>
  <c r="E299" i="5"/>
  <c r="J299" i="5" s="1"/>
  <c r="E303" i="5"/>
  <c r="E307" i="5"/>
  <c r="E311" i="5"/>
  <c r="E315" i="5"/>
  <c r="E319" i="5"/>
  <c r="E323" i="5"/>
  <c r="E327" i="5"/>
  <c r="E331" i="5"/>
  <c r="E335" i="5"/>
  <c r="E339" i="5"/>
  <c r="E343" i="5"/>
  <c r="E347" i="5"/>
  <c r="J347" i="5" s="1"/>
  <c r="E351" i="5"/>
  <c r="E355" i="5"/>
  <c r="E359" i="5"/>
  <c r="E363" i="5"/>
  <c r="E367" i="5"/>
  <c r="E371" i="5"/>
  <c r="E375" i="5"/>
  <c r="E379" i="5"/>
  <c r="E383" i="5"/>
  <c r="E387" i="5"/>
  <c r="E391" i="5"/>
  <c r="E395" i="5"/>
  <c r="J395" i="5" s="1"/>
  <c r="E399" i="5"/>
  <c r="E403" i="5"/>
  <c r="E407" i="5"/>
  <c r="E411" i="5"/>
  <c r="E415" i="5"/>
  <c r="E419" i="5"/>
  <c r="E423" i="5"/>
  <c r="E427" i="5"/>
  <c r="E431" i="5"/>
  <c r="E435" i="5"/>
  <c r="E439" i="5"/>
  <c r="E443" i="5"/>
  <c r="J443" i="5" s="1"/>
  <c r="E447" i="5"/>
  <c r="E451" i="5"/>
  <c r="E455" i="5"/>
  <c r="E459" i="5"/>
  <c r="E463" i="5"/>
  <c r="E467" i="5"/>
  <c r="E471" i="5"/>
  <c r="E475" i="5"/>
  <c r="E479" i="5"/>
  <c r="E483" i="5"/>
  <c r="E487" i="5"/>
  <c r="E491" i="5"/>
  <c r="J491" i="5" s="1"/>
  <c r="E495" i="5"/>
  <c r="E499" i="5"/>
  <c r="E503" i="5"/>
  <c r="E507" i="5"/>
  <c r="E511" i="5"/>
  <c r="E515" i="5"/>
  <c r="E519" i="5"/>
  <c r="E523" i="5"/>
  <c r="E527" i="5"/>
  <c r="E531" i="5"/>
  <c r="E535" i="5"/>
  <c r="E539" i="5"/>
  <c r="J539" i="5" s="1"/>
  <c r="E543" i="5"/>
  <c r="E547" i="5"/>
  <c r="E551" i="5"/>
  <c r="E555" i="5"/>
  <c r="E559" i="5"/>
  <c r="E563" i="5"/>
  <c r="E567" i="5"/>
  <c r="E571" i="5"/>
  <c r="E575" i="5"/>
  <c r="E20" i="5"/>
  <c r="J20" i="5" s="1"/>
  <c r="E24" i="5"/>
  <c r="J24" i="5" s="1"/>
  <c r="E28" i="5"/>
  <c r="E32" i="5"/>
  <c r="E36" i="5"/>
  <c r="E40" i="5"/>
  <c r="E44" i="5"/>
  <c r="J44" i="5" s="1"/>
  <c r="E48" i="5"/>
  <c r="J48" i="5" s="1"/>
  <c r="E52" i="5"/>
  <c r="E56" i="5"/>
  <c r="E60" i="5"/>
  <c r="E64" i="5"/>
  <c r="E68" i="5"/>
  <c r="E72" i="5"/>
  <c r="U16" i="5"/>
  <c r="U20" i="5"/>
  <c r="U24" i="5"/>
  <c r="U28" i="5"/>
  <c r="U32" i="5"/>
  <c r="U36" i="5"/>
  <c r="U40" i="5"/>
  <c r="U44" i="5"/>
  <c r="U48" i="5"/>
  <c r="U52" i="5"/>
  <c r="U56" i="5"/>
  <c r="U60" i="5"/>
  <c r="U64" i="5"/>
  <c r="U68" i="5"/>
  <c r="U72" i="5"/>
  <c r="U76" i="5"/>
  <c r="U80" i="5"/>
  <c r="U84" i="5"/>
  <c r="U88" i="5"/>
  <c r="U92" i="5"/>
  <c r="U96" i="5"/>
  <c r="U100" i="5"/>
  <c r="U104" i="5"/>
  <c r="U108" i="5"/>
  <c r="U112" i="5"/>
  <c r="U116" i="5"/>
  <c r="U120" i="5"/>
  <c r="U124" i="5"/>
  <c r="U128" i="5"/>
  <c r="U132" i="5"/>
  <c r="U136" i="5"/>
  <c r="U140" i="5"/>
  <c r="U144" i="5"/>
  <c r="U148" i="5"/>
  <c r="U152" i="5"/>
  <c r="U156" i="5"/>
  <c r="U160" i="5"/>
  <c r="U164" i="5"/>
  <c r="U168" i="5"/>
  <c r="U172" i="5"/>
  <c r="U176" i="5"/>
  <c r="U180" i="5"/>
  <c r="U184" i="5"/>
  <c r="U188" i="5"/>
  <c r="U192" i="5"/>
  <c r="U196" i="5"/>
  <c r="U17" i="5"/>
  <c r="U21" i="5"/>
  <c r="U25" i="5"/>
  <c r="U29" i="5"/>
  <c r="U33" i="5"/>
  <c r="U37" i="5"/>
  <c r="U41" i="5"/>
  <c r="U45" i="5"/>
  <c r="U49" i="5"/>
  <c r="U53" i="5"/>
  <c r="U57" i="5"/>
  <c r="U61" i="5"/>
  <c r="U65" i="5"/>
  <c r="U69" i="5"/>
  <c r="U73" i="5"/>
  <c r="U77" i="5"/>
  <c r="U81" i="5"/>
  <c r="U85" i="5"/>
  <c r="U89" i="5"/>
  <c r="U93" i="5"/>
  <c r="U97" i="5"/>
  <c r="U101" i="5"/>
  <c r="U105" i="5"/>
  <c r="U109" i="5"/>
  <c r="U113" i="5"/>
  <c r="U117" i="5"/>
  <c r="U121" i="5"/>
  <c r="U125" i="5"/>
  <c r="U129" i="5"/>
  <c r="U133" i="5"/>
  <c r="U137" i="5"/>
  <c r="U141" i="5"/>
  <c r="U145" i="5"/>
  <c r="U149" i="5"/>
  <c r="U153" i="5"/>
  <c r="U157" i="5"/>
  <c r="U161" i="5"/>
  <c r="U165" i="5"/>
  <c r="U169" i="5"/>
  <c r="U173" i="5"/>
  <c r="U177" i="5"/>
  <c r="U181" i="5"/>
  <c r="U185" i="5"/>
  <c r="U18" i="5"/>
  <c r="U22" i="5"/>
  <c r="U26" i="5"/>
  <c r="U30" i="5"/>
  <c r="U34" i="5"/>
  <c r="U38" i="5"/>
  <c r="U42" i="5"/>
  <c r="U46" i="5"/>
  <c r="U50" i="5"/>
  <c r="U54" i="5"/>
  <c r="U58" i="5"/>
  <c r="U62" i="5"/>
  <c r="U66" i="5"/>
  <c r="U70" i="5"/>
  <c r="U74" i="5"/>
  <c r="U78" i="5"/>
  <c r="U82" i="5"/>
  <c r="U86" i="5"/>
  <c r="U90" i="5"/>
  <c r="U94" i="5"/>
  <c r="U98" i="5"/>
  <c r="U102" i="5"/>
  <c r="U106" i="5"/>
  <c r="U110" i="5"/>
  <c r="U114" i="5"/>
  <c r="U118" i="5"/>
  <c r="U122" i="5"/>
  <c r="U126" i="5"/>
  <c r="U130" i="5"/>
  <c r="U134" i="5"/>
  <c r="U138" i="5"/>
  <c r="U142" i="5"/>
  <c r="U146" i="5"/>
  <c r="U150" i="5"/>
  <c r="U154" i="5"/>
  <c r="U158" i="5"/>
  <c r="U162" i="5"/>
  <c r="U166" i="5"/>
  <c r="U170" i="5"/>
  <c r="U174" i="5"/>
  <c r="U178" i="5"/>
  <c r="U182" i="5"/>
  <c r="U186" i="5"/>
  <c r="U190" i="5"/>
  <c r="U194" i="5"/>
  <c r="U198" i="5"/>
  <c r="U202" i="5"/>
  <c r="U206" i="5"/>
  <c r="U210" i="5"/>
  <c r="U214" i="5"/>
  <c r="U218" i="5"/>
  <c r="U222" i="5"/>
  <c r="U226" i="5"/>
  <c r="U230" i="5"/>
  <c r="U234" i="5"/>
  <c r="U238" i="5"/>
  <c r="U242" i="5"/>
  <c r="U246" i="5"/>
  <c r="U250" i="5"/>
  <c r="U254" i="5"/>
  <c r="U258" i="5"/>
  <c r="U262" i="5"/>
  <c r="U266" i="5"/>
  <c r="U270" i="5"/>
  <c r="U274" i="5"/>
  <c r="U278" i="5"/>
  <c r="U282" i="5"/>
  <c r="U286" i="5"/>
  <c r="U290" i="5"/>
  <c r="U294" i="5"/>
  <c r="U298" i="5"/>
  <c r="U302" i="5"/>
  <c r="U306" i="5"/>
  <c r="U310" i="5"/>
  <c r="U314" i="5"/>
  <c r="U318" i="5"/>
  <c r="U322" i="5"/>
  <c r="U326" i="5"/>
  <c r="U330" i="5"/>
  <c r="U334" i="5"/>
  <c r="U338" i="5"/>
  <c r="U342" i="5"/>
  <c r="U346" i="5"/>
  <c r="U350" i="5"/>
  <c r="U354" i="5"/>
  <c r="U19" i="5"/>
  <c r="U35" i="5"/>
  <c r="U51" i="5"/>
  <c r="U67" i="5"/>
  <c r="U83" i="5"/>
  <c r="U99" i="5"/>
  <c r="U115" i="5"/>
  <c r="U131" i="5"/>
  <c r="U147" i="5"/>
  <c r="U163" i="5"/>
  <c r="U179" i="5"/>
  <c r="U191" i="5"/>
  <c r="U199" i="5"/>
  <c r="U204" i="5"/>
  <c r="U209" i="5"/>
  <c r="U215" i="5"/>
  <c r="U220" i="5"/>
  <c r="U225" i="5"/>
  <c r="U231" i="5"/>
  <c r="U236" i="5"/>
  <c r="U241" i="5"/>
  <c r="U247" i="5"/>
  <c r="U252" i="5"/>
  <c r="U257" i="5"/>
  <c r="U263" i="5"/>
  <c r="U268" i="5"/>
  <c r="U273" i="5"/>
  <c r="U279" i="5"/>
  <c r="U284" i="5"/>
  <c r="U289" i="5"/>
  <c r="U295" i="5"/>
  <c r="U300" i="5"/>
  <c r="U305" i="5"/>
  <c r="U311" i="5"/>
  <c r="U316" i="5"/>
  <c r="U321" i="5"/>
  <c r="U327" i="5"/>
  <c r="U332" i="5"/>
  <c r="U337" i="5"/>
  <c r="U343" i="5"/>
  <c r="U348" i="5"/>
  <c r="U353" i="5"/>
  <c r="U358" i="5"/>
  <c r="U362" i="5"/>
  <c r="U366" i="5"/>
  <c r="U370" i="5"/>
  <c r="U374" i="5"/>
  <c r="U378" i="5"/>
  <c r="U382" i="5"/>
  <c r="U386" i="5"/>
  <c r="U390" i="5"/>
  <c r="U394" i="5"/>
  <c r="U398" i="5"/>
  <c r="U402" i="5"/>
  <c r="U406" i="5"/>
  <c r="U410" i="5"/>
  <c r="U414" i="5"/>
  <c r="U418" i="5"/>
  <c r="U422" i="5"/>
  <c r="U426" i="5"/>
  <c r="U430" i="5"/>
  <c r="U434" i="5"/>
  <c r="U438" i="5"/>
  <c r="U442" i="5"/>
  <c r="U446" i="5"/>
  <c r="U450" i="5"/>
  <c r="U454" i="5"/>
  <c r="U458" i="5"/>
  <c r="U462" i="5"/>
  <c r="U466" i="5"/>
  <c r="U470" i="5"/>
  <c r="U474" i="5"/>
  <c r="U478" i="5"/>
  <c r="U482" i="5"/>
  <c r="U486" i="5"/>
  <c r="U490" i="5"/>
  <c r="U494" i="5"/>
  <c r="U498" i="5"/>
  <c r="U502" i="5"/>
  <c r="U506" i="5"/>
  <c r="U510" i="5"/>
  <c r="U514" i="5"/>
  <c r="U518" i="5"/>
  <c r="U522" i="5"/>
  <c r="U526" i="5"/>
  <c r="U23" i="5"/>
  <c r="U39" i="5"/>
  <c r="U55" i="5"/>
  <c r="U71" i="5"/>
  <c r="U87" i="5"/>
  <c r="U103" i="5"/>
  <c r="U119" i="5"/>
  <c r="U135" i="5"/>
  <c r="U151" i="5"/>
  <c r="U167" i="5"/>
  <c r="U183" i="5"/>
  <c r="U193" i="5"/>
  <c r="U200" i="5"/>
  <c r="U205" i="5"/>
  <c r="U211" i="5"/>
  <c r="U216" i="5"/>
  <c r="U221" i="5"/>
  <c r="U227" i="5"/>
  <c r="U232" i="5"/>
  <c r="U237" i="5"/>
  <c r="U243" i="5"/>
  <c r="U248" i="5"/>
  <c r="U253" i="5"/>
  <c r="U259" i="5"/>
  <c r="U264" i="5"/>
  <c r="U269" i="5"/>
  <c r="U275" i="5"/>
  <c r="U280" i="5"/>
  <c r="U285" i="5"/>
  <c r="U291" i="5"/>
  <c r="U296" i="5"/>
  <c r="U301" i="5"/>
  <c r="U307" i="5"/>
  <c r="U312" i="5"/>
  <c r="U317" i="5"/>
  <c r="U323" i="5"/>
  <c r="U328" i="5"/>
  <c r="U333" i="5"/>
  <c r="U339" i="5"/>
  <c r="U344" i="5"/>
  <c r="U349" i="5"/>
  <c r="U355" i="5"/>
  <c r="U359" i="5"/>
  <c r="U363" i="5"/>
  <c r="U367" i="5"/>
  <c r="U371" i="5"/>
  <c r="U375" i="5"/>
  <c r="U379" i="5"/>
  <c r="U383" i="5"/>
  <c r="U387" i="5"/>
  <c r="U391" i="5"/>
  <c r="U395" i="5"/>
  <c r="U399" i="5"/>
  <c r="U403" i="5"/>
  <c r="U407" i="5"/>
  <c r="U411" i="5"/>
  <c r="U415" i="5"/>
  <c r="U419" i="5"/>
  <c r="U423" i="5"/>
  <c r="U427" i="5"/>
  <c r="U431" i="5"/>
  <c r="U435" i="5"/>
  <c r="U439" i="5"/>
  <c r="U443" i="5"/>
  <c r="U447" i="5"/>
  <c r="U451" i="5"/>
  <c r="U455" i="5"/>
  <c r="U459" i="5"/>
  <c r="U463" i="5"/>
  <c r="U467" i="5"/>
  <c r="U471" i="5"/>
  <c r="U475" i="5"/>
  <c r="U479" i="5"/>
  <c r="U483" i="5"/>
  <c r="U487" i="5"/>
  <c r="U491" i="5"/>
  <c r="U495" i="5"/>
  <c r="U499" i="5"/>
  <c r="U503" i="5"/>
  <c r="U507" i="5"/>
  <c r="U511" i="5"/>
  <c r="U515" i="5"/>
  <c r="U27" i="5"/>
  <c r="U43" i="5"/>
  <c r="U59" i="5"/>
  <c r="U75" i="5"/>
  <c r="U91" i="5"/>
  <c r="U107" i="5"/>
  <c r="U123" i="5"/>
  <c r="U139" i="5"/>
  <c r="U155" i="5"/>
  <c r="U171" i="5"/>
  <c r="U187" i="5"/>
  <c r="U195" i="5"/>
  <c r="U201" i="5"/>
  <c r="U207" i="5"/>
  <c r="U212" i="5"/>
  <c r="U217" i="5"/>
  <c r="U223" i="5"/>
  <c r="U228" i="5"/>
  <c r="U233" i="5"/>
  <c r="U239" i="5"/>
  <c r="U244" i="5"/>
  <c r="U249" i="5"/>
  <c r="U255" i="5"/>
  <c r="U260" i="5"/>
  <c r="U265" i="5"/>
  <c r="U271" i="5"/>
  <c r="U276" i="5"/>
  <c r="U281" i="5"/>
  <c r="U287" i="5"/>
  <c r="U292" i="5"/>
  <c r="U297" i="5"/>
  <c r="U303" i="5"/>
  <c r="U308" i="5"/>
  <c r="U313" i="5"/>
  <c r="U319" i="5"/>
  <c r="U324" i="5"/>
  <c r="U329" i="5"/>
  <c r="U335" i="5"/>
  <c r="U340" i="5"/>
  <c r="U345" i="5"/>
  <c r="U351" i="5"/>
  <c r="U356" i="5"/>
  <c r="U360" i="5"/>
  <c r="U364" i="5"/>
  <c r="U368" i="5"/>
  <c r="U372" i="5"/>
  <c r="U376" i="5"/>
  <c r="U380" i="5"/>
  <c r="U384" i="5"/>
  <c r="U388" i="5"/>
  <c r="U392" i="5"/>
  <c r="U396" i="5"/>
  <c r="U400" i="5"/>
  <c r="U404" i="5"/>
  <c r="U408" i="5"/>
  <c r="U412" i="5"/>
  <c r="U416" i="5"/>
  <c r="U420" i="5"/>
  <c r="U424" i="5"/>
  <c r="U428" i="5"/>
  <c r="U432" i="5"/>
  <c r="U436" i="5"/>
  <c r="U440" i="5"/>
  <c r="U444" i="5"/>
  <c r="U448" i="5"/>
  <c r="U452" i="5"/>
  <c r="U456" i="5"/>
  <c r="U460" i="5"/>
  <c r="U464" i="5"/>
  <c r="U468" i="5"/>
  <c r="U472" i="5"/>
  <c r="U476" i="5"/>
  <c r="U480" i="5"/>
  <c r="U484" i="5"/>
  <c r="U488" i="5"/>
  <c r="U492" i="5"/>
  <c r="U496" i="5"/>
  <c r="U500" i="5"/>
  <c r="U504" i="5"/>
  <c r="U508" i="5"/>
  <c r="U512" i="5"/>
  <c r="U516" i="5"/>
  <c r="U520" i="5"/>
  <c r="U524" i="5"/>
  <c r="U31" i="5"/>
  <c r="U95" i="5"/>
  <c r="U159" i="5"/>
  <c r="U203" i="5"/>
  <c r="U224" i="5"/>
  <c r="U245" i="5"/>
  <c r="U267" i="5"/>
  <c r="U288" i="5"/>
  <c r="U309" i="5"/>
  <c r="U331" i="5"/>
  <c r="U352" i="5"/>
  <c r="U369" i="5"/>
  <c r="U385" i="5"/>
  <c r="U401" i="5"/>
  <c r="U417" i="5"/>
  <c r="U433" i="5"/>
  <c r="U449" i="5"/>
  <c r="U465" i="5"/>
  <c r="U481" i="5"/>
  <c r="U497" i="5"/>
  <c r="U513" i="5"/>
  <c r="U523" i="5"/>
  <c r="U529" i="5"/>
  <c r="U533" i="5"/>
  <c r="U537" i="5"/>
  <c r="U541" i="5"/>
  <c r="U545" i="5"/>
  <c r="U549" i="5"/>
  <c r="U553" i="5"/>
  <c r="U557" i="5"/>
  <c r="U561" i="5"/>
  <c r="U565" i="5"/>
  <c r="U569" i="5"/>
  <c r="U573" i="5"/>
  <c r="U47" i="5"/>
  <c r="U111" i="5"/>
  <c r="U175" i="5"/>
  <c r="U208" i="5"/>
  <c r="U229" i="5"/>
  <c r="U251" i="5"/>
  <c r="U272" i="5"/>
  <c r="U293" i="5"/>
  <c r="U315" i="5"/>
  <c r="U336" i="5"/>
  <c r="U357" i="5"/>
  <c r="U373" i="5"/>
  <c r="U389" i="5"/>
  <c r="U405" i="5"/>
  <c r="U421" i="5"/>
  <c r="U437" i="5"/>
  <c r="U453" i="5"/>
  <c r="U469" i="5"/>
  <c r="U485" i="5"/>
  <c r="U501" i="5"/>
  <c r="U517" i="5"/>
  <c r="U525" i="5"/>
  <c r="U530" i="5"/>
  <c r="U534" i="5"/>
  <c r="U538" i="5"/>
  <c r="U542" i="5"/>
  <c r="U546" i="5"/>
  <c r="U550" i="5"/>
  <c r="U554" i="5"/>
  <c r="U558" i="5"/>
  <c r="U562" i="5"/>
  <c r="U566" i="5"/>
  <c r="U570" i="5"/>
  <c r="U574" i="5"/>
  <c r="U63" i="5"/>
  <c r="U127" i="5"/>
  <c r="U189" i="5"/>
  <c r="U213" i="5"/>
  <c r="U235" i="5"/>
  <c r="U256" i="5"/>
  <c r="U277" i="5"/>
  <c r="U299" i="5"/>
  <c r="U320" i="5"/>
  <c r="U341" i="5"/>
  <c r="U361" i="5"/>
  <c r="U377" i="5"/>
  <c r="U393" i="5"/>
  <c r="U409" i="5"/>
  <c r="U425" i="5"/>
  <c r="U441" i="5"/>
  <c r="U457" i="5"/>
  <c r="U473" i="5"/>
  <c r="U489" i="5"/>
  <c r="U505" i="5"/>
  <c r="U519" i="5"/>
  <c r="U527" i="5"/>
  <c r="U531" i="5"/>
  <c r="U535" i="5"/>
  <c r="U539" i="5"/>
  <c r="U543" i="5"/>
  <c r="U547" i="5"/>
  <c r="U551" i="5"/>
  <c r="U555" i="5"/>
  <c r="U559" i="5"/>
  <c r="U563" i="5"/>
  <c r="U567" i="5"/>
  <c r="U571" i="5"/>
  <c r="U575" i="5"/>
  <c r="U79" i="5"/>
  <c r="U240" i="5"/>
  <c r="U325" i="5"/>
  <c r="U397" i="5"/>
  <c r="U461" i="5"/>
  <c r="U521" i="5"/>
  <c r="U540" i="5"/>
  <c r="U556" i="5"/>
  <c r="U572" i="5"/>
  <c r="U143" i="5"/>
  <c r="U261" i="5"/>
  <c r="U347" i="5"/>
  <c r="U413" i="5"/>
  <c r="U477" i="5"/>
  <c r="U528" i="5"/>
  <c r="U544" i="5"/>
  <c r="U560" i="5"/>
  <c r="U576" i="5"/>
  <c r="U197" i="5"/>
  <c r="U283" i="5"/>
  <c r="U365" i="5"/>
  <c r="U429" i="5"/>
  <c r="U493" i="5"/>
  <c r="U532" i="5"/>
  <c r="U548" i="5"/>
  <c r="U564" i="5"/>
  <c r="U219" i="5"/>
  <c r="U509" i="5"/>
  <c r="U304" i="5"/>
  <c r="U536" i="5"/>
  <c r="U381" i="5"/>
  <c r="U552" i="5"/>
  <c r="U445" i="5"/>
  <c r="U568" i="5"/>
  <c r="U15" i="5"/>
  <c r="K16" i="5"/>
  <c r="K160" i="5"/>
  <c r="K156" i="5"/>
  <c r="K152" i="5"/>
  <c r="K148" i="5"/>
  <c r="K144" i="5"/>
  <c r="K140" i="5"/>
  <c r="J140" i="5"/>
  <c r="K136" i="5"/>
  <c r="K132" i="5"/>
  <c r="K128" i="5"/>
  <c r="J128" i="5"/>
  <c r="K124" i="5"/>
  <c r="K120" i="5"/>
  <c r="K116" i="5"/>
  <c r="K112" i="5"/>
  <c r="J112" i="5"/>
  <c r="K108" i="5"/>
  <c r="K104" i="5"/>
  <c r="K100" i="5"/>
  <c r="K96" i="5"/>
  <c r="K92" i="5"/>
  <c r="K88" i="5"/>
  <c r="K84" i="5"/>
  <c r="K80" i="5"/>
  <c r="K76" i="5"/>
  <c r="J76" i="5"/>
  <c r="K72" i="5"/>
  <c r="K68" i="5"/>
  <c r="K64" i="5"/>
  <c r="K60" i="5"/>
  <c r="K56" i="5"/>
  <c r="K52" i="5"/>
  <c r="K48" i="5"/>
  <c r="K44" i="5"/>
  <c r="K40" i="5"/>
  <c r="K36" i="5"/>
  <c r="K32" i="5"/>
  <c r="K28" i="5"/>
  <c r="K24" i="5"/>
  <c r="K20" i="5"/>
  <c r="K574" i="5"/>
  <c r="K570" i="5"/>
  <c r="K566" i="5"/>
  <c r="K562" i="5"/>
  <c r="K558" i="5"/>
  <c r="K554" i="5"/>
  <c r="N554" i="5" s="1"/>
  <c r="K550" i="5"/>
  <c r="K546" i="5"/>
  <c r="K542" i="5"/>
  <c r="K538" i="5"/>
  <c r="N538" i="5" s="1"/>
  <c r="K534" i="5"/>
  <c r="K530" i="5"/>
  <c r="K526" i="5"/>
  <c r="K522" i="5"/>
  <c r="K518" i="5"/>
  <c r="K514" i="5"/>
  <c r="K510" i="5"/>
  <c r="K506" i="5"/>
  <c r="K502" i="5"/>
  <c r="K498" i="5"/>
  <c r="K494" i="5"/>
  <c r="K490" i="5"/>
  <c r="K486" i="5"/>
  <c r="K482" i="5"/>
  <c r="K478" i="5"/>
  <c r="K474" i="5"/>
  <c r="K470" i="5"/>
  <c r="K466" i="5"/>
  <c r="K462" i="5"/>
  <c r="K458" i="5"/>
  <c r="K454" i="5"/>
  <c r="K450" i="5"/>
  <c r="K446" i="5"/>
  <c r="K442" i="5"/>
  <c r="N442" i="5" s="1"/>
  <c r="K438" i="5"/>
  <c r="K434" i="5"/>
  <c r="K430" i="5"/>
  <c r="K426" i="5"/>
  <c r="K422" i="5"/>
  <c r="K418" i="5"/>
  <c r="K414" i="5"/>
  <c r="K410" i="5"/>
  <c r="N410" i="5" s="1"/>
  <c r="K406" i="5"/>
  <c r="K402" i="5"/>
  <c r="K398" i="5"/>
  <c r="K394" i="5"/>
  <c r="K390" i="5"/>
  <c r="K386" i="5"/>
  <c r="K382" i="5"/>
  <c r="K378" i="5"/>
  <c r="K374" i="5"/>
  <c r="K370" i="5"/>
  <c r="K366" i="5"/>
  <c r="K362" i="5"/>
  <c r="K358" i="5"/>
  <c r="K354" i="5"/>
  <c r="K350" i="5"/>
  <c r="K346" i="5"/>
  <c r="K342" i="5"/>
  <c r="K338" i="5"/>
  <c r="J338" i="5"/>
  <c r="K334" i="5"/>
  <c r="K330" i="5"/>
  <c r="K326" i="5"/>
  <c r="K322" i="5"/>
  <c r="K318" i="5"/>
  <c r="K314" i="5"/>
  <c r="K310" i="5"/>
  <c r="K306" i="5"/>
  <c r="K302" i="5"/>
  <c r="K286" i="5"/>
  <c r="J242" i="5"/>
  <c r="E574" i="5"/>
  <c r="J574" i="5" s="1"/>
  <c r="E569" i="5"/>
  <c r="E564" i="5"/>
  <c r="E558" i="5"/>
  <c r="J558" i="5" s="1"/>
  <c r="E553" i="5"/>
  <c r="J553" i="5" s="1"/>
  <c r="E548" i="5"/>
  <c r="E542" i="5"/>
  <c r="J542" i="5" s="1"/>
  <c r="L542" i="5" s="1"/>
  <c r="E537" i="5"/>
  <c r="E532" i="5"/>
  <c r="J532" i="5" s="1"/>
  <c r="E526" i="5"/>
  <c r="E521" i="5"/>
  <c r="E516" i="5"/>
  <c r="J516" i="5" s="1"/>
  <c r="L516" i="5" s="1"/>
  <c r="E510" i="5"/>
  <c r="J510" i="5" s="1"/>
  <c r="E505" i="5"/>
  <c r="E500" i="5"/>
  <c r="E494" i="5"/>
  <c r="J494" i="5" s="1"/>
  <c r="E489" i="5"/>
  <c r="J489" i="5" s="1"/>
  <c r="L489" i="5" s="1"/>
  <c r="E484" i="5"/>
  <c r="E478" i="5"/>
  <c r="J478" i="5" s="1"/>
  <c r="L478" i="5" s="1"/>
  <c r="E473" i="5"/>
  <c r="E468" i="5"/>
  <c r="E462" i="5"/>
  <c r="J462" i="5" s="1"/>
  <c r="E457" i="5"/>
  <c r="E452" i="5"/>
  <c r="E446" i="5"/>
  <c r="J446" i="5" s="1"/>
  <c r="E441" i="5"/>
  <c r="E436" i="5"/>
  <c r="E430" i="5"/>
  <c r="E425" i="5"/>
  <c r="E420" i="5"/>
  <c r="E414" i="5"/>
  <c r="J414" i="5" s="1"/>
  <c r="E409" i="5"/>
  <c r="E404" i="5"/>
  <c r="J404" i="5" s="1"/>
  <c r="L404" i="5" s="1"/>
  <c r="E398" i="5"/>
  <c r="J398" i="5" s="1"/>
  <c r="E393" i="5"/>
  <c r="E388" i="5"/>
  <c r="J388" i="5" s="1"/>
  <c r="E382" i="5"/>
  <c r="J382" i="5" s="1"/>
  <c r="E377" i="5"/>
  <c r="E372" i="5"/>
  <c r="E366" i="5"/>
  <c r="J366" i="5" s="1"/>
  <c r="E361" i="5"/>
  <c r="J361" i="5" s="1"/>
  <c r="E356" i="5"/>
  <c r="E350" i="5"/>
  <c r="J350" i="5" s="1"/>
  <c r="E345" i="5"/>
  <c r="E340" i="5"/>
  <c r="J340" i="5" s="1"/>
  <c r="E334" i="5"/>
  <c r="E329" i="5"/>
  <c r="E324" i="5"/>
  <c r="J324" i="5" s="1"/>
  <c r="L324" i="5" s="1"/>
  <c r="E318" i="5"/>
  <c r="J318" i="5" s="1"/>
  <c r="E313" i="5"/>
  <c r="E308" i="5"/>
  <c r="E302" i="5"/>
  <c r="J302" i="5" s="1"/>
  <c r="E297" i="5"/>
  <c r="J297" i="5" s="1"/>
  <c r="E292" i="5"/>
  <c r="E286" i="5"/>
  <c r="J286" i="5" s="1"/>
  <c r="L286" i="5" s="1"/>
  <c r="E281" i="5"/>
  <c r="E276" i="5"/>
  <c r="E270" i="5"/>
  <c r="J270" i="5" s="1"/>
  <c r="E265" i="5"/>
  <c r="E260" i="5"/>
  <c r="E254" i="5"/>
  <c r="J254" i="5" s="1"/>
  <c r="E249" i="5"/>
  <c r="E244" i="5"/>
  <c r="E238" i="5"/>
  <c r="E233" i="5"/>
  <c r="E228" i="5"/>
  <c r="E222" i="5"/>
  <c r="J222" i="5" s="1"/>
  <c r="E217" i="5"/>
  <c r="E212" i="5"/>
  <c r="J212" i="5" s="1"/>
  <c r="L212" i="5" s="1"/>
  <c r="E206" i="5"/>
  <c r="J206" i="5" s="1"/>
  <c r="E201" i="5"/>
  <c r="E196" i="5"/>
  <c r="J196" i="5" s="1"/>
  <c r="E190" i="5"/>
  <c r="J190" i="5" s="1"/>
  <c r="E185" i="5"/>
  <c r="E180" i="5"/>
  <c r="E174" i="5"/>
  <c r="E169" i="5"/>
  <c r="J169" i="5" s="1"/>
  <c r="L169" i="5" s="1"/>
  <c r="E164" i="5"/>
  <c r="E158" i="5"/>
  <c r="J158" i="5" s="1"/>
  <c r="L158" i="5" s="1"/>
  <c r="E153" i="5"/>
  <c r="J153" i="5" s="1"/>
  <c r="E148" i="5"/>
  <c r="E142" i="5"/>
  <c r="E137" i="5"/>
  <c r="E132" i="5"/>
  <c r="J132" i="5" s="1"/>
  <c r="E126" i="5"/>
  <c r="E121" i="5"/>
  <c r="E116" i="5"/>
  <c r="J116" i="5" s="1"/>
  <c r="E110" i="5"/>
  <c r="E105" i="5"/>
  <c r="E100" i="5"/>
  <c r="E94" i="5"/>
  <c r="E89" i="5"/>
  <c r="J89" i="5" s="1"/>
  <c r="E84" i="5"/>
  <c r="J84" i="5" s="1"/>
  <c r="E78" i="5"/>
  <c r="J78" i="5" s="1"/>
  <c r="L78" i="5" s="1"/>
  <c r="E73" i="5"/>
  <c r="J73" i="5" s="1"/>
  <c r="E65" i="5"/>
  <c r="E57" i="5"/>
  <c r="J57" i="5" s="1"/>
  <c r="L57" i="5" s="1"/>
  <c r="E49" i="5"/>
  <c r="E41" i="5"/>
  <c r="J41" i="5" s="1"/>
  <c r="E33" i="5"/>
  <c r="E25" i="5"/>
  <c r="J25" i="5" s="1"/>
  <c r="L25" i="5" s="1"/>
  <c r="E17" i="5"/>
  <c r="M574" i="5"/>
  <c r="M558" i="5"/>
  <c r="M554" i="5"/>
  <c r="M542" i="5"/>
  <c r="O542" i="5" s="1"/>
  <c r="M538" i="5"/>
  <c r="O538" i="5" s="1"/>
  <c r="M526" i="5"/>
  <c r="M510" i="5"/>
  <c r="M506" i="5"/>
  <c r="M494" i="5"/>
  <c r="M490" i="5"/>
  <c r="O490" i="5" s="1"/>
  <c r="M478" i="5"/>
  <c r="O478" i="5" s="1"/>
  <c r="M462" i="5"/>
  <c r="M458" i="5"/>
  <c r="M446" i="5"/>
  <c r="M442" i="5"/>
  <c r="M430" i="5"/>
  <c r="O430" i="5" s="1"/>
  <c r="M414" i="5"/>
  <c r="M410" i="5"/>
  <c r="M398" i="5"/>
  <c r="O398" i="5" s="1"/>
  <c r="M394" i="5"/>
  <c r="O394" i="5" s="1"/>
  <c r="M382" i="5"/>
  <c r="M366" i="5"/>
  <c r="M362" i="5"/>
  <c r="M350" i="5"/>
  <c r="M346" i="5"/>
  <c r="M334" i="5"/>
  <c r="O334" i="5" s="1"/>
  <c r="M318" i="5"/>
  <c r="M314" i="5"/>
  <c r="G568" i="5"/>
  <c r="G552" i="5"/>
  <c r="J552" i="5" s="1"/>
  <c r="L552" i="5" s="1"/>
  <c r="G536" i="5"/>
  <c r="M536" i="5" s="1"/>
  <c r="O536" i="5" s="1"/>
  <c r="G520" i="5"/>
  <c r="G504" i="5"/>
  <c r="G488" i="5"/>
  <c r="M488" i="5" s="1"/>
  <c r="G472" i="5"/>
  <c r="J472" i="5" s="1"/>
  <c r="L472" i="5" s="1"/>
  <c r="G456" i="5"/>
  <c r="J456" i="5" s="1"/>
  <c r="L456" i="5" s="1"/>
  <c r="G440" i="5"/>
  <c r="M440" i="5" s="1"/>
  <c r="O440" i="5" s="1"/>
  <c r="G424" i="5"/>
  <c r="J424" i="5" s="1"/>
  <c r="L424" i="5" s="1"/>
  <c r="G408" i="5"/>
  <c r="G392" i="5"/>
  <c r="G376" i="5"/>
  <c r="G360" i="5"/>
  <c r="M360" i="5" s="1"/>
  <c r="O360" i="5" s="1"/>
  <c r="G344" i="5"/>
  <c r="J344" i="5" s="1"/>
  <c r="L344" i="5" s="1"/>
  <c r="G328" i="5"/>
  <c r="G312" i="5"/>
  <c r="G296" i="5"/>
  <c r="J296" i="5" s="1"/>
  <c r="G280" i="5"/>
  <c r="G264" i="5"/>
  <c r="J264" i="5" s="1"/>
  <c r="L264" i="5" s="1"/>
  <c r="G248" i="5"/>
  <c r="J248" i="5" s="1"/>
  <c r="L248" i="5" s="1"/>
  <c r="G232" i="5"/>
  <c r="G216" i="5"/>
  <c r="G200" i="5"/>
  <c r="G184" i="5"/>
  <c r="G168" i="5"/>
  <c r="J168" i="5" s="1"/>
  <c r="L168" i="5" s="1"/>
  <c r="G150" i="5"/>
  <c r="M150" i="5" s="1"/>
  <c r="O150" i="5" s="1"/>
  <c r="G129" i="5"/>
  <c r="G104" i="5"/>
  <c r="M104" i="5" s="1"/>
  <c r="G72" i="5"/>
  <c r="M72" i="5" s="1"/>
  <c r="O72" i="5" s="1"/>
  <c r="G40" i="5"/>
  <c r="M40" i="5" s="1"/>
  <c r="O40" i="5" s="1"/>
  <c r="J522" i="5"/>
  <c r="L522" i="5" s="1"/>
  <c r="J458" i="5"/>
  <c r="L458" i="5" s="1"/>
  <c r="K571" i="5"/>
  <c r="K507" i="5"/>
  <c r="K443" i="5"/>
  <c r="K379" i="5"/>
  <c r="K315" i="5"/>
  <c r="M298" i="5"/>
  <c r="M270" i="5"/>
  <c r="M266" i="5"/>
  <c r="M254" i="5"/>
  <c r="M250" i="5"/>
  <c r="M222" i="5"/>
  <c r="M218" i="5"/>
  <c r="M206" i="5"/>
  <c r="M202" i="5"/>
  <c r="M174" i="5"/>
  <c r="M170" i="5"/>
  <c r="M158" i="5"/>
  <c r="O158" i="5" s="1"/>
  <c r="M154" i="5"/>
  <c r="M146" i="5"/>
  <c r="O146" i="5" s="1"/>
  <c r="M134" i="5"/>
  <c r="O134" i="5" s="1"/>
  <c r="M118" i="5"/>
  <c r="O118" i="5" s="1"/>
  <c r="M110" i="5"/>
  <c r="O110" i="5" s="1"/>
  <c r="M78" i="5"/>
  <c r="O78" i="5" s="1"/>
  <c r="M70" i="5"/>
  <c r="O70" i="5" s="1"/>
  <c r="M66" i="5"/>
  <c r="O66" i="5" s="1"/>
  <c r="M58" i="5"/>
  <c r="M46" i="5"/>
  <c r="M38" i="5"/>
  <c r="O38" i="5" s="1"/>
  <c r="M34" i="5"/>
  <c r="O34" i="5" s="1"/>
  <c r="M26" i="5"/>
  <c r="M22" i="5"/>
  <c r="O22" i="5" s="1"/>
  <c r="K254" i="5"/>
  <c r="M16" i="5"/>
  <c r="M565" i="5"/>
  <c r="O565" i="5" s="1"/>
  <c r="M553" i="5"/>
  <c r="M533" i="5"/>
  <c r="O533" i="5" s="1"/>
  <c r="M517" i="5"/>
  <c r="O517" i="5" s="1"/>
  <c r="M485" i="5"/>
  <c r="M469" i="5"/>
  <c r="O469" i="5" s="1"/>
  <c r="M437" i="5"/>
  <c r="O437" i="5" s="1"/>
  <c r="M421" i="5"/>
  <c r="M393" i="5"/>
  <c r="O393" i="5" s="1"/>
  <c r="M389" i="5"/>
  <c r="O389" i="5" s="1"/>
  <c r="M373" i="5"/>
  <c r="O373" i="5" s="1"/>
  <c r="M357" i="5"/>
  <c r="M341" i="5"/>
  <c r="M325" i="5"/>
  <c r="O325" i="5" s="1"/>
  <c r="M293" i="5"/>
  <c r="M289" i="5"/>
  <c r="M277" i="5"/>
  <c r="M273" i="5"/>
  <c r="O273" i="5" s="1"/>
  <c r="M245" i="5"/>
  <c r="O245" i="5" s="1"/>
  <c r="M241" i="5"/>
  <c r="O241" i="5" s="1"/>
  <c r="M229" i="5"/>
  <c r="M225" i="5"/>
  <c r="O225" i="5" s="1"/>
  <c r="M197" i="5"/>
  <c r="O197" i="5" s="1"/>
  <c r="M193" i="5"/>
  <c r="O193" i="5" s="1"/>
  <c r="M181" i="5"/>
  <c r="M177" i="5"/>
  <c r="O177" i="5" s="1"/>
  <c r="M153" i="5"/>
  <c r="M149" i="5"/>
  <c r="O149" i="5" s="1"/>
  <c r="M145" i="5"/>
  <c r="O145" i="5" s="1"/>
  <c r="M141" i="5"/>
  <c r="O141" i="5" s="1"/>
  <c r="M133" i="5"/>
  <c r="O133" i="5" s="1"/>
  <c r="M125" i="5"/>
  <c r="O125" i="5" s="1"/>
  <c r="M121" i="5"/>
  <c r="M89" i="5"/>
  <c r="M85" i="5"/>
  <c r="M73" i="5"/>
  <c r="M69" i="5"/>
  <c r="M61" i="5"/>
  <c r="O61" i="5" s="1"/>
  <c r="M41" i="5"/>
  <c r="M37" i="5"/>
  <c r="O37" i="5" s="1"/>
  <c r="M25" i="5"/>
  <c r="O25" i="5" s="1"/>
  <c r="M21" i="5"/>
  <c r="K270" i="5"/>
  <c r="K298" i="5"/>
  <c r="N298" i="5" s="1"/>
  <c r="K294" i="5"/>
  <c r="K290" i="5"/>
  <c r="K282" i="5"/>
  <c r="K278" i="5"/>
  <c r="K274" i="5"/>
  <c r="K266" i="5"/>
  <c r="K262" i="5"/>
  <c r="K258" i="5"/>
  <c r="K250" i="5"/>
  <c r="K246" i="5"/>
  <c r="K242" i="5"/>
  <c r="K234" i="5"/>
  <c r="K230" i="5"/>
  <c r="K226" i="5"/>
  <c r="K222" i="5"/>
  <c r="K218" i="5"/>
  <c r="N218" i="5" s="1"/>
  <c r="K214" i="5"/>
  <c r="K210" i="5"/>
  <c r="K206" i="5"/>
  <c r="K202" i="5"/>
  <c r="K198" i="5"/>
  <c r="K194" i="5"/>
  <c r="K190" i="5"/>
  <c r="K186" i="5"/>
  <c r="K182" i="5"/>
  <c r="K178" i="5"/>
  <c r="K174" i="5"/>
  <c r="K170" i="5"/>
  <c r="N170" i="5" s="1"/>
  <c r="K166" i="5"/>
  <c r="M576" i="5"/>
  <c r="O576" i="5" s="1"/>
  <c r="M572" i="5"/>
  <c r="M532" i="5"/>
  <c r="M528" i="5"/>
  <c r="O528" i="5" s="1"/>
  <c r="M524" i="5"/>
  <c r="M516" i="5"/>
  <c r="O516" i="5" s="1"/>
  <c r="M512" i="5"/>
  <c r="M508" i="5"/>
  <c r="M468" i="5"/>
  <c r="O468" i="5" s="1"/>
  <c r="M464" i="5"/>
  <c r="O464" i="5" s="1"/>
  <c r="M408" i="5"/>
  <c r="O408" i="5" s="1"/>
  <c r="M404" i="5"/>
  <c r="O404" i="5" s="1"/>
  <c r="M400" i="5"/>
  <c r="O400" i="5" s="1"/>
  <c r="M396" i="5"/>
  <c r="M388" i="5"/>
  <c r="M384" i="5"/>
  <c r="O384" i="5" s="1"/>
  <c r="M380" i="5"/>
  <c r="M340" i="5"/>
  <c r="M336" i="5"/>
  <c r="O336" i="5" s="1"/>
  <c r="M332" i="5"/>
  <c r="M324" i="5"/>
  <c r="O324" i="5" s="1"/>
  <c r="M320" i="5"/>
  <c r="O320" i="5" s="1"/>
  <c r="M316" i="5"/>
  <c r="M308" i="5"/>
  <c r="O308" i="5" s="1"/>
  <c r="M268" i="5"/>
  <c r="M260" i="5"/>
  <c r="O260" i="5" s="1"/>
  <c r="M212" i="5"/>
  <c r="O212" i="5" s="1"/>
  <c r="M208" i="5"/>
  <c r="O208" i="5" s="1"/>
  <c r="M204" i="5"/>
  <c r="M192" i="5"/>
  <c r="O192" i="5" s="1"/>
  <c r="M188" i="5"/>
  <c r="M140" i="5"/>
  <c r="M128" i="5"/>
  <c r="O128" i="5" s="1"/>
  <c r="M124" i="5"/>
  <c r="O124" i="5" s="1"/>
  <c r="M120" i="5"/>
  <c r="O120" i="5" s="1"/>
  <c r="M116" i="5"/>
  <c r="M108" i="5"/>
  <c r="M84" i="5"/>
  <c r="M80" i="5"/>
  <c r="M76" i="5"/>
  <c r="M52" i="5"/>
  <c r="M20" i="5"/>
  <c r="O20" i="5" s="1"/>
  <c r="J174" i="5"/>
  <c r="L174" i="5" s="1"/>
  <c r="E15" i="5"/>
  <c r="U14" i="5"/>
  <c r="G14" i="5"/>
  <c r="K14" i="5"/>
  <c r="H7" i="5"/>
  <c r="O532" i="5" l="1"/>
  <c r="J555" i="5"/>
  <c r="J459" i="5"/>
  <c r="J171" i="5"/>
  <c r="N171" i="5" s="1"/>
  <c r="P171" i="5" s="1"/>
  <c r="J137" i="5"/>
  <c r="L137" i="5" s="1"/>
  <c r="L297" i="5"/>
  <c r="L119" i="5"/>
  <c r="O331" i="5"/>
  <c r="O475" i="5"/>
  <c r="O94" i="5"/>
  <c r="J566" i="5"/>
  <c r="N566" i="5" s="1"/>
  <c r="J182" i="5"/>
  <c r="N182" i="5" s="1"/>
  <c r="J469" i="5"/>
  <c r="J325" i="5"/>
  <c r="J82" i="5"/>
  <c r="L82" i="5" s="1"/>
  <c r="J34" i="5"/>
  <c r="L34" i="5" s="1"/>
  <c r="J363" i="5"/>
  <c r="L363" i="5" s="1"/>
  <c r="J267" i="5"/>
  <c r="L267" i="5" s="1"/>
  <c r="J309" i="5"/>
  <c r="J210" i="5"/>
  <c r="O401" i="5"/>
  <c r="O85" i="5"/>
  <c r="J376" i="5"/>
  <c r="L376" i="5" s="1"/>
  <c r="L73" i="5"/>
  <c r="J233" i="5"/>
  <c r="L233" i="5" s="1"/>
  <c r="M165" i="5"/>
  <c r="O165" i="5" s="1"/>
  <c r="O488" i="5"/>
  <c r="O458" i="5"/>
  <c r="J110" i="5"/>
  <c r="L110" i="5" s="1"/>
  <c r="J238" i="5"/>
  <c r="L238" i="5" s="1"/>
  <c r="J334" i="5"/>
  <c r="L366" i="5"/>
  <c r="J430" i="5"/>
  <c r="J526" i="5"/>
  <c r="N526" i="5" s="1"/>
  <c r="P526" i="5" s="1"/>
  <c r="J571" i="5"/>
  <c r="N571" i="5" s="1"/>
  <c r="J523" i="5"/>
  <c r="L523" i="5" s="1"/>
  <c r="J475" i="5"/>
  <c r="J427" i="5"/>
  <c r="J379" i="5"/>
  <c r="J331" i="5"/>
  <c r="L331" i="5" s="1"/>
  <c r="J283" i="5"/>
  <c r="J235" i="5"/>
  <c r="L235" i="5" s="1"/>
  <c r="J187" i="5"/>
  <c r="L115" i="5"/>
  <c r="O347" i="5"/>
  <c r="O351" i="5"/>
  <c r="O537" i="5"/>
  <c r="O489" i="5"/>
  <c r="O297" i="5"/>
  <c r="O115" i="5"/>
  <c r="O19" i="5"/>
  <c r="J400" i="5"/>
  <c r="O73" i="5"/>
  <c r="M549" i="5"/>
  <c r="O549" i="5" s="1"/>
  <c r="L196" i="5"/>
  <c r="J452" i="5"/>
  <c r="L452" i="5" s="1"/>
  <c r="J411" i="5"/>
  <c r="J315" i="5"/>
  <c r="N315" i="5" s="1"/>
  <c r="J219" i="5"/>
  <c r="L219" i="5" s="1"/>
  <c r="O527" i="5"/>
  <c r="O407" i="5"/>
  <c r="L162" i="5"/>
  <c r="O281" i="5"/>
  <c r="O41" i="5"/>
  <c r="J105" i="5"/>
  <c r="L105" i="5" s="1"/>
  <c r="O512" i="5"/>
  <c r="M213" i="5"/>
  <c r="O213" i="5" s="1"/>
  <c r="J392" i="5"/>
  <c r="L392" i="5" s="1"/>
  <c r="O362" i="5"/>
  <c r="O108" i="5"/>
  <c r="O340" i="5"/>
  <c r="M501" i="5"/>
  <c r="O501" i="5" s="1"/>
  <c r="O16" i="5"/>
  <c r="O46" i="5"/>
  <c r="O104" i="5"/>
  <c r="J504" i="5"/>
  <c r="L504" i="5" s="1"/>
  <c r="O318" i="5"/>
  <c r="O366" i="5"/>
  <c r="O462" i="5"/>
  <c r="O510" i="5"/>
  <c r="O558" i="5"/>
  <c r="L41" i="5"/>
  <c r="J276" i="5"/>
  <c r="L276" i="5" s="1"/>
  <c r="L340" i="5"/>
  <c r="J468" i="5"/>
  <c r="L468" i="5" s="1"/>
  <c r="L532" i="5"/>
  <c r="J32" i="5"/>
  <c r="O199" i="5"/>
  <c r="O491" i="5"/>
  <c r="O467" i="5"/>
  <c r="O419" i="5"/>
  <c r="J438" i="5"/>
  <c r="J246" i="5"/>
  <c r="L246" i="5" s="1"/>
  <c r="J509" i="5"/>
  <c r="J341" i="5"/>
  <c r="L341" i="5" s="1"/>
  <c r="J293" i="5"/>
  <c r="J173" i="5"/>
  <c r="L114" i="5"/>
  <c r="J66" i="5"/>
  <c r="L66" i="5" s="1"/>
  <c r="J18" i="5"/>
  <c r="L18" i="5" s="1"/>
  <c r="O63" i="5"/>
  <c r="L224" i="5"/>
  <c r="L416" i="5"/>
  <c r="J512" i="5"/>
  <c r="O228" i="5"/>
  <c r="J260" i="5"/>
  <c r="L260" i="5" s="1"/>
  <c r="L388" i="5"/>
  <c r="J507" i="5"/>
  <c r="O287" i="5"/>
  <c r="O191" i="5"/>
  <c r="J258" i="5"/>
  <c r="L258" i="5" s="1"/>
  <c r="J130" i="5"/>
  <c r="L130" i="5" s="1"/>
  <c r="O80" i="5"/>
  <c r="O388" i="5"/>
  <c r="J425" i="5"/>
  <c r="L425" i="5" s="1"/>
  <c r="O84" i="5"/>
  <c r="M261" i="5"/>
  <c r="O261" i="5" s="1"/>
  <c r="O485" i="5"/>
  <c r="L296" i="5"/>
  <c r="O140" i="5"/>
  <c r="M256" i="5"/>
  <c r="O256" i="5" s="1"/>
  <c r="M344" i="5"/>
  <c r="O344" i="5" s="1"/>
  <c r="O181" i="5"/>
  <c r="O229" i="5"/>
  <c r="O277" i="5"/>
  <c r="O341" i="5"/>
  <c r="O421" i="5"/>
  <c r="J328" i="5"/>
  <c r="L328" i="5" s="1"/>
  <c r="J520" i="5"/>
  <c r="L520" i="5" s="1"/>
  <c r="M378" i="5"/>
  <c r="O378" i="5" s="1"/>
  <c r="P378" i="5" s="1"/>
  <c r="M426" i="5"/>
  <c r="N378" i="5"/>
  <c r="N426" i="5"/>
  <c r="L251" i="5"/>
  <c r="L131" i="5"/>
  <c r="O251" i="5"/>
  <c r="O295" i="5"/>
  <c r="J70" i="5"/>
  <c r="L70" i="5" s="1"/>
  <c r="L22" i="5"/>
  <c r="O142" i="5"/>
  <c r="O131" i="5"/>
  <c r="O15" i="5"/>
  <c r="J432" i="5"/>
  <c r="L432" i="5" s="1"/>
  <c r="O268" i="5"/>
  <c r="O524" i="5"/>
  <c r="O21" i="5"/>
  <c r="O170" i="5"/>
  <c r="P170" i="5" s="1"/>
  <c r="O202" i="5"/>
  <c r="O234" i="5"/>
  <c r="L99" i="5"/>
  <c r="O24" i="5"/>
  <c r="M157" i="5"/>
  <c r="O157" i="5" s="1"/>
  <c r="M502" i="5"/>
  <c r="O502" i="5" s="1"/>
  <c r="O395" i="5"/>
  <c r="O299" i="5"/>
  <c r="O235" i="5"/>
  <c r="O203" i="5"/>
  <c r="O171" i="5"/>
  <c r="O52" i="5"/>
  <c r="O252" i="5"/>
  <c r="O508" i="5"/>
  <c r="O132" i="5"/>
  <c r="O204" i="5"/>
  <c r="O460" i="5"/>
  <c r="L132" i="5"/>
  <c r="L395" i="5"/>
  <c r="L203" i="5"/>
  <c r="L171" i="5"/>
  <c r="O267" i="5"/>
  <c r="O551" i="5"/>
  <c r="O343" i="5"/>
  <c r="L190" i="5"/>
  <c r="L318" i="5"/>
  <c r="L140" i="5"/>
  <c r="L48" i="5"/>
  <c r="L125" i="5"/>
  <c r="O186" i="5"/>
  <c r="O218" i="5"/>
  <c r="O250" i="5"/>
  <c r="O282" i="5"/>
  <c r="L187" i="5"/>
  <c r="O567" i="5"/>
  <c r="O391" i="5"/>
  <c r="O311" i="5"/>
  <c r="O231" i="5"/>
  <c r="L222" i="5"/>
  <c r="O515" i="5"/>
  <c r="O483" i="5"/>
  <c r="O435" i="5"/>
  <c r="O355" i="5"/>
  <c r="O339" i="5"/>
  <c r="O291" i="5"/>
  <c r="O179" i="5"/>
  <c r="L144" i="5"/>
  <c r="O534" i="5"/>
  <c r="O406" i="5"/>
  <c r="O374" i="5"/>
  <c r="O148" i="5"/>
  <c r="O100" i="5"/>
  <c r="O68" i="5"/>
  <c r="O36" i="5"/>
  <c r="L541" i="5"/>
  <c r="O493" i="5"/>
  <c r="O445" i="5"/>
  <c r="O136" i="5"/>
  <c r="O49" i="5"/>
  <c r="O33" i="5"/>
  <c r="O56" i="5"/>
  <c r="J188" i="5"/>
  <c r="L188" i="5" s="1"/>
  <c r="J252" i="5"/>
  <c r="L252" i="5" s="1"/>
  <c r="J316" i="5"/>
  <c r="L316" i="5" s="1"/>
  <c r="J380" i="5"/>
  <c r="L380" i="5" s="1"/>
  <c r="J444" i="5"/>
  <c r="L444" i="5" s="1"/>
  <c r="O292" i="5"/>
  <c r="O356" i="5"/>
  <c r="O420" i="5"/>
  <c r="O484" i="5"/>
  <c r="O548" i="5"/>
  <c r="L206" i="5"/>
  <c r="O569" i="5"/>
  <c r="O505" i="5"/>
  <c r="O473" i="5"/>
  <c r="O457" i="5"/>
  <c r="O409" i="5"/>
  <c r="O345" i="5"/>
  <c r="O152" i="5"/>
  <c r="O109" i="5"/>
  <c r="O93" i="5"/>
  <c r="L88" i="5"/>
  <c r="O96" i="5"/>
  <c r="O180" i="5"/>
  <c r="O244" i="5"/>
  <c r="O372" i="5"/>
  <c r="O436" i="5"/>
  <c r="O500" i="5"/>
  <c r="O564" i="5"/>
  <c r="J108" i="5"/>
  <c r="L108" i="5" s="1"/>
  <c r="J385" i="5"/>
  <c r="J16" i="5"/>
  <c r="J141" i="5"/>
  <c r="L141" i="5" s="1"/>
  <c r="J394" i="5"/>
  <c r="L394" i="5" s="1"/>
  <c r="J266" i="5"/>
  <c r="L266" i="5" s="1"/>
  <c r="J357" i="5"/>
  <c r="J562" i="5"/>
  <c r="N562" i="5" s="1"/>
  <c r="M424" i="5"/>
  <c r="O424" i="5" s="1"/>
  <c r="N310" i="5"/>
  <c r="M240" i="5"/>
  <c r="O240" i="5" s="1"/>
  <c r="M456" i="5"/>
  <c r="O456" i="5" s="1"/>
  <c r="M472" i="5"/>
  <c r="O472" i="5" s="1"/>
  <c r="M285" i="5"/>
  <c r="O285" i="5" s="1"/>
  <c r="J14" i="5"/>
  <c r="M328" i="5"/>
  <c r="O328" i="5" s="1"/>
  <c r="M221" i="5"/>
  <c r="O221" i="5" s="1"/>
  <c r="J326" i="5"/>
  <c r="N326" i="5" s="1"/>
  <c r="P326" i="5" s="1"/>
  <c r="J482" i="5"/>
  <c r="J178" i="5"/>
  <c r="L178" i="5" s="1"/>
  <c r="J26" i="5"/>
  <c r="J85" i="5"/>
  <c r="L85" i="5" s="1"/>
  <c r="M269" i="5"/>
  <c r="M310" i="5"/>
  <c r="O310" i="5" s="1"/>
  <c r="P310" i="5" s="1"/>
  <c r="J126" i="5"/>
  <c r="L126" i="5" s="1"/>
  <c r="J60" i="5"/>
  <c r="J217" i="5"/>
  <c r="L217" i="5" s="1"/>
  <c r="J281" i="5"/>
  <c r="L281" i="5" s="1"/>
  <c r="J345" i="5"/>
  <c r="L345" i="5" s="1"/>
  <c r="J409" i="5"/>
  <c r="L409" i="5" s="1"/>
  <c r="J473" i="5"/>
  <c r="J537" i="5"/>
  <c r="L537" i="5" s="1"/>
  <c r="J374" i="5"/>
  <c r="J386" i="5"/>
  <c r="L386" i="5" s="1"/>
  <c r="M504" i="5"/>
  <c r="O504" i="5" s="1"/>
  <c r="N242" i="5"/>
  <c r="M205" i="5"/>
  <c r="N379" i="5"/>
  <c r="M566" i="5"/>
  <c r="J148" i="5"/>
  <c r="L148" i="5" s="1"/>
  <c r="J214" i="5"/>
  <c r="L214" i="5" s="1"/>
  <c r="J278" i="5"/>
  <c r="N278" i="5" s="1"/>
  <c r="J342" i="5"/>
  <c r="J406" i="5"/>
  <c r="L406" i="5" s="1"/>
  <c r="J534" i="5"/>
  <c r="L534" i="5" s="1"/>
  <c r="J354" i="5"/>
  <c r="L354" i="5" s="1"/>
  <c r="J434" i="5"/>
  <c r="N434" i="5" s="1"/>
  <c r="J306" i="5"/>
  <c r="L306" i="5" s="1"/>
  <c r="J136" i="5"/>
  <c r="L136" i="5" s="1"/>
  <c r="M60" i="5"/>
  <c r="O60" i="5" s="1"/>
  <c r="M144" i="5"/>
  <c r="O144" i="5" s="1"/>
  <c r="M392" i="5"/>
  <c r="O392" i="5" s="1"/>
  <c r="M253" i="5"/>
  <c r="O253" i="5" s="1"/>
  <c r="N443" i="5"/>
  <c r="J40" i="5"/>
  <c r="L40" i="5" s="1"/>
  <c r="M77" i="5"/>
  <c r="O77" i="5" s="1"/>
  <c r="M173" i="5"/>
  <c r="O173" i="5" s="1"/>
  <c r="M301" i="5"/>
  <c r="O301" i="5" s="1"/>
  <c r="M114" i="5"/>
  <c r="O114" i="5" s="1"/>
  <c r="M438" i="5"/>
  <c r="O438" i="5" s="1"/>
  <c r="J69" i="5"/>
  <c r="L69" i="5" s="1"/>
  <c r="J37" i="5"/>
  <c r="L37" i="5" s="1"/>
  <c r="J272" i="5"/>
  <c r="J129" i="5"/>
  <c r="L129" i="5" s="1"/>
  <c r="M129" i="5"/>
  <c r="O129" i="5" s="1"/>
  <c r="M264" i="5"/>
  <c r="O264" i="5" s="1"/>
  <c r="M349" i="5"/>
  <c r="O349" i="5" s="1"/>
  <c r="M397" i="5"/>
  <c r="O397" i="5" s="1"/>
  <c r="M477" i="5"/>
  <c r="O477" i="5" s="1"/>
  <c r="M525" i="5"/>
  <c r="O525" i="5" s="1"/>
  <c r="J33" i="5"/>
  <c r="L33" i="5" s="1"/>
  <c r="J470" i="5"/>
  <c r="L470" i="5" s="1"/>
  <c r="J514" i="5"/>
  <c r="L514" i="5" s="1"/>
  <c r="M514" i="5"/>
  <c r="O514" i="5" s="1"/>
  <c r="J466" i="5"/>
  <c r="N466" i="5" s="1"/>
  <c r="M466" i="5"/>
  <c r="J370" i="5"/>
  <c r="N370" i="5" s="1"/>
  <c r="M370" i="5"/>
  <c r="O370" i="5" s="1"/>
  <c r="J236" i="5"/>
  <c r="N236" i="5" s="1"/>
  <c r="M236" i="5"/>
  <c r="O236" i="5" s="1"/>
  <c r="J300" i="5"/>
  <c r="N300" i="5" s="1"/>
  <c r="M300" i="5"/>
  <c r="O300" i="5" s="1"/>
  <c r="J556" i="5"/>
  <c r="N556" i="5" s="1"/>
  <c r="M556" i="5"/>
  <c r="O556" i="5" s="1"/>
  <c r="J61" i="5"/>
  <c r="L61" i="5" s="1"/>
  <c r="J226" i="5"/>
  <c r="N226" i="5" s="1"/>
  <c r="J138" i="5"/>
  <c r="N138" i="5" s="1"/>
  <c r="M288" i="5"/>
  <c r="O288" i="5" s="1"/>
  <c r="M364" i="5"/>
  <c r="O364" i="5" s="1"/>
  <c r="M428" i="5"/>
  <c r="O428" i="5" s="1"/>
  <c r="M560" i="5"/>
  <c r="O560" i="5" s="1"/>
  <c r="M381" i="5"/>
  <c r="O381" i="5" s="1"/>
  <c r="M30" i="5"/>
  <c r="O30" i="5" s="1"/>
  <c r="M210" i="5"/>
  <c r="O210" i="5" s="1"/>
  <c r="P210" i="5" s="1"/>
  <c r="J198" i="5"/>
  <c r="N198" i="5" s="1"/>
  <c r="J418" i="5"/>
  <c r="L418" i="5" s="1"/>
  <c r="J557" i="5"/>
  <c r="M557" i="5"/>
  <c r="O557" i="5" s="1"/>
  <c r="J429" i="5"/>
  <c r="L429" i="5" s="1"/>
  <c r="M429" i="5"/>
  <c r="O429" i="5" s="1"/>
  <c r="J352" i="5"/>
  <c r="L352" i="5" s="1"/>
  <c r="M352" i="5"/>
  <c r="O352" i="5" s="1"/>
  <c r="M544" i="5"/>
  <c r="O544" i="5" s="1"/>
  <c r="M82" i="5"/>
  <c r="O82" i="5" s="1"/>
  <c r="J65" i="5"/>
  <c r="L65" i="5" s="1"/>
  <c r="J498" i="5"/>
  <c r="L498" i="5" s="1"/>
  <c r="M498" i="5"/>
  <c r="O498" i="5" s="1"/>
  <c r="J96" i="5"/>
  <c r="L96" i="5" s="1"/>
  <c r="J93" i="5"/>
  <c r="L93" i="5" s="1"/>
  <c r="M88" i="5"/>
  <c r="O88" i="5" s="1"/>
  <c r="M156" i="5"/>
  <c r="O156" i="5" s="1"/>
  <c r="M492" i="5"/>
  <c r="O492" i="5" s="1"/>
  <c r="M509" i="5"/>
  <c r="M50" i="5"/>
  <c r="O50" i="5" s="1"/>
  <c r="M162" i="5"/>
  <c r="O162" i="5" s="1"/>
  <c r="M258" i="5"/>
  <c r="O258" i="5" s="1"/>
  <c r="M290" i="5"/>
  <c r="J262" i="5"/>
  <c r="L262" i="5" s="1"/>
  <c r="J15" i="5"/>
  <c r="L15" i="5" s="1"/>
  <c r="M92" i="5"/>
  <c r="O92" i="5" s="1"/>
  <c r="M172" i="5"/>
  <c r="O172" i="5" s="1"/>
  <c r="M224" i="5"/>
  <c r="O224" i="5" s="1"/>
  <c r="M304" i="5"/>
  <c r="O304" i="5" s="1"/>
  <c r="M432" i="5"/>
  <c r="O432" i="5" s="1"/>
  <c r="M117" i="5"/>
  <c r="O117" i="5" s="1"/>
  <c r="M333" i="5"/>
  <c r="O333" i="5" s="1"/>
  <c r="M413" i="5"/>
  <c r="O413" i="5" s="1"/>
  <c r="M461" i="5"/>
  <c r="O461" i="5" s="1"/>
  <c r="M541" i="5"/>
  <c r="O541" i="5" s="1"/>
  <c r="M18" i="5"/>
  <c r="O18" i="5" s="1"/>
  <c r="M130" i="5"/>
  <c r="O130" i="5" s="1"/>
  <c r="M182" i="5"/>
  <c r="M246" i="5"/>
  <c r="O246" i="5" s="1"/>
  <c r="J74" i="5"/>
  <c r="L74" i="5" s="1"/>
  <c r="M390" i="5"/>
  <c r="O390" i="5" s="1"/>
  <c r="M454" i="5"/>
  <c r="O454" i="5" s="1"/>
  <c r="M518" i="5"/>
  <c r="J546" i="5"/>
  <c r="N546" i="5" s="1"/>
  <c r="N210" i="5"/>
  <c r="N246" i="5"/>
  <c r="N266" i="5"/>
  <c r="N290" i="5"/>
  <c r="J184" i="5"/>
  <c r="L184" i="5" s="1"/>
  <c r="J312" i="5"/>
  <c r="L312" i="5" s="1"/>
  <c r="J440" i="5"/>
  <c r="L440" i="5" s="1"/>
  <c r="J568" i="5"/>
  <c r="L568" i="5" s="1"/>
  <c r="J17" i="5"/>
  <c r="L17" i="5" s="1"/>
  <c r="J49" i="5"/>
  <c r="L49" i="5" s="1"/>
  <c r="J100" i="5"/>
  <c r="L100" i="5" s="1"/>
  <c r="J121" i="5"/>
  <c r="L121" i="5" s="1"/>
  <c r="J142" i="5"/>
  <c r="L142" i="5" s="1"/>
  <c r="J185" i="5"/>
  <c r="L185" i="5" s="1"/>
  <c r="J249" i="5"/>
  <c r="L249" i="5" s="1"/>
  <c r="J313" i="5"/>
  <c r="J377" i="5"/>
  <c r="L377" i="5" s="1"/>
  <c r="J441" i="5"/>
  <c r="L441" i="5" s="1"/>
  <c r="J505" i="5"/>
  <c r="L505" i="5" s="1"/>
  <c r="J569" i="5"/>
  <c r="L569" i="5" s="1"/>
  <c r="N438" i="5"/>
  <c r="J28" i="5"/>
  <c r="L28" i="5" s="1"/>
  <c r="J155" i="5"/>
  <c r="L155" i="5" s="1"/>
  <c r="J139" i="5"/>
  <c r="L139" i="5" s="1"/>
  <c r="J123" i="5"/>
  <c r="L123" i="5" s="1"/>
  <c r="J107" i="5"/>
  <c r="L107" i="5" s="1"/>
  <c r="J91" i="5"/>
  <c r="L91" i="5" s="1"/>
  <c r="J75" i="5"/>
  <c r="L75" i="5" s="1"/>
  <c r="J59" i="5"/>
  <c r="L59" i="5" s="1"/>
  <c r="J43" i="5"/>
  <c r="L43" i="5" s="1"/>
  <c r="J27" i="5"/>
  <c r="L27" i="5" s="1"/>
  <c r="J68" i="5"/>
  <c r="L68" i="5" s="1"/>
  <c r="J36" i="5"/>
  <c r="N36" i="5" s="1"/>
  <c r="P36" i="5" s="1"/>
  <c r="J563" i="5"/>
  <c r="L563" i="5" s="1"/>
  <c r="J547" i="5"/>
  <c r="L547" i="5" s="1"/>
  <c r="J531" i="5"/>
  <c r="L531" i="5" s="1"/>
  <c r="J515" i="5"/>
  <c r="L515" i="5" s="1"/>
  <c r="J499" i="5"/>
  <c r="L499" i="5" s="1"/>
  <c r="J483" i="5"/>
  <c r="L483" i="5" s="1"/>
  <c r="J467" i="5"/>
  <c r="L467" i="5" s="1"/>
  <c r="J451" i="5"/>
  <c r="L451" i="5" s="1"/>
  <c r="J435" i="5"/>
  <c r="L435" i="5" s="1"/>
  <c r="J419" i="5"/>
  <c r="L419" i="5" s="1"/>
  <c r="J403" i="5"/>
  <c r="L403" i="5" s="1"/>
  <c r="J387" i="5"/>
  <c r="L387" i="5" s="1"/>
  <c r="J371" i="5"/>
  <c r="L371" i="5" s="1"/>
  <c r="J355" i="5"/>
  <c r="L355" i="5" s="1"/>
  <c r="J339" i="5"/>
  <c r="L339" i="5" s="1"/>
  <c r="J323" i="5"/>
  <c r="L323" i="5" s="1"/>
  <c r="J307" i="5"/>
  <c r="L307" i="5" s="1"/>
  <c r="J291" i="5"/>
  <c r="L291" i="5" s="1"/>
  <c r="J275" i="5"/>
  <c r="L275" i="5" s="1"/>
  <c r="J259" i="5"/>
  <c r="L259" i="5" s="1"/>
  <c r="J243" i="5"/>
  <c r="L243" i="5" s="1"/>
  <c r="J227" i="5"/>
  <c r="L227" i="5" s="1"/>
  <c r="J211" i="5"/>
  <c r="L211" i="5" s="1"/>
  <c r="J195" i="5"/>
  <c r="L195" i="5" s="1"/>
  <c r="J179" i="5"/>
  <c r="L179" i="5" s="1"/>
  <c r="J163" i="5"/>
  <c r="L163" i="5" s="1"/>
  <c r="J154" i="5"/>
  <c r="L154" i="5" s="1"/>
  <c r="J46" i="5"/>
  <c r="L46" i="5" s="1"/>
  <c r="J565" i="5"/>
  <c r="L565" i="5" s="1"/>
  <c r="J453" i="5"/>
  <c r="L453" i="5" s="1"/>
  <c r="J437" i="5"/>
  <c r="L437" i="5" s="1"/>
  <c r="J197" i="5"/>
  <c r="L197" i="5" s="1"/>
  <c r="J181" i="5"/>
  <c r="L181" i="5" s="1"/>
  <c r="J98" i="5"/>
  <c r="L98" i="5" s="1"/>
  <c r="J232" i="5"/>
  <c r="L232" i="5" s="1"/>
  <c r="J94" i="5"/>
  <c r="L94" i="5" s="1"/>
  <c r="J180" i="5"/>
  <c r="L180" i="5" s="1"/>
  <c r="J201" i="5"/>
  <c r="L201" i="5" s="1"/>
  <c r="J244" i="5"/>
  <c r="L244" i="5" s="1"/>
  <c r="J265" i="5"/>
  <c r="L265" i="5" s="1"/>
  <c r="J308" i="5"/>
  <c r="L308" i="5" s="1"/>
  <c r="J329" i="5"/>
  <c r="L329" i="5" s="1"/>
  <c r="J372" i="5"/>
  <c r="L372" i="5" s="1"/>
  <c r="J393" i="5"/>
  <c r="L393" i="5" s="1"/>
  <c r="J436" i="5"/>
  <c r="L436" i="5" s="1"/>
  <c r="J457" i="5"/>
  <c r="L457" i="5" s="1"/>
  <c r="J500" i="5"/>
  <c r="L500" i="5" s="1"/>
  <c r="J521" i="5"/>
  <c r="L521" i="5" s="1"/>
  <c r="J564" i="5"/>
  <c r="L564" i="5" s="1"/>
  <c r="N342" i="5"/>
  <c r="J575" i="5"/>
  <c r="L575" i="5" s="1"/>
  <c r="J559" i="5"/>
  <c r="L559" i="5" s="1"/>
  <c r="J543" i="5"/>
  <c r="L543" i="5" s="1"/>
  <c r="J527" i="5"/>
  <c r="L527" i="5" s="1"/>
  <c r="J511" i="5"/>
  <c r="L511" i="5" s="1"/>
  <c r="J495" i="5"/>
  <c r="L495" i="5" s="1"/>
  <c r="J479" i="5"/>
  <c r="L479" i="5" s="1"/>
  <c r="J463" i="5"/>
  <c r="L463" i="5" s="1"/>
  <c r="J447" i="5"/>
  <c r="L447" i="5" s="1"/>
  <c r="J431" i="5"/>
  <c r="L431" i="5" s="1"/>
  <c r="J415" i="5"/>
  <c r="L415" i="5" s="1"/>
  <c r="J399" i="5"/>
  <c r="L399" i="5" s="1"/>
  <c r="J383" i="5"/>
  <c r="L383" i="5" s="1"/>
  <c r="J367" i="5"/>
  <c r="L367" i="5" s="1"/>
  <c r="J351" i="5"/>
  <c r="L351" i="5" s="1"/>
  <c r="J335" i="5"/>
  <c r="L335" i="5" s="1"/>
  <c r="J319" i="5"/>
  <c r="L319" i="5" s="1"/>
  <c r="J303" i="5"/>
  <c r="L303" i="5" s="1"/>
  <c r="J287" i="5"/>
  <c r="L287" i="5" s="1"/>
  <c r="J271" i="5"/>
  <c r="L271" i="5" s="1"/>
  <c r="J255" i="5"/>
  <c r="L255" i="5" s="1"/>
  <c r="J239" i="5"/>
  <c r="L239" i="5" s="1"/>
  <c r="J223" i="5"/>
  <c r="L223" i="5" s="1"/>
  <c r="J207" i="5"/>
  <c r="L207" i="5" s="1"/>
  <c r="J191" i="5"/>
  <c r="L191" i="5" s="1"/>
  <c r="J175" i="5"/>
  <c r="L175" i="5" s="1"/>
  <c r="J159" i="5"/>
  <c r="L159" i="5" s="1"/>
  <c r="J143" i="5"/>
  <c r="L143" i="5" s="1"/>
  <c r="J127" i="5"/>
  <c r="L127" i="5" s="1"/>
  <c r="J111" i="5"/>
  <c r="L111" i="5" s="1"/>
  <c r="J95" i="5"/>
  <c r="L95" i="5" s="1"/>
  <c r="J79" i="5"/>
  <c r="L79" i="5" s="1"/>
  <c r="J63" i="5"/>
  <c r="L63" i="5" s="1"/>
  <c r="J47" i="5"/>
  <c r="L47" i="5" s="1"/>
  <c r="J31" i="5"/>
  <c r="L31" i="5" s="1"/>
  <c r="J38" i="5"/>
  <c r="L38" i="5" s="1"/>
  <c r="J570" i="5"/>
  <c r="N570" i="5" s="1"/>
  <c r="P570" i="5" s="1"/>
  <c r="J474" i="5"/>
  <c r="N474" i="5" s="1"/>
  <c r="J314" i="5"/>
  <c r="N314" i="5" s="1"/>
  <c r="J250" i="5"/>
  <c r="N250" i="5" s="1"/>
  <c r="P250" i="5" s="1"/>
  <c r="J118" i="5"/>
  <c r="L118" i="5" s="1"/>
  <c r="O371" i="5"/>
  <c r="L397" i="5"/>
  <c r="J56" i="5"/>
  <c r="L56" i="5" s="1"/>
  <c r="J53" i="5"/>
  <c r="L53" i="5" s="1"/>
  <c r="J81" i="5"/>
  <c r="L81" i="5" s="1"/>
  <c r="L124" i="5"/>
  <c r="L145" i="5"/>
  <c r="J166" i="5"/>
  <c r="N166" i="5" s="1"/>
  <c r="J230" i="5"/>
  <c r="L230" i="5" s="1"/>
  <c r="J294" i="5"/>
  <c r="N294" i="5" s="1"/>
  <c r="J358" i="5"/>
  <c r="L358" i="5" s="1"/>
  <c r="J422" i="5"/>
  <c r="L422" i="5" s="1"/>
  <c r="J486" i="5"/>
  <c r="L486" i="5" s="1"/>
  <c r="J529" i="5"/>
  <c r="L529" i="5" s="1"/>
  <c r="J550" i="5"/>
  <c r="L550" i="5" s="1"/>
  <c r="J64" i="5"/>
  <c r="L64" i="5" s="1"/>
  <c r="J485" i="5"/>
  <c r="L485" i="5" s="1"/>
  <c r="J493" i="5"/>
  <c r="L493" i="5" s="1"/>
  <c r="J450" i="5"/>
  <c r="L450" i="5" s="1"/>
  <c r="J322" i="5"/>
  <c r="L322" i="5" s="1"/>
  <c r="J194" i="5"/>
  <c r="L194" i="5" s="1"/>
  <c r="J152" i="5"/>
  <c r="L152" i="5" s="1"/>
  <c r="J109" i="5"/>
  <c r="L109" i="5" s="1"/>
  <c r="J149" i="5"/>
  <c r="L149" i="5" s="1"/>
  <c r="J101" i="5"/>
  <c r="L101" i="5" s="1"/>
  <c r="J530" i="5"/>
  <c r="N530" i="5" s="1"/>
  <c r="J445" i="5"/>
  <c r="L445" i="5" s="1"/>
  <c r="J402" i="5"/>
  <c r="L402" i="5" s="1"/>
  <c r="J274" i="5"/>
  <c r="L274" i="5" s="1"/>
  <c r="M248" i="5"/>
  <c r="O248" i="5" s="1"/>
  <c r="M376" i="5"/>
  <c r="O376" i="5" s="1"/>
  <c r="M568" i="5"/>
  <c r="O568" i="5" s="1"/>
  <c r="N202" i="5"/>
  <c r="N258" i="5"/>
  <c r="O342" i="5"/>
  <c r="O470" i="5"/>
  <c r="O486" i="5"/>
  <c r="O518" i="5"/>
  <c r="O566" i="5"/>
  <c r="L84" i="5"/>
  <c r="L254" i="5"/>
  <c r="L510" i="5"/>
  <c r="N338" i="5"/>
  <c r="N534" i="5"/>
  <c r="P534" i="5" s="1"/>
  <c r="L283" i="5"/>
  <c r="O35" i="5"/>
  <c r="O175" i="5"/>
  <c r="L309" i="5"/>
  <c r="L80" i="5"/>
  <c r="L302" i="5"/>
  <c r="M168" i="5"/>
  <c r="O168" i="5" s="1"/>
  <c r="M184" i="5"/>
  <c r="O184" i="5" s="1"/>
  <c r="M312" i="5"/>
  <c r="O312" i="5" s="1"/>
  <c r="O426" i="5"/>
  <c r="O474" i="5"/>
  <c r="O506" i="5"/>
  <c r="O554" i="5"/>
  <c r="P554" i="5" s="1"/>
  <c r="L430" i="5"/>
  <c r="L558" i="5"/>
  <c r="N374" i="5"/>
  <c r="P374" i="5" s="1"/>
  <c r="N502" i="5"/>
  <c r="L60" i="5"/>
  <c r="L92" i="5"/>
  <c r="L112" i="5"/>
  <c r="O283" i="5"/>
  <c r="O511" i="5"/>
  <c r="L77" i="5"/>
  <c r="L157" i="5"/>
  <c r="L385" i="5"/>
  <c r="L421" i="5"/>
  <c r="L44" i="5"/>
  <c r="L52" i="5"/>
  <c r="L20" i="5"/>
  <c r="L557" i="5"/>
  <c r="O455" i="5"/>
  <c r="O247" i="5"/>
  <c r="O215" i="5"/>
  <c r="L21" i="5"/>
  <c r="J45" i="5"/>
  <c r="L45" i="5" s="1"/>
  <c r="O116" i="5"/>
  <c r="O380" i="5"/>
  <c r="O412" i="5"/>
  <c r="M480" i="5"/>
  <c r="O480" i="5" s="1"/>
  <c r="M552" i="5"/>
  <c r="O552" i="5" s="1"/>
  <c r="O89" i="5"/>
  <c r="O121" i="5"/>
  <c r="O153" i="5"/>
  <c r="O313" i="5"/>
  <c r="O357" i="5"/>
  <c r="J200" i="5"/>
  <c r="L200" i="5" s="1"/>
  <c r="M200" i="5"/>
  <c r="O200" i="5" s="1"/>
  <c r="O326" i="5"/>
  <c r="O358" i="5"/>
  <c r="O422" i="5"/>
  <c r="O550" i="5"/>
  <c r="L361" i="5"/>
  <c r="L382" i="5"/>
  <c r="L446" i="5"/>
  <c r="L553" i="5"/>
  <c r="L574" i="5"/>
  <c r="L172" i="5"/>
  <c r="L364" i="5"/>
  <c r="L428" i="5"/>
  <c r="L492" i="5"/>
  <c r="J160" i="5"/>
  <c r="L160" i="5" s="1"/>
  <c r="M160" i="5"/>
  <c r="O160" i="5" s="1"/>
  <c r="O188" i="5"/>
  <c r="M296" i="5"/>
  <c r="O296" i="5" s="1"/>
  <c r="O396" i="5"/>
  <c r="P218" i="5"/>
  <c r="O377" i="5"/>
  <c r="O28" i="5"/>
  <c r="M64" i="5"/>
  <c r="O64" i="5" s="1"/>
  <c r="O220" i="5"/>
  <c r="O316" i="5"/>
  <c r="O332" i="5"/>
  <c r="O348" i="5"/>
  <c r="M416" i="5"/>
  <c r="O416" i="5" s="1"/>
  <c r="M520" i="5"/>
  <c r="O520" i="5" s="1"/>
  <c r="O572" i="5"/>
  <c r="O189" i="5"/>
  <c r="O205" i="5"/>
  <c r="O237" i="5"/>
  <c r="O269" i="5"/>
  <c r="O361" i="5"/>
  <c r="O509" i="5"/>
  <c r="O553" i="5"/>
  <c r="J216" i="5"/>
  <c r="L216" i="5" s="1"/>
  <c r="M216" i="5"/>
  <c r="O216" i="5" s="1"/>
  <c r="J408" i="5"/>
  <c r="L408" i="5" s="1"/>
  <c r="J536" i="5"/>
  <c r="L536" i="5" s="1"/>
  <c r="O314" i="5"/>
  <c r="O346" i="5"/>
  <c r="O410" i="5"/>
  <c r="P410" i="5" s="1"/>
  <c r="O442" i="5"/>
  <c r="P442" i="5" s="1"/>
  <c r="L89" i="5"/>
  <c r="L153" i="5"/>
  <c r="L473" i="5"/>
  <c r="L494" i="5"/>
  <c r="L454" i="5"/>
  <c r="O289" i="5"/>
  <c r="O26" i="5"/>
  <c r="O42" i="5"/>
  <c r="O58" i="5"/>
  <c r="O74" i="5"/>
  <c r="O90" i="5"/>
  <c r="O106" i="5"/>
  <c r="O122" i="5"/>
  <c r="O138" i="5"/>
  <c r="O154" i="5"/>
  <c r="J360" i="5"/>
  <c r="L360" i="5" s="1"/>
  <c r="J488" i="5"/>
  <c r="L488" i="5" s="1"/>
  <c r="O350" i="5"/>
  <c r="O382" i="5"/>
  <c r="O414" i="5"/>
  <c r="O446" i="5"/>
  <c r="O494" i="5"/>
  <c r="O526" i="5"/>
  <c r="O574" i="5"/>
  <c r="L116" i="5"/>
  <c r="L350" i="5"/>
  <c r="L414" i="5"/>
  <c r="L390" i="5"/>
  <c r="O76" i="5"/>
  <c r="O53" i="5"/>
  <c r="O69" i="5"/>
  <c r="O293" i="5"/>
  <c r="O329" i="5"/>
  <c r="O238" i="5"/>
  <c r="O286" i="5"/>
  <c r="O306" i="5"/>
  <c r="N507" i="5"/>
  <c r="J104" i="5"/>
  <c r="L104" i="5" s="1"/>
  <c r="O322" i="5"/>
  <c r="O338" i="5"/>
  <c r="O354" i="5"/>
  <c r="O386" i="5"/>
  <c r="O402" i="5"/>
  <c r="O418" i="5"/>
  <c r="O434" i="5"/>
  <c r="O450" i="5"/>
  <c r="O466" i="5"/>
  <c r="O482" i="5"/>
  <c r="O530" i="5"/>
  <c r="O546" i="5"/>
  <c r="O562" i="5"/>
  <c r="J164" i="5"/>
  <c r="L164" i="5" s="1"/>
  <c r="J228" i="5"/>
  <c r="L228" i="5" s="1"/>
  <c r="L270" i="5"/>
  <c r="J292" i="5"/>
  <c r="L292" i="5" s="1"/>
  <c r="L313" i="5"/>
  <c r="L334" i="5"/>
  <c r="J356" i="5"/>
  <c r="L356" i="5" s="1"/>
  <c r="L398" i="5"/>
  <c r="J420" i="5"/>
  <c r="L420" i="5" s="1"/>
  <c r="L462" i="5"/>
  <c r="J484" i="5"/>
  <c r="L484" i="5" s="1"/>
  <c r="J548" i="5"/>
  <c r="L548" i="5" s="1"/>
  <c r="L482" i="5"/>
  <c r="L120" i="5"/>
  <c r="L128" i="5"/>
  <c r="L156" i="5"/>
  <c r="L16" i="5"/>
  <c r="J567" i="5"/>
  <c r="L567" i="5" s="1"/>
  <c r="J90" i="5"/>
  <c r="L90" i="5" s="1"/>
  <c r="L147" i="5"/>
  <c r="L51" i="5"/>
  <c r="O503" i="5"/>
  <c r="O327" i="5"/>
  <c r="J506" i="5"/>
  <c r="N506" i="5" s="1"/>
  <c r="P506" i="5" s="1"/>
  <c r="J490" i="5"/>
  <c r="N490" i="5" s="1"/>
  <c r="P490" i="5" s="1"/>
  <c r="J362" i="5"/>
  <c r="N362" i="5" s="1"/>
  <c r="P362" i="5" s="1"/>
  <c r="J346" i="5"/>
  <c r="N346" i="5" s="1"/>
  <c r="J282" i="5"/>
  <c r="N282" i="5" s="1"/>
  <c r="J234" i="5"/>
  <c r="N234" i="5" s="1"/>
  <c r="P234" i="5" s="1"/>
  <c r="J186" i="5"/>
  <c r="N186" i="5" s="1"/>
  <c r="P186" i="5" s="1"/>
  <c r="O561" i="5"/>
  <c r="O513" i="5"/>
  <c r="O465" i="5"/>
  <c r="M433" i="5"/>
  <c r="O433" i="5" s="1"/>
  <c r="J433" i="5"/>
  <c r="L433" i="5" s="1"/>
  <c r="O417" i="5"/>
  <c r="M369" i="5"/>
  <c r="O369" i="5" s="1"/>
  <c r="J369" i="5"/>
  <c r="L369" i="5" s="1"/>
  <c r="M321" i="5"/>
  <c r="O321" i="5" s="1"/>
  <c r="J321" i="5"/>
  <c r="L321" i="5" s="1"/>
  <c r="L289" i="5"/>
  <c r="J58" i="5"/>
  <c r="L58" i="5" s="1"/>
  <c r="L26" i="5"/>
  <c r="O147" i="5"/>
  <c r="O99" i="5"/>
  <c r="O51" i="5"/>
  <c r="L518" i="5"/>
  <c r="L24" i="5"/>
  <c r="L32" i="5"/>
  <c r="L76" i="5"/>
  <c r="O135" i="5"/>
  <c r="O167" i="5"/>
  <c r="O543" i="5"/>
  <c r="L357" i="5"/>
  <c r="O403" i="5"/>
  <c r="O275" i="5"/>
  <c r="O195" i="5"/>
  <c r="J122" i="5"/>
  <c r="L122" i="5" s="1"/>
  <c r="J62" i="5"/>
  <c r="L62" i="5" s="1"/>
  <c r="J573" i="5"/>
  <c r="L573" i="5" s="1"/>
  <c r="L509" i="5"/>
  <c r="L461" i="5"/>
  <c r="L413" i="5"/>
  <c r="J365" i="5"/>
  <c r="L365" i="5" s="1"/>
  <c r="J317" i="5"/>
  <c r="L317" i="5" s="1"/>
  <c r="L269" i="5"/>
  <c r="L253" i="5"/>
  <c r="J237" i="5"/>
  <c r="L237" i="5" s="1"/>
  <c r="L221" i="5"/>
  <c r="L205" i="5"/>
  <c r="J189" i="5"/>
  <c r="L189" i="5" s="1"/>
  <c r="L173" i="5"/>
  <c r="O95" i="5"/>
  <c r="O47" i="5"/>
  <c r="O112" i="5"/>
  <c r="J176" i="5"/>
  <c r="L176" i="5" s="1"/>
  <c r="J368" i="5"/>
  <c r="L368" i="5" s="1"/>
  <c r="J496" i="5"/>
  <c r="L496" i="5" s="1"/>
  <c r="J551" i="5"/>
  <c r="L551" i="5" s="1"/>
  <c r="J535" i="5"/>
  <c r="L535" i="5" s="1"/>
  <c r="J519" i="5"/>
  <c r="L519" i="5" s="1"/>
  <c r="J503" i="5"/>
  <c r="L503" i="5" s="1"/>
  <c r="J487" i="5"/>
  <c r="L487" i="5" s="1"/>
  <c r="J471" i="5"/>
  <c r="L471" i="5" s="1"/>
  <c r="J455" i="5"/>
  <c r="L455" i="5" s="1"/>
  <c r="J439" i="5"/>
  <c r="L439" i="5" s="1"/>
  <c r="J423" i="5"/>
  <c r="L423" i="5" s="1"/>
  <c r="J407" i="5"/>
  <c r="L407" i="5" s="1"/>
  <c r="J391" i="5"/>
  <c r="L391" i="5" s="1"/>
  <c r="J375" i="5"/>
  <c r="L375" i="5" s="1"/>
  <c r="J359" i="5"/>
  <c r="L359" i="5" s="1"/>
  <c r="J343" i="5"/>
  <c r="L343" i="5" s="1"/>
  <c r="J327" i="5"/>
  <c r="L327" i="5" s="1"/>
  <c r="J311" i="5"/>
  <c r="L311" i="5" s="1"/>
  <c r="J295" i="5"/>
  <c r="L295" i="5" s="1"/>
  <c r="J279" i="5"/>
  <c r="L279" i="5" s="1"/>
  <c r="J263" i="5"/>
  <c r="L263" i="5" s="1"/>
  <c r="J247" i="5"/>
  <c r="L247" i="5" s="1"/>
  <c r="J231" i="5"/>
  <c r="L231" i="5" s="1"/>
  <c r="J215" i="5"/>
  <c r="L215" i="5" s="1"/>
  <c r="J199" i="5"/>
  <c r="L199" i="5" s="1"/>
  <c r="J183" i="5"/>
  <c r="L183" i="5" s="1"/>
  <c r="J167" i="5"/>
  <c r="L167" i="5" s="1"/>
  <c r="L151" i="5"/>
  <c r="L135" i="5"/>
  <c r="L103" i="5"/>
  <c r="L87" i="5"/>
  <c r="L23" i="5"/>
  <c r="O151" i="5"/>
  <c r="O431" i="5"/>
  <c r="O463" i="5"/>
  <c r="O495" i="5"/>
  <c r="L517" i="5"/>
  <c r="O575" i="5"/>
  <c r="O415" i="5"/>
  <c r="O399" i="5"/>
  <c r="O383" i="5"/>
  <c r="O367" i="5"/>
  <c r="O335" i="5"/>
  <c r="O303" i="5"/>
  <c r="O271" i="5"/>
  <c r="O255" i="5"/>
  <c r="O239" i="5"/>
  <c r="O223" i="5"/>
  <c r="J54" i="5"/>
  <c r="L54" i="5" s="1"/>
  <c r="J106" i="5"/>
  <c r="L106" i="5" s="1"/>
  <c r="J42" i="5"/>
  <c r="L42" i="5" s="1"/>
  <c r="O155" i="5"/>
  <c r="O139" i="5"/>
  <c r="O123" i="5"/>
  <c r="O107" i="5"/>
  <c r="O91" i="5"/>
  <c r="O75" i="5"/>
  <c r="O59" i="5"/>
  <c r="O43" i="5"/>
  <c r="J29" i="5"/>
  <c r="L29" i="5" s="1"/>
  <c r="J192" i="5"/>
  <c r="L192" i="5" s="1"/>
  <c r="L256" i="5"/>
  <c r="J320" i="5"/>
  <c r="L320" i="5" s="1"/>
  <c r="L384" i="5"/>
  <c r="J448" i="5"/>
  <c r="L448" i="5" s="1"/>
  <c r="L512" i="5"/>
  <c r="J576" i="5"/>
  <c r="L576" i="5" s="1"/>
  <c r="J113" i="5"/>
  <c r="L113" i="5" s="1"/>
  <c r="J220" i="5"/>
  <c r="L220" i="5" s="1"/>
  <c r="J284" i="5"/>
  <c r="L284" i="5" s="1"/>
  <c r="J348" i="5"/>
  <c r="L348" i="5" s="1"/>
  <c r="J412" i="5"/>
  <c r="L412" i="5" s="1"/>
  <c r="J476" i="5"/>
  <c r="L476" i="5" s="1"/>
  <c r="J35" i="5"/>
  <c r="L35" i="5" s="1"/>
  <c r="J19" i="5"/>
  <c r="L19" i="5" s="1"/>
  <c r="O159" i="5"/>
  <c r="L117" i="5"/>
  <c r="L133" i="5"/>
  <c r="O523" i="5"/>
  <c r="O427" i="5"/>
  <c r="O187" i="5"/>
  <c r="J533" i="5"/>
  <c r="L533" i="5" s="1"/>
  <c r="L469" i="5"/>
  <c r="J405" i="5"/>
  <c r="L405" i="5" s="1"/>
  <c r="J389" i="5"/>
  <c r="L389" i="5" s="1"/>
  <c r="L373" i="5"/>
  <c r="L325" i="5"/>
  <c r="L293" i="5"/>
  <c r="J277" i="5"/>
  <c r="L277" i="5" s="1"/>
  <c r="J229" i="5"/>
  <c r="L229" i="5" s="1"/>
  <c r="J146" i="5"/>
  <c r="L146" i="5" s="1"/>
  <c r="O103" i="5"/>
  <c r="O87" i="5"/>
  <c r="O55" i="5"/>
  <c r="O23" i="5"/>
  <c r="L208" i="5"/>
  <c r="L272" i="5"/>
  <c r="J336" i="5"/>
  <c r="L336" i="5" s="1"/>
  <c r="L400" i="5"/>
  <c r="J464" i="5"/>
  <c r="L464" i="5" s="1"/>
  <c r="L528" i="5"/>
  <c r="J97" i="5"/>
  <c r="L97" i="5" s="1"/>
  <c r="J161" i="5"/>
  <c r="L161" i="5" s="1"/>
  <c r="J204" i="5"/>
  <c r="L204" i="5" s="1"/>
  <c r="J268" i="5"/>
  <c r="L268" i="5" s="1"/>
  <c r="J332" i="5"/>
  <c r="L332" i="5" s="1"/>
  <c r="J396" i="5"/>
  <c r="L396" i="5" s="1"/>
  <c r="J460" i="5"/>
  <c r="L460" i="5" s="1"/>
  <c r="O266" i="5"/>
  <c r="O298" i="5"/>
  <c r="P298" i="5" s="1"/>
  <c r="L210" i="5"/>
  <c r="N302" i="5"/>
  <c r="N330" i="5"/>
  <c r="P330" i="5" s="1"/>
  <c r="N366" i="5"/>
  <c r="P366" i="5" s="1"/>
  <c r="N430" i="5"/>
  <c r="P430" i="5" s="1"/>
  <c r="N458" i="5"/>
  <c r="N494" i="5"/>
  <c r="N522" i="5"/>
  <c r="P522" i="5" s="1"/>
  <c r="N558" i="5"/>
  <c r="P558" i="5" s="1"/>
  <c r="N254" i="5"/>
  <c r="O174" i="5"/>
  <c r="O190" i="5"/>
  <c r="O206" i="5"/>
  <c r="O222" i="5"/>
  <c r="O254" i="5"/>
  <c r="O270" i="5"/>
  <c r="L202" i="5"/>
  <c r="L242" i="5"/>
  <c r="N286" i="5"/>
  <c r="N322" i="5"/>
  <c r="L342" i="5"/>
  <c r="N350" i="5"/>
  <c r="N386" i="5"/>
  <c r="N414" i="5"/>
  <c r="L434" i="5"/>
  <c r="N478" i="5"/>
  <c r="P478" i="5" s="1"/>
  <c r="N542" i="5"/>
  <c r="P542" i="5" s="1"/>
  <c r="N20" i="5"/>
  <c r="P20" i="5" s="1"/>
  <c r="N28" i="5"/>
  <c r="N44" i="5"/>
  <c r="P44" i="5" s="1"/>
  <c r="N52" i="5"/>
  <c r="N60" i="5"/>
  <c r="P60" i="5" s="1"/>
  <c r="N76" i="5"/>
  <c r="N259" i="5"/>
  <c r="P259" i="5" s="1"/>
  <c r="O507" i="5"/>
  <c r="O443" i="5"/>
  <c r="O178" i="5"/>
  <c r="O194" i="5"/>
  <c r="O226" i="5"/>
  <c r="O242" i="5"/>
  <c r="O274" i="5"/>
  <c r="O290" i="5"/>
  <c r="P290" i="5" s="1"/>
  <c r="L290" i="5"/>
  <c r="N334" i="5"/>
  <c r="P334" i="5" s="1"/>
  <c r="N398" i="5"/>
  <c r="P398" i="5" s="1"/>
  <c r="P426" i="5"/>
  <c r="N462" i="5"/>
  <c r="P462" i="5" s="1"/>
  <c r="J72" i="5"/>
  <c r="L72" i="5" s="1"/>
  <c r="N207" i="5"/>
  <c r="P207" i="5" s="1"/>
  <c r="L298" i="5"/>
  <c r="L218" i="5"/>
  <c r="L170" i="5"/>
  <c r="M232" i="5"/>
  <c r="O232" i="5" s="1"/>
  <c r="N174" i="5"/>
  <c r="N190" i="5"/>
  <c r="P190" i="5" s="1"/>
  <c r="N206" i="5"/>
  <c r="N222" i="5"/>
  <c r="N270" i="5"/>
  <c r="O166" i="5"/>
  <c r="O182" i="5"/>
  <c r="O198" i="5"/>
  <c r="O214" i="5"/>
  <c r="O230" i="5"/>
  <c r="O262" i="5"/>
  <c r="O278" i="5"/>
  <c r="O294" i="5"/>
  <c r="M280" i="5"/>
  <c r="O280" i="5" s="1"/>
  <c r="J280" i="5"/>
  <c r="L280" i="5" s="1"/>
  <c r="L198" i="5"/>
  <c r="L310" i="5"/>
  <c r="N318" i="5"/>
  <c r="L338" i="5"/>
  <c r="L374" i="5"/>
  <c r="N382" i="5"/>
  <c r="N390" i="5"/>
  <c r="L438" i="5"/>
  <c r="N446" i="5"/>
  <c r="N454" i="5"/>
  <c r="P454" i="5" s="1"/>
  <c r="L466" i="5"/>
  <c r="N482" i="5"/>
  <c r="L502" i="5"/>
  <c r="N510" i="5"/>
  <c r="P510" i="5" s="1"/>
  <c r="N518" i="5"/>
  <c r="L530" i="5"/>
  <c r="P538" i="5"/>
  <c r="N574" i="5"/>
  <c r="N24" i="5"/>
  <c r="N32" i="5"/>
  <c r="P32" i="5" s="1"/>
  <c r="N40" i="5"/>
  <c r="P40" i="5" s="1"/>
  <c r="N48" i="5"/>
  <c r="N80" i="5"/>
  <c r="N88" i="5"/>
  <c r="L571" i="5"/>
  <c r="L555" i="5"/>
  <c r="N555" i="5"/>
  <c r="P555" i="5" s="1"/>
  <c r="L539" i="5"/>
  <c r="N539" i="5"/>
  <c r="P539" i="5" s="1"/>
  <c r="N523" i="5"/>
  <c r="L507" i="5"/>
  <c r="L491" i="5"/>
  <c r="N491" i="5"/>
  <c r="L475" i="5"/>
  <c r="N475" i="5"/>
  <c r="P475" i="5" s="1"/>
  <c r="L459" i="5"/>
  <c r="N459" i="5"/>
  <c r="P459" i="5" s="1"/>
  <c r="L443" i="5"/>
  <c r="L427" i="5"/>
  <c r="N427" i="5"/>
  <c r="L411" i="5"/>
  <c r="N411" i="5"/>
  <c r="P411" i="5" s="1"/>
  <c r="L379" i="5"/>
  <c r="L347" i="5"/>
  <c r="N347" i="5"/>
  <c r="P347" i="5" s="1"/>
  <c r="L315" i="5"/>
  <c r="L299" i="5"/>
  <c r="N299" i="5"/>
  <c r="N112" i="5"/>
  <c r="P112" i="5" s="1"/>
  <c r="N120" i="5"/>
  <c r="P120" i="5" s="1"/>
  <c r="N128" i="5"/>
  <c r="P128" i="5" s="1"/>
  <c r="N136" i="5"/>
  <c r="P136" i="5" s="1"/>
  <c r="N144" i="5"/>
  <c r="P144" i="5" s="1"/>
  <c r="N160" i="5"/>
  <c r="P160" i="5" s="1"/>
  <c r="O423" i="5"/>
  <c r="O547" i="5"/>
  <c r="N283" i="5"/>
  <c r="N399" i="5"/>
  <c r="N511" i="5"/>
  <c r="N25" i="5"/>
  <c r="P25" i="5" s="1"/>
  <c r="N41" i="5"/>
  <c r="N57" i="5"/>
  <c r="P57" i="5" s="1"/>
  <c r="N69" i="5"/>
  <c r="N85" i="5"/>
  <c r="P85" i="5" s="1"/>
  <c r="N101" i="5"/>
  <c r="P101" i="5" s="1"/>
  <c r="N117" i="5"/>
  <c r="N133" i="5"/>
  <c r="P133" i="5" s="1"/>
  <c r="N289" i="5"/>
  <c r="N345" i="5"/>
  <c r="P345" i="5" s="1"/>
  <c r="N397" i="5"/>
  <c r="P397" i="5" s="1"/>
  <c r="N421" i="5"/>
  <c r="P421" i="5" s="1"/>
  <c r="N473" i="5"/>
  <c r="N493" i="5"/>
  <c r="P493" i="5" s="1"/>
  <c r="N517" i="5"/>
  <c r="P517" i="5" s="1"/>
  <c r="N541" i="5"/>
  <c r="N569" i="5"/>
  <c r="N163" i="5"/>
  <c r="P163" i="5" s="1"/>
  <c r="J481" i="5"/>
  <c r="L481" i="5" s="1"/>
  <c r="N115" i="5"/>
  <c r="P115" i="5" s="1"/>
  <c r="J225" i="5"/>
  <c r="L225" i="5" s="1"/>
  <c r="J353" i="5"/>
  <c r="L353" i="5" s="1"/>
  <c r="J417" i="5"/>
  <c r="L417" i="5" s="1"/>
  <c r="J524" i="5"/>
  <c r="L524" i="5" s="1"/>
  <c r="N172" i="5"/>
  <c r="N188" i="5"/>
  <c r="N196" i="5"/>
  <c r="N212" i="5"/>
  <c r="P212" i="5" s="1"/>
  <c r="N316" i="5"/>
  <c r="N324" i="5"/>
  <c r="P324" i="5" s="1"/>
  <c r="N340" i="5"/>
  <c r="N364" i="5"/>
  <c r="N388" i="5"/>
  <c r="P388" i="5" s="1"/>
  <c r="N452" i="5"/>
  <c r="P452" i="5" s="1"/>
  <c r="N547" i="5"/>
  <c r="N23" i="5"/>
  <c r="O302" i="5"/>
  <c r="N203" i="5"/>
  <c r="P203" i="5" s="1"/>
  <c r="N251" i="5"/>
  <c r="P251" i="5" s="1"/>
  <c r="N319" i="5"/>
  <c r="P319" i="5" s="1"/>
  <c r="N21" i="5"/>
  <c r="P21" i="5" s="1"/>
  <c r="N73" i="5"/>
  <c r="P73" i="5" s="1"/>
  <c r="N89" i="5"/>
  <c r="P89" i="5" s="1"/>
  <c r="N121" i="5"/>
  <c r="N153" i="5"/>
  <c r="N313" i="5"/>
  <c r="N333" i="5"/>
  <c r="N361" i="5"/>
  <c r="N381" i="5"/>
  <c r="N413" i="5"/>
  <c r="N461" i="5"/>
  <c r="N509" i="5"/>
  <c r="P509" i="5" s="1"/>
  <c r="N553" i="5"/>
  <c r="N67" i="5"/>
  <c r="P67" i="5" s="1"/>
  <c r="N103" i="5"/>
  <c r="N127" i="5"/>
  <c r="P127" i="5" s="1"/>
  <c r="N151" i="5"/>
  <c r="J102" i="5"/>
  <c r="L102" i="5" s="1"/>
  <c r="J209" i="5"/>
  <c r="L209" i="5" s="1"/>
  <c r="J273" i="5"/>
  <c r="L273" i="5" s="1"/>
  <c r="J401" i="5"/>
  <c r="L401" i="5" s="1"/>
  <c r="J465" i="5"/>
  <c r="L465" i="5" s="1"/>
  <c r="J508" i="5"/>
  <c r="L508" i="5" s="1"/>
  <c r="J572" i="5"/>
  <c r="L572" i="5" s="1"/>
  <c r="N444" i="5"/>
  <c r="P444" i="5" s="1"/>
  <c r="N84" i="5"/>
  <c r="P84" i="5" s="1"/>
  <c r="N92" i="5"/>
  <c r="P92" i="5" s="1"/>
  <c r="N100" i="5"/>
  <c r="N108" i="5"/>
  <c r="N116" i="5"/>
  <c r="N124" i="5"/>
  <c r="P124" i="5" s="1"/>
  <c r="N132" i="5"/>
  <c r="P132" i="5" s="1"/>
  <c r="N140" i="5"/>
  <c r="P140" i="5" s="1"/>
  <c r="N156" i="5"/>
  <c r="N16" i="5"/>
  <c r="P16" i="5" s="1"/>
  <c r="O315" i="5"/>
  <c r="O379" i="5"/>
  <c r="P379" i="5" s="1"/>
  <c r="O471" i="5"/>
  <c r="O535" i="5"/>
  <c r="N187" i="5"/>
  <c r="N391" i="5"/>
  <c r="P391" i="5" s="1"/>
  <c r="N515" i="5"/>
  <c r="P515" i="5" s="1"/>
  <c r="N77" i="5"/>
  <c r="P77" i="5" s="1"/>
  <c r="N93" i="5"/>
  <c r="N125" i="5"/>
  <c r="P125" i="5" s="1"/>
  <c r="N157" i="5"/>
  <c r="N309" i="5"/>
  <c r="P309" i="5" s="1"/>
  <c r="N337" i="5"/>
  <c r="N357" i="5"/>
  <c r="N385" i="5"/>
  <c r="N557" i="5"/>
  <c r="N99" i="5"/>
  <c r="N159" i="5"/>
  <c r="L570" i="5"/>
  <c r="L554" i="5"/>
  <c r="L538" i="5"/>
  <c r="L506" i="5"/>
  <c r="L442" i="5"/>
  <c r="L426" i="5"/>
  <c r="L410" i="5"/>
  <c r="L378" i="5"/>
  <c r="O529" i="5"/>
  <c r="O385" i="5"/>
  <c r="O337" i="5"/>
  <c r="N287" i="5"/>
  <c r="P287" i="5" s="1"/>
  <c r="N415" i="5"/>
  <c r="N575" i="5"/>
  <c r="J449" i="5"/>
  <c r="L449" i="5" s="1"/>
  <c r="J497" i="5"/>
  <c r="L497" i="5" s="1"/>
  <c r="J545" i="5"/>
  <c r="L545" i="5" s="1"/>
  <c r="N31" i="5"/>
  <c r="P31" i="5" s="1"/>
  <c r="N55" i="5"/>
  <c r="J86" i="5"/>
  <c r="L86" i="5" s="1"/>
  <c r="J150" i="5"/>
  <c r="L150" i="5" s="1"/>
  <c r="J193" i="5"/>
  <c r="L193" i="5" s="1"/>
  <c r="J257" i="5"/>
  <c r="L257" i="5" s="1"/>
  <c r="J513" i="5"/>
  <c r="L513" i="5" s="1"/>
  <c r="N404" i="5"/>
  <c r="P404" i="5" s="1"/>
  <c r="N436" i="5"/>
  <c r="P436" i="5" s="1"/>
  <c r="N468" i="5"/>
  <c r="P468" i="5" s="1"/>
  <c r="O479" i="5"/>
  <c r="O571" i="5"/>
  <c r="N215" i="5"/>
  <c r="P215" i="5" s="1"/>
  <c r="N355" i="5"/>
  <c r="P355" i="5" s="1"/>
  <c r="N483" i="5"/>
  <c r="N59" i="5"/>
  <c r="P59" i="5" s="1"/>
  <c r="N87" i="5"/>
  <c r="N135" i="5"/>
  <c r="N395" i="5"/>
  <c r="N243" i="5"/>
  <c r="P243" i="5" s="1"/>
  <c r="N323" i="5"/>
  <c r="P323" i="5" s="1"/>
  <c r="N383" i="5"/>
  <c r="N467" i="5"/>
  <c r="P467" i="5" s="1"/>
  <c r="N145" i="5"/>
  <c r="P145" i="5" s="1"/>
  <c r="N297" i="5"/>
  <c r="P297" i="5" s="1"/>
  <c r="N325" i="5"/>
  <c r="P325" i="5" s="1"/>
  <c r="N349" i="5"/>
  <c r="P349" i="5" s="1"/>
  <c r="N373" i="5"/>
  <c r="P373" i="5" s="1"/>
  <c r="N393" i="5"/>
  <c r="P393" i="5" s="1"/>
  <c r="N425" i="5"/>
  <c r="P425" i="5" s="1"/>
  <c r="N469" i="5"/>
  <c r="P469" i="5" s="1"/>
  <c r="O48" i="5"/>
  <c r="J134" i="5"/>
  <c r="L134" i="5" s="1"/>
  <c r="J177" i="5"/>
  <c r="L177" i="5" s="1"/>
  <c r="J241" i="5"/>
  <c r="L241" i="5" s="1"/>
  <c r="J305" i="5"/>
  <c r="L305" i="5" s="1"/>
  <c r="J540" i="5"/>
  <c r="L540" i="5" s="1"/>
  <c r="J561" i="5"/>
  <c r="L561" i="5" s="1"/>
  <c r="N428" i="5"/>
  <c r="N30" i="5"/>
  <c r="P30" i="5" s="1"/>
  <c r="N38" i="5"/>
  <c r="P38" i="5" s="1"/>
  <c r="N158" i="5"/>
  <c r="P158" i="5" s="1"/>
  <c r="N165" i="5"/>
  <c r="P165" i="5" s="1"/>
  <c r="N173" i="5"/>
  <c r="N197" i="5"/>
  <c r="P197" i="5" s="1"/>
  <c r="N205" i="5"/>
  <c r="N213" i="5"/>
  <c r="P213" i="5" s="1"/>
  <c r="N221" i="5"/>
  <c r="N237" i="5"/>
  <c r="P237" i="5" s="1"/>
  <c r="N245" i="5"/>
  <c r="P245" i="5" s="1"/>
  <c r="N253" i="5"/>
  <c r="N261" i="5"/>
  <c r="N269" i="5"/>
  <c r="N277" i="5"/>
  <c r="N27" i="5"/>
  <c r="P27" i="5" s="1"/>
  <c r="N71" i="5"/>
  <c r="P71" i="5" s="1"/>
  <c r="N95" i="5"/>
  <c r="N119" i="5"/>
  <c r="P119" i="5" s="1"/>
  <c r="N168" i="5"/>
  <c r="N184" i="5"/>
  <c r="N208" i="5"/>
  <c r="P208" i="5" s="1"/>
  <c r="N224" i="5"/>
  <c r="N240" i="5"/>
  <c r="N248" i="5"/>
  <c r="P248" i="5" s="1"/>
  <c r="N256" i="5"/>
  <c r="P256" i="5" s="1"/>
  <c r="N264" i="5"/>
  <c r="N272" i="5"/>
  <c r="P272" i="5" s="1"/>
  <c r="N280" i="5"/>
  <c r="N288" i="5"/>
  <c r="N296" i="5"/>
  <c r="N304" i="5"/>
  <c r="N328" i="5"/>
  <c r="N344" i="5"/>
  <c r="P344" i="5" s="1"/>
  <c r="N352" i="5"/>
  <c r="P352" i="5" s="1"/>
  <c r="N384" i="5"/>
  <c r="P384" i="5" s="1"/>
  <c r="N392" i="5"/>
  <c r="N400" i="5"/>
  <c r="P400" i="5" s="1"/>
  <c r="N416" i="5"/>
  <c r="N424" i="5"/>
  <c r="P424" i="5" s="1"/>
  <c r="N432" i="5"/>
  <c r="P432" i="5" s="1"/>
  <c r="N440" i="5"/>
  <c r="P440" i="5" s="1"/>
  <c r="N456" i="5"/>
  <c r="N472" i="5"/>
  <c r="P472" i="5" s="1"/>
  <c r="N480" i="5"/>
  <c r="N512" i="5"/>
  <c r="N528" i="5"/>
  <c r="P528" i="5" s="1"/>
  <c r="N544" i="5"/>
  <c r="P544" i="5" s="1"/>
  <c r="N552" i="5"/>
  <c r="N560" i="5"/>
  <c r="N576" i="5"/>
  <c r="P576" i="5" s="1"/>
  <c r="N22" i="5"/>
  <c r="P22" i="5" s="1"/>
  <c r="N50" i="5"/>
  <c r="N78" i="5"/>
  <c r="P78" i="5" s="1"/>
  <c r="N114" i="5"/>
  <c r="O164" i="5"/>
  <c r="N217" i="5"/>
  <c r="P217" i="5" s="1"/>
  <c r="N233" i="5"/>
  <c r="P233" i="5" s="1"/>
  <c r="N249" i="5"/>
  <c r="P249" i="5" s="1"/>
  <c r="N293" i="5"/>
  <c r="N353" i="5"/>
  <c r="P353" i="5" s="1"/>
  <c r="N377" i="5"/>
  <c r="N489" i="5"/>
  <c r="P489" i="5" s="1"/>
  <c r="N51" i="5"/>
  <c r="N147" i="5"/>
  <c r="N26" i="5"/>
  <c r="N34" i="5"/>
  <c r="P34" i="5" s="1"/>
  <c r="N70" i="5"/>
  <c r="P70" i="5" s="1"/>
  <c r="N98" i="5"/>
  <c r="P98" i="5" s="1"/>
  <c r="N162" i="5"/>
  <c r="P162" i="5" s="1"/>
  <c r="N169" i="5"/>
  <c r="P169" i="5" s="1"/>
  <c r="N201" i="5"/>
  <c r="P201" i="5" s="1"/>
  <c r="N39" i="5"/>
  <c r="P39" i="5" s="1"/>
  <c r="N63" i="5"/>
  <c r="N492" i="5"/>
  <c r="N516" i="5"/>
  <c r="P516" i="5" s="1"/>
  <c r="N532" i="5"/>
  <c r="P532" i="5" s="1"/>
  <c r="N18" i="5"/>
  <c r="N46" i="5"/>
  <c r="P46" i="5" s="1"/>
  <c r="N82" i="5"/>
  <c r="N118" i="5"/>
  <c r="P118" i="5" s="1"/>
  <c r="O196" i="5"/>
  <c r="N285" i="5"/>
  <c r="P285" i="5" s="1"/>
  <c r="N301" i="5"/>
  <c r="N365" i="5"/>
  <c r="P365" i="5" s="1"/>
  <c r="N389" i="5"/>
  <c r="P389" i="5" s="1"/>
  <c r="N477" i="5"/>
  <c r="P477" i="5" s="1"/>
  <c r="N501" i="5"/>
  <c r="P501" i="5" s="1"/>
  <c r="N525" i="5"/>
  <c r="N549" i="5"/>
  <c r="N83" i="5"/>
  <c r="P83" i="5" s="1"/>
  <c r="N131" i="5"/>
  <c r="P131" i="5" s="1"/>
  <c r="N14" i="5"/>
  <c r="M14" i="5"/>
  <c r="O14" i="5" s="1"/>
  <c r="L14" i="5"/>
  <c r="N32" i="1"/>
  <c r="N33" i="1"/>
  <c r="N34" i="1"/>
  <c r="N453" i="5" l="1"/>
  <c r="P453" i="5" s="1"/>
  <c r="P315" i="5"/>
  <c r="N235" i="5"/>
  <c r="P235" i="5" s="1"/>
  <c r="P395" i="5"/>
  <c r="N268" i="5"/>
  <c r="P268" i="5" s="1"/>
  <c r="P80" i="5"/>
  <c r="P318" i="5"/>
  <c r="P157" i="5"/>
  <c r="P100" i="5"/>
  <c r="N387" i="5"/>
  <c r="P387" i="5" s="1"/>
  <c r="P41" i="5"/>
  <c r="N363" i="5"/>
  <c r="P363" i="5" s="1"/>
  <c r="P491" i="5"/>
  <c r="N64" i="5"/>
  <c r="N550" i="5"/>
  <c r="L370" i="5"/>
  <c r="L182" i="5"/>
  <c r="P458" i="5"/>
  <c r="L526" i="5"/>
  <c r="L326" i="5"/>
  <c r="N306" i="5"/>
  <c r="N214" i="5"/>
  <c r="P63" i="5"/>
  <c r="N320" i="5"/>
  <c r="P320" i="5" s="1"/>
  <c r="P277" i="5"/>
  <c r="N276" i="5"/>
  <c r="P276" i="5" s="1"/>
  <c r="N520" i="5"/>
  <c r="P289" i="5"/>
  <c r="P266" i="5"/>
  <c r="P512" i="5"/>
  <c r="N376" i="5"/>
  <c r="P261" i="5"/>
  <c r="N130" i="5"/>
  <c r="N91" i="5"/>
  <c r="P91" i="5" s="1"/>
  <c r="N65" i="5"/>
  <c r="P65" i="5" s="1"/>
  <c r="P571" i="5"/>
  <c r="N219" i="5"/>
  <c r="P219" i="5" s="1"/>
  <c r="L314" i="5"/>
  <c r="N529" i="5"/>
  <c r="N137" i="5"/>
  <c r="P137" i="5" s="1"/>
  <c r="N260" i="5"/>
  <c r="P260" i="5" s="1"/>
  <c r="N508" i="5"/>
  <c r="P508" i="5" s="1"/>
  <c r="P114" i="5"/>
  <c r="P240" i="5"/>
  <c r="N66" i="5"/>
  <c r="P66" i="5" s="1"/>
  <c r="N565" i="5"/>
  <c r="P565" i="5" s="1"/>
  <c r="P87" i="5"/>
  <c r="N331" i="5"/>
  <c r="P331" i="5" s="1"/>
  <c r="N505" i="5"/>
  <c r="P505" i="5" s="1"/>
  <c r="P340" i="5"/>
  <c r="N252" i="5"/>
  <c r="P252" i="5" s="1"/>
  <c r="N211" i="5"/>
  <c r="P211" i="5" s="1"/>
  <c r="P473" i="5"/>
  <c r="N56" i="5"/>
  <c r="P56" i="5" s="1"/>
  <c r="L566" i="5"/>
  <c r="P382" i="5"/>
  <c r="N238" i="5"/>
  <c r="N498" i="5"/>
  <c r="P214" i="5"/>
  <c r="P415" i="5"/>
  <c r="P202" i="5"/>
  <c r="N113" i="5"/>
  <c r="P113" i="5" s="1"/>
  <c r="L250" i="5"/>
  <c r="P108" i="5"/>
  <c r="P182" i="5"/>
  <c r="P242" i="5"/>
  <c r="P549" i="5"/>
  <c r="N110" i="5"/>
  <c r="P110" i="5" s="1"/>
  <c r="P26" i="5"/>
  <c r="N329" i="5"/>
  <c r="P329" i="5" s="1"/>
  <c r="N568" i="5"/>
  <c r="N419" i="5"/>
  <c r="P419" i="5" s="1"/>
  <c r="N341" i="5"/>
  <c r="P341" i="5" s="1"/>
  <c r="P147" i="5"/>
  <c r="N504" i="5"/>
  <c r="P504" i="5" s="1"/>
  <c r="N74" i="5"/>
  <c r="P74" i="5" s="1"/>
  <c r="N500" i="5"/>
  <c r="P500" i="5" s="1"/>
  <c r="N265" i="5"/>
  <c r="P265" i="5" s="1"/>
  <c r="N189" i="5"/>
  <c r="N545" i="5"/>
  <c r="P545" i="5" s="1"/>
  <c r="P361" i="5"/>
  <c r="N105" i="5"/>
  <c r="P105" i="5" s="1"/>
  <c r="N267" i="5"/>
  <c r="P267" i="5" s="1"/>
  <c r="N394" i="5"/>
  <c r="P394" i="5" s="1"/>
  <c r="P346" i="5"/>
  <c r="Q19" i="1"/>
  <c r="Q28" i="1"/>
  <c r="P392" i="5"/>
  <c r="P483" i="5"/>
  <c r="P557" i="5"/>
  <c r="N141" i="5"/>
  <c r="P141" i="5" s="1"/>
  <c r="P117" i="5"/>
  <c r="P24" i="5"/>
  <c r="N422" i="5"/>
  <c r="P422" i="5" s="1"/>
  <c r="N262" i="5"/>
  <c r="P236" i="5"/>
  <c r="P562" i="5"/>
  <c r="P50" i="5"/>
  <c r="P328" i="5"/>
  <c r="P288" i="5"/>
  <c r="N129" i="5"/>
  <c r="P129" i="5" s="1"/>
  <c r="N431" i="5"/>
  <c r="L474" i="5"/>
  <c r="N148" i="5"/>
  <c r="P148" i="5" s="1"/>
  <c r="P461" i="5"/>
  <c r="N495" i="5"/>
  <c r="P495" i="5" s="1"/>
  <c r="P569" i="5"/>
  <c r="P88" i="5"/>
  <c r="L166" i="5"/>
  <c r="P52" i="5"/>
  <c r="L562" i="5"/>
  <c r="N406" i="5"/>
  <c r="P406" i="5" s="1"/>
  <c r="N470" i="5"/>
  <c r="N178" i="5"/>
  <c r="P178" i="5" s="1"/>
  <c r="N537" i="5"/>
  <c r="P537" i="5" s="1"/>
  <c r="P568" i="5"/>
  <c r="N564" i="5"/>
  <c r="P564" i="5" s="1"/>
  <c r="N90" i="5"/>
  <c r="P90" i="5" s="1"/>
  <c r="P456" i="5"/>
  <c r="P93" i="5"/>
  <c r="N281" i="5"/>
  <c r="P281" i="5" s="1"/>
  <c r="N380" i="5"/>
  <c r="P380" i="5" s="1"/>
  <c r="P541" i="5"/>
  <c r="N149" i="5"/>
  <c r="P149" i="5" s="1"/>
  <c r="P299" i="5"/>
  <c r="P282" i="5"/>
  <c r="N72" i="5"/>
  <c r="P72" i="5" s="1"/>
  <c r="N572" i="5"/>
  <c r="P572" i="5" s="1"/>
  <c r="P431" i="5"/>
  <c r="N359" i="5"/>
  <c r="P359" i="5" s="1"/>
  <c r="N423" i="5"/>
  <c r="P523" i="5"/>
  <c r="N402" i="5"/>
  <c r="P402" i="5" s="1"/>
  <c r="L300" i="5"/>
  <c r="P280" i="5"/>
  <c r="N348" i="5"/>
  <c r="P348" i="5" s="1"/>
  <c r="L282" i="5"/>
  <c r="P474" i="5"/>
  <c r="P546" i="5"/>
  <c r="P498" i="5"/>
  <c r="P530" i="5"/>
  <c r="P306" i="5"/>
  <c r="P423" i="5"/>
  <c r="P434" i="5"/>
  <c r="P258" i="5"/>
  <c r="P370" i="5"/>
  <c r="N573" i="5"/>
  <c r="P573" i="5" s="1"/>
  <c r="P304" i="5"/>
  <c r="P184" i="5"/>
  <c r="N371" i="5"/>
  <c r="N559" i="5"/>
  <c r="P559" i="5" s="1"/>
  <c r="P159" i="5"/>
  <c r="N175" i="5"/>
  <c r="P175" i="5" s="1"/>
  <c r="N37" i="5"/>
  <c r="P37" i="5" s="1"/>
  <c r="P547" i="5"/>
  <c r="N367" i="5"/>
  <c r="P367" i="5" s="1"/>
  <c r="N308" i="5"/>
  <c r="P308" i="5" s="1"/>
  <c r="N43" i="5"/>
  <c r="P43" i="5" s="1"/>
  <c r="P399" i="5"/>
  <c r="L226" i="5"/>
  <c r="P301" i="5"/>
  <c r="P18" i="5"/>
  <c r="N524" i="5"/>
  <c r="P524" i="5" s="1"/>
  <c r="N273" i="5"/>
  <c r="P273" i="5" s="1"/>
  <c r="N126" i="5"/>
  <c r="P126" i="5" s="1"/>
  <c r="N62" i="5"/>
  <c r="P62" i="5" s="1"/>
  <c r="N150" i="5"/>
  <c r="P150" i="5" s="1"/>
  <c r="N42" i="5"/>
  <c r="P42" i="5" s="1"/>
  <c r="N336" i="5"/>
  <c r="P336" i="5" s="1"/>
  <c r="P264" i="5"/>
  <c r="P168" i="5"/>
  <c r="N181" i="5"/>
  <c r="P181" i="5" s="1"/>
  <c r="P130" i="5"/>
  <c r="N521" i="5"/>
  <c r="P521" i="5" s="1"/>
  <c r="N307" i="5"/>
  <c r="P307" i="5" s="1"/>
  <c r="P135" i="5"/>
  <c r="N499" i="5"/>
  <c r="P499" i="5" s="1"/>
  <c r="N433" i="5"/>
  <c r="N61" i="5"/>
  <c r="P61" i="5" s="1"/>
  <c r="N255" i="5"/>
  <c r="P255" i="5" s="1"/>
  <c r="N412" i="5"/>
  <c r="P412" i="5" s="1"/>
  <c r="N303" i="5"/>
  <c r="N123" i="5"/>
  <c r="P123" i="5" s="1"/>
  <c r="N535" i="5"/>
  <c r="P535" i="5" s="1"/>
  <c r="N195" i="5"/>
  <c r="P195" i="5" s="1"/>
  <c r="N332" i="5"/>
  <c r="P332" i="5" s="1"/>
  <c r="N180" i="5"/>
  <c r="P180" i="5" s="1"/>
  <c r="N407" i="5"/>
  <c r="P407" i="5" s="1"/>
  <c r="N445" i="5"/>
  <c r="P445" i="5" s="1"/>
  <c r="P283" i="5"/>
  <c r="N418" i="5"/>
  <c r="P418" i="5" s="1"/>
  <c r="N354" i="5"/>
  <c r="P262" i="5"/>
  <c r="N358" i="5"/>
  <c r="P358" i="5" s="1"/>
  <c r="L546" i="5"/>
  <c r="L36" i="5"/>
  <c r="P338" i="5"/>
  <c r="P566" i="5"/>
  <c r="P438" i="5"/>
  <c r="P470" i="5"/>
  <c r="P82" i="5"/>
  <c r="N111" i="5"/>
  <c r="P111" i="5" s="1"/>
  <c r="P552" i="5"/>
  <c r="P376" i="5"/>
  <c r="N216" i="5"/>
  <c r="P216" i="5" s="1"/>
  <c r="P173" i="5"/>
  <c r="N94" i="5"/>
  <c r="P94" i="5" s="1"/>
  <c r="N451" i="5"/>
  <c r="P451" i="5" s="1"/>
  <c r="N295" i="5"/>
  <c r="P295" i="5" s="1"/>
  <c r="N107" i="5"/>
  <c r="P107" i="5" s="1"/>
  <c r="N471" i="5"/>
  <c r="P471" i="5" s="1"/>
  <c r="N231" i="5"/>
  <c r="P231" i="5" s="1"/>
  <c r="P55" i="5"/>
  <c r="N487" i="5"/>
  <c r="P487" i="5" s="1"/>
  <c r="L346" i="5"/>
  <c r="N409" i="5"/>
  <c r="P409" i="5" s="1"/>
  <c r="N109" i="5"/>
  <c r="P109" i="5" s="1"/>
  <c r="N49" i="5"/>
  <c r="P49" i="5" s="1"/>
  <c r="N239" i="5"/>
  <c r="P239" i="5" s="1"/>
  <c r="P156" i="5"/>
  <c r="P381" i="5"/>
  <c r="N447" i="5"/>
  <c r="P447" i="5" s="1"/>
  <c r="N191" i="5"/>
  <c r="P191" i="5" s="1"/>
  <c r="N47" i="5"/>
  <c r="P47" i="5" s="1"/>
  <c r="N435" i="5"/>
  <c r="P435" i="5" s="1"/>
  <c r="N179" i="5"/>
  <c r="P179" i="5" s="1"/>
  <c r="P364" i="5"/>
  <c r="N563" i="5"/>
  <c r="P563" i="5" s="1"/>
  <c r="N167" i="5"/>
  <c r="N152" i="5"/>
  <c r="P152" i="5" s="1"/>
  <c r="P427" i="5"/>
  <c r="P64" i="5"/>
  <c r="L294" i="5"/>
  <c r="P206" i="5"/>
  <c r="P443" i="5"/>
  <c r="N514" i="5"/>
  <c r="P514" i="5" s="1"/>
  <c r="N450" i="5"/>
  <c r="P450" i="5" s="1"/>
  <c r="L278" i="5"/>
  <c r="P342" i="5"/>
  <c r="P138" i="5"/>
  <c r="P556" i="5"/>
  <c r="P466" i="5"/>
  <c r="N154" i="5"/>
  <c r="P154" i="5" s="1"/>
  <c r="N465" i="5"/>
  <c r="P465" i="5" s="1"/>
  <c r="P95" i="5"/>
  <c r="N102" i="5"/>
  <c r="P102" i="5" s="1"/>
  <c r="N45" i="5"/>
  <c r="P45" i="5" s="1"/>
  <c r="N485" i="5"/>
  <c r="P485" i="5" s="1"/>
  <c r="N335" i="5"/>
  <c r="P335" i="5" s="1"/>
  <c r="N531" i="5"/>
  <c r="P531" i="5" s="1"/>
  <c r="N75" i="5"/>
  <c r="P75" i="5" s="1"/>
  <c r="N372" i="5"/>
  <c r="P372" i="5" s="1"/>
  <c r="N164" i="5"/>
  <c r="P164" i="5" s="1"/>
  <c r="N339" i="5"/>
  <c r="P339" i="5" s="1"/>
  <c r="N96" i="5"/>
  <c r="P96" i="5" s="1"/>
  <c r="P507" i="5"/>
  <c r="N68" i="5"/>
  <c r="P68" i="5" s="1"/>
  <c r="N194" i="5"/>
  <c r="P194" i="5" s="1"/>
  <c r="L556" i="5"/>
  <c r="P525" i="5"/>
  <c r="N429" i="5"/>
  <c r="P429" i="5" s="1"/>
  <c r="N54" i="5"/>
  <c r="P54" i="5" s="1"/>
  <c r="N155" i="5"/>
  <c r="P155" i="5" s="1"/>
  <c r="N177" i="5"/>
  <c r="P177" i="5" s="1"/>
  <c r="N441" i="5"/>
  <c r="P441" i="5" s="1"/>
  <c r="N225" i="5"/>
  <c r="P225" i="5" s="1"/>
  <c r="N142" i="5"/>
  <c r="P142" i="5" s="1"/>
  <c r="P560" i="5"/>
  <c r="P224" i="5"/>
  <c r="N176" i="5"/>
  <c r="P176" i="5" s="1"/>
  <c r="N229" i="5"/>
  <c r="P229" i="5" s="1"/>
  <c r="P428" i="5"/>
  <c r="N97" i="5"/>
  <c r="P97" i="5" s="1"/>
  <c r="N29" i="5"/>
  <c r="P29" i="5" s="1"/>
  <c r="N279" i="5"/>
  <c r="P279" i="5" s="1"/>
  <c r="N543" i="5"/>
  <c r="P543" i="5" s="1"/>
  <c r="N457" i="5"/>
  <c r="P457" i="5" s="1"/>
  <c r="P357" i="5"/>
  <c r="N291" i="5"/>
  <c r="P291" i="5" s="1"/>
  <c r="N437" i="5"/>
  <c r="P437" i="5" s="1"/>
  <c r="P333" i="5"/>
  <c r="N53" i="5"/>
  <c r="P53" i="5" s="1"/>
  <c r="N519" i="5"/>
  <c r="P519" i="5" s="1"/>
  <c r="N79" i="5"/>
  <c r="P79" i="5" s="1"/>
  <c r="N479" i="5"/>
  <c r="P479" i="5" s="1"/>
  <c r="N271" i="5"/>
  <c r="P271" i="5" s="1"/>
  <c r="N244" i="5"/>
  <c r="P244" i="5" s="1"/>
  <c r="P188" i="5"/>
  <c r="N17" i="5"/>
  <c r="P17" i="5" s="1"/>
  <c r="N351" i="5"/>
  <c r="P351" i="5" s="1"/>
  <c r="P511" i="5"/>
  <c r="P482" i="5"/>
  <c r="P446" i="5"/>
  <c r="P354" i="5"/>
  <c r="P198" i="5"/>
  <c r="N143" i="5"/>
  <c r="P143" i="5" s="1"/>
  <c r="P226" i="5"/>
  <c r="P550" i="5"/>
  <c r="N230" i="5"/>
  <c r="L138" i="5"/>
  <c r="L236" i="5"/>
  <c r="N15" i="5"/>
  <c r="P15" i="5" s="1"/>
  <c r="P492" i="5"/>
  <c r="N185" i="5"/>
  <c r="P185" i="5" s="1"/>
  <c r="N536" i="5"/>
  <c r="P536" i="5" s="1"/>
  <c r="N368" i="5"/>
  <c r="P368" i="5" s="1"/>
  <c r="N232" i="5"/>
  <c r="P232" i="5" s="1"/>
  <c r="P269" i="5"/>
  <c r="P205" i="5"/>
  <c r="P99" i="5"/>
  <c r="N33" i="5"/>
  <c r="P33" i="5" s="1"/>
  <c r="P300" i="5"/>
  <c r="N257" i="5"/>
  <c r="P257" i="5" s="1"/>
  <c r="P377" i="5"/>
  <c r="N312" i="5"/>
  <c r="P312" i="5" s="1"/>
  <c r="P253" i="5"/>
  <c r="P189" i="5"/>
  <c r="N396" i="5"/>
  <c r="P396" i="5" s="1"/>
  <c r="N139" i="5"/>
  <c r="P139" i="5" s="1"/>
  <c r="N81" i="5"/>
  <c r="P81" i="5" s="1"/>
  <c r="N527" i="5"/>
  <c r="P527" i="5" s="1"/>
  <c r="N263" i="5"/>
  <c r="P263" i="5" s="1"/>
  <c r="N343" i="5"/>
  <c r="P343" i="5" s="1"/>
  <c r="N403" i="5"/>
  <c r="P403" i="5" s="1"/>
  <c r="N275" i="5"/>
  <c r="P275" i="5" s="1"/>
  <c r="N476" i="5"/>
  <c r="P476" i="5" s="1"/>
  <c r="N533" i="5"/>
  <c r="P533" i="5" s="1"/>
  <c r="P413" i="5"/>
  <c r="N463" i="5"/>
  <c r="P463" i="5" s="1"/>
  <c r="P303" i="5"/>
  <c r="N223" i="5"/>
  <c r="P223" i="5" s="1"/>
  <c r="N227" i="5"/>
  <c r="P227" i="5" s="1"/>
  <c r="N321" i="5"/>
  <c r="N455" i="5"/>
  <c r="P455" i="5" s="1"/>
  <c r="P167" i="5"/>
  <c r="P518" i="5"/>
  <c r="P390" i="5"/>
  <c r="P246" i="5"/>
  <c r="L234" i="5"/>
  <c r="N486" i="5"/>
  <c r="P486" i="5" s="1"/>
  <c r="P314" i="5"/>
  <c r="N540" i="5"/>
  <c r="P540" i="5" s="1"/>
  <c r="N58" i="5"/>
  <c r="P58" i="5" s="1"/>
  <c r="N241" i="5"/>
  <c r="P241" i="5" s="1"/>
  <c r="N134" i="5"/>
  <c r="P134" i="5" s="1"/>
  <c r="N513" i="5"/>
  <c r="P513" i="5" s="1"/>
  <c r="N401" i="5"/>
  <c r="P401" i="5" s="1"/>
  <c r="N408" i="5"/>
  <c r="P408" i="5" s="1"/>
  <c r="N420" i="5"/>
  <c r="P420" i="5" s="1"/>
  <c r="P574" i="5"/>
  <c r="P230" i="5"/>
  <c r="N274" i="5"/>
  <c r="P274" i="5" s="1"/>
  <c r="N193" i="5"/>
  <c r="P193" i="5" s="1"/>
  <c r="N561" i="5"/>
  <c r="P561" i="5" s="1"/>
  <c r="N86" i="5"/>
  <c r="P86" i="5" s="1"/>
  <c r="N360" i="5"/>
  <c r="P360" i="5" s="1"/>
  <c r="N200" i="5"/>
  <c r="P200" i="5" s="1"/>
  <c r="P371" i="5"/>
  <c r="N19" i="5"/>
  <c r="P19" i="5" s="1"/>
  <c r="N228" i="5"/>
  <c r="P228" i="5" s="1"/>
  <c r="N551" i="5"/>
  <c r="P551" i="5" s="1"/>
  <c r="N35" i="5"/>
  <c r="P35" i="5" s="1"/>
  <c r="N104" i="5"/>
  <c r="P104" i="5" s="1"/>
  <c r="P174" i="5"/>
  <c r="P76" i="5"/>
  <c r="N122" i="5"/>
  <c r="P122" i="5" s="1"/>
  <c r="P553" i="5"/>
  <c r="P121" i="5"/>
  <c r="P69" i="5"/>
  <c r="P222" i="5"/>
  <c r="P414" i="5"/>
  <c r="P322" i="5"/>
  <c r="P238" i="5"/>
  <c r="P502" i="5"/>
  <c r="N496" i="5"/>
  <c r="P496" i="5" s="1"/>
  <c r="L186" i="5"/>
  <c r="N369" i="5"/>
  <c r="P369" i="5" s="1"/>
  <c r="P575" i="5"/>
  <c r="P103" i="5"/>
  <c r="P221" i="5"/>
  <c r="N161" i="5"/>
  <c r="P161" i="5" s="1"/>
  <c r="N439" i="5"/>
  <c r="P439" i="5" s="1"/>
  <c r="N199" i="5"/>
  <c r="P199" i="5" s="1"/>
  <c r="P313" i="5"/>
  <c r="N311" i="5"/>
  <c r="P311" i="5" s="1"/>
  <c r="N356" i="5"/>
  <c r="P356" i="5" s="1"/>
  <c r="N292" i="5"/>
  <c r="P292" i="5" s="1"/>
  <c r="N567" i="5"/>
  <c r="P567" i="5" s="1"/>
  <c r="P294" i="5"/>
  <c r="P166" i="5"/>
  <c r="P386" i="5"/>
  <c r="P350" i="5"/>
  <c r="N106" i="5"/>
  <c r="P106" i="5" s="1"/>
  <c r="N464" i="5"/>
  <c r="P464" i="5" s="1"/>
  <c r="L362" i="5"/>
  <c r="N375" i="5"/>
  <c r="P375" i="5" s="1"/>
  <c r="N204" i="5"/>
  <c r="P204" i="5" s="1"/>
  <c r="P172" i="5"/>
  <c r="N209" i="5"/>
  <c r="P209" i="5" s="1"/>
  <c r="N417" i="5"/>
  <c r="P417" i="5" s="1"/>
  <c r="P520" i="5"/>
  <c r="N488" i="5"/>
  <c r="P488" i="5" s="1"/>
  <c r="P296" i="5"/>
  <c r="N405" i="5"/>
  <c r="P405" i="5" s="1"/>
  <c r="N317" i="5"/>
  <c r="P317" i="5" s="1"/>
  <c r="N146" i="5"/>
  <c r="P146" i="5" s="1"/>
  <c r="N548" i="5"/>
  <c r="P548" i="5" s="1"/>
  <c r="P51" i="5"/>
  <c r="P293" i="5"/>
  <c r="P480" i="5"/>
  <c r="N448" i="5"/>
  <c r="P448" i="5" s="1"/>
  <c r="P416" i="5"/>
  <c r="N192" i="5"/>
  <c r="P192" i="5" s="1"/>
  <c r="N460" i="5"/>
  <c r="P460" i="5" s="1"/>
  <c r="N449" i="5"/>
  <c r="P449" i="5" s="1"/>
  <c r="P383" i="5"/>
  <c r="N183" i="5"/>
  <c r="P183" i="5" s="1"/>
  <c r="N247" i="5"/>
  <c r="P247" i="5" s="1"/>
  <c r="L490" i="5"/>
  <c r="P529" i="5"/>
  <c r="P337" i="5"/>
  <c r="N503" i="5"/>
  <c r="P503" i="5" s="1"/>
  <c r="P187" i="5"/>
  <c r="P116" i="5"/>
  <c r="P151" i="5"/>
  <c r="N481" i="5"/>
  <c r="P481" i="5" s="1"/>
  <c r="P153" i="5"/>
  <c r="P23" i="5"/>
  <c r="N484" i="5"/>
  <c r="P484" i="5" s="1"/>
  <c r="P316" i="5"/>
  <c r="N284" i="5"/>
  <c r="P284" i="5" s="1"/>
  <c r="N220" i="5"/>
  <c r="P220" i="5" s="1"/>
  <c r="N327" i="5"/>
  <c r="P327" i="5" s="1"/>
  <c r="P278" i="5"/>
  <c r="P270" i="5"/>
  <c r="P28" i="5"/>
  <c r="P286" i="5"/>
  <c r="P494" i="5"/>
  <c r="P433" i="5"/>
  <c r="P321" i="5"/>
  <c r="P302" i="5"/>
  <c r="P254" i="5"/>
  <c r="N305" i="5"/>
  <c r="P305" i="5" s="1"/>
  <c r="N497" i="5"/>
  <c r="P497" i="5" s="1"/>
  <c r="P385" i="5"/>
  <c r="P48" i="5"/>
  <c r="P196" i="5"/>
  <c r="P14" i="5"/>
  <c r="Q20" i="1"/>
  <c r="Q21" i="1"/>
  <c r="Q22" i="1"/>
  <c r="Q23" i="1"/>
  <c r="K21" i="4"/>
  <c r="Q21" i="4"/>
  <c r="M21" i="4" s="1"/>
  <c r="P21" i="4"/>
  <c r="N21" i="4"/>
  <c r="L21" i="4"/>
  <c r="O12" i="4"/>
  <c r="Q12" i="4" s="1"/>
  <c r="D32" i="3"/>
  <c r="F32" i="3" s="1"/>
  <c r="D33" i="3"/>
  <c r="F33" i="3" s="1"/>
  <c r="D34" i="3"/>
  <c r="F34" i="3" s="1"/>
  <c r="D35" i="3"/>
  <c r="F35" i="3" s="1"/>
  <c r="D36" i="3"/>
  <c r="F36" i="3" s="1"/>
  <c r="D37" i="3"/>
  <c r="F37" i="3" s="1"/>
  <c r="D38" i="3"/>
  <c r="F38" i="3" s="1"/>
  <c r="D39" i="3"/>
  <c r="F39" i="3" s="1"/>
  <c r="D40" i="3"/>
  <c r="F40" i="3" s="1"/>
  <c r="D41" i="3"/>
  <c r="F41" i="3" s="1"/>
  <c r="D42" i="3"/>
  <c r="F42" i="3" s="1"/>
  <c r="D43" i="3"/>
  <c r="F43" i="3" s="1"/>
  <c r="D44" i="3"/>
  <c r="F44" i="3" s="1"/>
  <c r="D45" i="3"/>
  <c r="F45" i="3" s="1"/>
  <c r="D46" i="3"/>
  <c r="F46" i="3" s="1"/>
  <c r="D47" i="3"/>
  <c r="F47" i="3" s="1"/>
  <c r="D48" i="3"/>
  <c r="F48" i="3" s="1"/>
  <c r="D49" i="3"/>
  <c r="F49" i="3" s="1"/>
  <c r="D50" i="3"/>
  <c r="F50" i="3" s="1"/>
  <c r="D51" i="3"/>
  <c r="F51" i="3" s="1"/>
  <c r="D52" i="3"/>
  <c r="F52" i="3" s="1"/>
  <c r="D53" i="3"/>
  <c r="F53" i="3" s="1"/>
  <c r="D54" i="3"/>
  <c r="F54" i="3" s="1"/>
  <c r="D55" i="3"/>
  <c r="F55" i="3" s="1"/>
  <c r="D56" i="3"/>
  <c r="F56" i="3" s="1"/>
  <c r="D57" i="3"/>
  <c r="F57" i="3" s="1"/>
  <c r="D58" i="3"/>
  <c r="F58" i="3" s="1"/>
  <c r="D59" i="3"/>
  <c r="F59" i="3" s="1"/>
  <c r="D60" i="3"/>
  <c r="F60" i="3" s="1"/>
  <c r="D61" i="3"/>
  <c r="F61" i="3" s="1"/>
  <c r="D62" i="3"/>
  <c r="F62" i="3" s="1"/>
  <c r="D63" i="3"/>
  <c r="F63" i="3" s="1"/>
  <c r="D64" i="3"/>
  <c r="F64" i="3" s="1"/>
  <c r="D65" i="3"/>
  <c r="F65" i="3" s="1"/>
  <c r="D66" i="3"/>
  <c r="F66" i="3" s="1"/>
  <c r="D67" i="3"/>
  <c r="F67" i="3" s="1"/>
  <c r="D68" i="3"/>
  <c r="F68" i="3" s="1"/>
  <c r="D69" i="3"/>
  <c r="F69" i="3" s="1"/>
  <c r="D70" i="3"/>
  <c r="F70" i="3" s="1"/>
  <c r="D71" i="3"/>
  <c r="F71" i="3" s="1"/>
  <c r="D72" i="3"/>
  <c r="F72" i="3" s="1"/>
  <c r="D73" i="3"/>
  <c r="F73" i="3" s="1"/>
  <c r="D74" i="3"/>
  <c r="F74" i="3" s="1"/>
  <c r="D75" i="3"/>
  <c r="F75" i="3" s="1"/>
  <c r="D76" i="3"/>
  <c r="F76" i="3" s="1"/>
  <c r="D77" i="3"/>
  <c r="F77" i="3" s="1"/>
  <c r="D78" i="3"/>
  <c r="F78" i="3" s="1"/>
  <c r="D79" i="3"/>
  <c r="F79" i="3" s="1"/>
  <c r="D80" i="3"/>
  <c r="F80" i="3" s="1"/>
  <c r="D81" i="3"/>
  <c r="F81" i="3" s="1"/>
  <c r="D82" i="3"/>
  <c r="F82" i="3" s="1"/>
  <c r="D83" i="3"/>
  <c r="F83" i="3" s="1"/>
  <c r="D84" i="3"/>
  <c r="F84" i="3" s="1"/>
  <c r="D85" i="3"/>
  <c r="F85" i="3" s="1"/>
  <c r="D86" i="3"/>
  <c r="F86" i="3" s="1"/>
  <c r="D87" i="3"/>
  <c r="F87" i="3" s="1"/>
  <c r="D88" i="3"/>
  <c r="F88" i="3" s="1"/>
  <c r="D89" i="3"/>
  <c r="F89" i="3" s="1"/>
  <c r="D90" i="3"/>
  <c r="E90" i="3" s="1"/>
  <c r="D91" i="3"/>
  <c r="F91" i="3" s="1"/>
  <c r="D92" i="3"/>
  <c r="F92" i="3" s="1"/>
  <c r="D93" i="3"/>
  <c r="E93" i="3" s="1"/>
  <c r="D94" i="3"/>
  <c r="F94" i="3" s="1"/>
  <c r="D95" i="3"/>
  <c r="F95" i="3" s="1"/>
  <c r="D96" i="3"/>
  <c r="F96" i="3" s="1"/>
  <c r="D97" i="3"/>
  <c r="F97" i="3" s="1"/>
  <c r="D98" i="3"/>
  <c r="E98" i="3" s="1"/>
  <c r="D99" i="3"/>
  <c r="F99" i="3" s="1"/>
  <c r="D100" i="3"/>
  <c r="F100" i="3" s="1"/>
  <c r="D101" i="3"/>
  <c r="E101" i="3" s="1"/>
  <c r="D102" i="3"/>
  <c r="F102" i="3" s="1"/>
  <c r="D103" i="3"/>
  <c r="F103" i="3" s="1"/>
  <c r="D104" i="3"/>
  <c r="F104" i="3" s="1"/>
  <c r="D105" i="3"/>
  <c r="F105" i="3" s="1"/>
  <c r="D106" i="3"/>
  <c r="E106" i="3" s="1"/>
  <c r="D107" i="3"/>
  <c r="F107" i="3" s="1"/>
  <c r="D108" i="3"/>
  <c r="F108" i="3" s="1"/>
  <c r="D109" i="3"/>
  <c r="E109" i="3" s="1"/>
  <c r="D110" i="3"/>
  <c r="F110" i="3" s="1"/>
  <c r="D111" i="3"/>
  <c r="F111" i="3" s="1"/>
  <c r="D112" i="3"/>
  <c r="F112" i="3" s="1"/>
  <c r="D113" i="3"/>
  <c r="F113" i="3" s="1"/>
  <c r="D114" i="3"/>
  <c r="E114" i="3" s="1"/>
  <c r="D115" i="3"/>
  <c r="F115" i="3" s="1"/>
  <c r="D116" i="3"/>
  <c r="F116" i="3" s="1"/>
  <c r="D117" i="3"/>
  <c r="E117" i="3" s="1"/>
  <c r="D118" i="3"/>
  <c r="F118" i="3" s="1"/>
  <c r="D119" i="3"/>
  <c r="F119" i="3" s="1"/>
  <c r="D120" i="3"/>
  <c r="F120" i="3" s="1"/>
  <c r="D121" i="3"/>
  <c r="F121" i="3" s="1"/>
  <c r="D122" i="3"/>
  <c r="E122" i="3" s="1"/>
  <c r="D123" i="3"/>
  <c r="F123" i="3" s="1"/>
  <c r="D124" i="3"/>
  <c r="F124" i="3" s="1"/>
  <c r="D125" i="3"/>
  <c r="E125" i="3" s="1"/>
  <c r="D126" i="3"/>
  <c r="F126" i="3" s="1"/>
  <c r="D127" i="3"/>
  <c r="F127" i="3" s="1"/>
  <c r="D128" i="3"/>
  <c r="F128" i="3" s="1"/>
  <c r="D129" i="3"/>
  <c r="F129" i="3" s="1"/>
  <c r="D130" i="3"/>
  <c r="E130" i="3" s="1"/>
  <c r="D131" i="3"/>
  <c r="F131" i="3" s="1"/>
  <c r="D132" i="3"/>
  <c r="F132" i="3" s="1"/>
  <c r="D133" i="3"/>
  <c r="E133" i="3" s="1"/>
  <c r="D134" i="3"/>
  <c r="F134" i="3" s="1"/>
  <c r="D135" i="3"/>
  <c r="F135" i="3" s="1"/>
  <c r="D136" i="3"/>
  <c r="F136" i="3" s="1"/>
  <c r="D137" i="3"/>
  <c r="F137" i="3" s="1"/>
  <c r="D138" i="3"/>
  <c r="E138" i="3" s="1"/>
  <c r="D139" i="3"/>
  <c r="F139" i="3" s="1"/>
  <c r="D140" i="3"/>
  <c r="F140" i="3" s="1"/>
  <c r="D141" i="3"/>
  <c r="E141" i="3" s="1"/>
  <c r="D142" i="3"/>
  <c r="F142" i="3" s="1"/>
  <c r="D143" i="3"/>
  <c r="F143" i="3" s="1"/>
  <c r="D144" i="3"/>
  <c r="F144" i="3" s="1"/>
  <c r="D145" i="3"/>
  <c r="F145" i="3" s="1"/>
  <c r="D146" i="3"/>
  <c r="E146" i="3" s="1"/>
  <c r="D147" i="3"/>
  <c r="F147" i="3" s="1"/>
  <c r="D148" i="3"/>
  <c r="F148" i="3" s="1"/>
  <c r="D149" i="3"/>
  <c r="E149" i="3" s="1"/>
  <c r="D150" i="3"/>
  <c r="F150" i="3" s="1"/>
  <c r="D151" i="3"/>
  <c r="F151" i="3" s="1"/>
  <c r="D152" i="3"/>
  <c r="F152" i="3" s="1"/>
  <c r="D153" i="3"/>
  <c r="F153" i="3" s="1"/>
  <c r="D154" i="3"/>
  <c r="E154" i="3" s="1"/>
  <c r="D155" i="3"/>
  <c r="F155" i="3" s="1"/>
  <c r="D156" i="3"/>
  <c r="F156" i="3" s="1"/>
  <c r="D157" i="3"/>
  <c r="E157" i="3" s="1"/>
  <c r="D158" i="3"/>
  <c r="F158" i="3" s="1"/>
  <c r="D159" i="3"/>
  <c r="F159" i="3" s="1"/>
  <c r="D160" i="3"/>
  <c r="F160" i="3" s="1"/>
  <c r="D161" i="3"/>
  <c r="F161" i="3" s="1"/>
  <c r="D162" i="3"/>
  <c r="E162" i="3" s="1"/>
  <c r="D163" i="3"/>
  <c r="F163" i="3" s="1"/>
  <c r="D164" i="3"/>
  <c r="F164" i="3" s="1"/>
  <c r="D165" i="3"/>
  <c r="E165" i="3" s="1"/>
  <c r="D166" i="3"/>
  <c r="F166" i="3" s="1"/>
  <c r="D167" i="3"/>
  <c r="F167" i="3" s="1"/>
  <c r="D168" i="3"/>
  <c r="F168" i="3" s="1"/>
  <c r="D169" i="3"/>
  <c r="F169" i="3" s="1"/>
  <c r="D170" i="3"/>
  <c r="E170" i="3" s="1"/>
  <c r="D171" i="3"/>
  <c r="F171" i="3" s="1"/>
  <c r="D172" i="3"/>
  <c r="F172" i="3" s="1"/>
  <c r="D173" i="3"/>
  <c r="E173" i="3" s="1"/>
  <c r="D174" i="3"/>
  <c r="F174" i="3" s="1"/>
  <c r="D175" i="3"/>
  <c r="F175" i="3" s="1"/>
  <c r="D176" i="3"/>
  <c r="F176" i="3" s="1"/>
  <c r="D177" i="3"/>
  <c r="F177" i="3" s="1"/>
  <c r="D178" i="3"/>
  <c r="E178" i="3" s="1"/>
  <c r="D179" i="3"/>
  <c r="F179" i="3" s="1"/>
  <c r="D180" i="3"/>
  <c r="F180" i="3" s="1"/>
  <c r="D181" i="3"/>
  <c r="E181" i="3" s="1"/>
  <c r="D182" i="3"/>
  <c r="F182" i="3" s="1"/>
  <c r="D183" i="3"/>
  <c r="F183" i="3" s="1"/>
  <c r="D184" i="3"/>
  <c r="F184" i="3" s="1"/>
  <c r="D185" i="3"/>
  <c r="F185" i="3" s="1"/>
  <c r="D186" i="3"/>
  <c r="E186" i="3" s="1"/>
  <c r="D187" i="3"/>
  <c r="F187" i="3" s="1"/>
  <c r="D188" i="3"/>
  <c r="F188" i="3" s="1"/>
  <c r="D189" i="3"/>
  <c r="E189" i="3" s="1"/>
  <c r="D190" i="3"/>
  <c r="F190" i="3" s="1"/>
  <c r="D191" i="3"/>
  <c r="F191" i="3" s="1"/>
  <c r="D192" i="3"/>
  <c r="F192" i="3" s="1"/>
  <c r="D193" i="3"/>
  <c r="F193" i="3" s="1"/>
  <c r="D194" i="3"/>
  <c r="E194" i="3" s="1"/>
  <c r="D195" i="3"/>
  <c r="F195" i="3" s="1"/>
  <c r="D196" i="3"/>
  <c r="F196" i="3" s="1"/>
  <c r="D197" i="3"/>
  <c r="E197" i="3" s="1"/>
  <c r="D198" i="3"/>
  <c r="F198" i="3" s="1"/>
  <c r="D199" i="3"/>
  <c r="F199" i="3" s="1"/>
  <c r="D200" i="3"/>
  <c r="F200" i="3" s="1"/>
  <c r="D201" i="3"/>
  <c r="F201" i="3" s="1"/>
  <c r="D202" i="3"/>
  <c r="E202" i="3" s="1"/>
  <c r="D203" i="3"/>
  <c r="F203" i="3" s="1"/>
  <c r="D204" i="3"/>
  <c r="F204" i="3" s="1"/>
  <c r="D205" i="3"/>
  <c r="E205" i="3" s="1"/>
  <c r="D206" i="3"/>
  <c r="F206" i="3" s="1"/>
  <c r="D207" i="3"/>
  <c r="F207" i="3" s="1"/>
  <c r="D208" i="3"/>
  <c r="F208" i="3" s="1"/>
  <c r="D209" i="3"/>
  <c r="F209" i="3" s="1"/>
  <c r="D210" i="3"/>
  <c r="E210" i="3" s="1"/>
  <c r="D211" i="3"/>
  <c r="F211" i="3" s="1"/>
  <c r="D12" i="3"/>
  <c r="E12" i="3" s="1"/>
  <c r="D13" i="3"/>
  <c r="F13" i="3" s="1"/>
  <c r="D14" i="3"/>
  <c r="F14" i="3" s="1"/>
  <c r="D15" i="3"/>
  <c r="F15" i="3" s="1"/>
  <c r="D16" i="3"/>
  <c r="F16" i="3" s="1"/>
  <c r="D17" i="3"/>
  <c r="F17" i="3" s="1"/>
  <c r="D18" i="3"/>
  <c r="F18" i="3" s="1"/>
  <c r="D19" i="3"/>
  <c r="F19" i="3" s="1"/>
  <c r="D20" i="3"/>
  <c r="F20" i="3" s="1"/>
  <c r="D21" i="3"/>
  <c r="F21" i="3" s="1"/>
  <c r="D22" i="3"/>
  <c r="F22" i="3" s="1"/>
  <c r="D23" i="3"/>
  <c r="F23" i="3" s="1"/>
  <c r="D24" i="3"/>
  <c r="F24" i="3" s="1"/>
  <c r="D25" i="3"/>
  <c r="F25" i="3" s="1"/>
  <c r="D26" i="3"/>
  <c r="F26" i="3" s="1"/>
  <c r="D27" i="3"/>
  <c r="F27" i="3" s="1"/>
  <c r="D28" i="3"/>
  <c r="F28" i="3" s="1"/>
  <c r="D29" i="3"/>
  <c r="F29" i="3" s="1"/>
  <c r="D30" i="3"/>
  <c r="F30" i="3" s="1"/>
  <c r="D31" i="3"/>
  <c r="F31" i="3" s="1"/>
  <c r="P21" i="3"/>
  <c r="O21" i="3"/>
  <c r="M21" i="3"/>
  <c r="K21" i="3"/>
  <c r="F12" i="3" l="1"/>
  <c r="P12" i="4"/>
  <c r="S21" i="4" s="1"/>
  <c r="O21" i="4"/>
  <c r="E161" i="3"/>
  <c r="R170" i="3" s="1"/>
  <c r="F117" i="3"/>
  <c r="E185" i="3"/>
  <c r="R194" i="3" s="1"/>
  <c r="E153" i="3"/>
  <c r="R162" i="3" s="1"/>
  <c r="E121" i="3"/>
  <c r="R130" i="3" s="1"/>
  <c r="E89" i="3"/>
  <c r="R98" i="3" s="1"/>
  <c r="E57" i="3"/>
  <c r="F205" i="3"/>
  <c r="F173" i="3"/>
  <c r="F141" i="3"/>
  <c r="F109" i="3"/>
  <c r="E193" i="3"/>
  <c r="R202" i="3" s="1"/>
  <c r="E97" i="3"/>
  <c r="R106" i="3" s="1"/>
  <c r="E33" i="3"/>
  <c r="R42" i="3" s="1"/>
  <c r="F149" i="3"/>
  <c r="E209" i="3"/>
  <c r="E177" i="3"/>
  <c r="R186" i="3" s="1"/>
  <c r="E145" i="3"/>
  <c r="R154" i="3" s="1"/>
  <c r="E113" i="3"/>
  <c r="E81" i="3"/>
  <c r="R90" i="3" s="1"/>
  <c r="E49" i="3"/>
  <c r="R58" i="3" s="1"/>
  <c r="F197" i="3"/>
  <c r="F165" i="3"/>
  <c r="F133" i="3"/>
  <c r="F101" i="3"/>
  <c r="E129" i="3"/>
  <c r="E65" i="3"/>
  <c r="F181" i="3"/>
  <c r="E201" i="3"/>
  <c r="R210" i="3" s="1"/>
  <c r="E169" i="3"/>
  <c r="E137" i="3"/>
  <c r="E105" i="3"/>
  <c r="R114" i="3" s="1"/>
  <c r="E73" i="3"/>
  <c r="R82" i="3" s="1"/>
  <c r="E41" i="3"/>
  <c r="F189" i="3"/>
  <c r="F157" i="3"/>
  <c r="F125" i="3"/>
  <c r="F93" i="3"/>
  <c r="R99" i="3"/>
  <c r="R107" i="3"/>
  <c r="R115" i="3"/>
  <c r="R123" i="3"/>
  <c r="R131" i="3"/>
  <c r="R139" i="3"/>
  <c r="R147" i="3"/>
  <c r="R155" i="3"/>
  <c r="R163" i="3"/>
  <c r="R171" i="3"/>
  <c r="R179" i="3"/>
  <c r="R187" i="3"/>
  <c r="R195" i="3"/>
  <c r="R203" i="3"/>
  <c r="R211" i="3"/>
  <c r="R50" i="3"/>
  <c r="R66" i="3"/>
  <c r="R74" i="3"/>
  <c r="R122" i="3"/>
  <c r="R138" i="3"/>
  <c r="R146" i="3"/>
  <c r="R178" i="3"/>
  <c r="R102" i="3"/>
  <c r="R110" i="3"/>
  <c r="R118" i="3"/>
  <c r="R126" i="3"/>
  <c r="R134" i="3"/>
  <c r="R142" i="3"/>
  <c r="R150" i="3"/>
  <c r="R158" i="3"/>
  <c r="R166" i="3"/>
  <c r="R174" i="3"/>
  <c r="R182" i="3"/>
  <c r="R190" i="3"/>
  <c r="R198" i="3"/>
  <c r="R206" i="3"/>
  <c r="E206" i="3"/>
  <c r="E198" i="3"/>
  <c r="E190" i="3"/>
  <c r="E182" i="3"/>
  <c r="R191" i="3" s="1"/>
  <c r="E174" i="3"/>
  <c r="R183" i="3" s="1"/>
  <c r="E166" i="3"/>
  <c r="E158" i="3"/>
  <c r="R167" i="3" s="1"/>
  <c r="E150" i="3"/>
  <c r="R159" i="3" s="1"/>
  <c r="E142" i="3"/>
  <c r="R151" i="3" s="1"/>
  <c r="E134" i="3"/>
  <c r="E126" i="3"/>
  <c r="R135" i="3" s="1"/>
  <c r="E118" i="3"/>
  <c r="R127" i="3" s="1"/>
  <c r="E110" i="3"/>
  <c r="R119" i="3" s="1"/>
  <c r="E102" i="3"/>
  <c r="E94" i="3"/>
  <c r="R103" i="3" s="1"/>
  <c r="E86" i="3"/>
  <c r="R95" i="3" s="1"/>
  <c r="E78" i="3"/>
  <c r="R87" i="3" s="1"/>
  <c r="E70" i="3"/>
  <c r="E62" i="3"/>
  <c r="R71" i="3" s="1"/>
  <c r="E54" i="3"/>
  <c r="R63" i="3" s="1"/>
  <c r="E46" i="3"/>
  <c r="R55" i="3" s="1"/>
  <c r="E38" i="3"/>
  <c r="F210" i="3"/>
  <c r="F202" i="3"/>
  <c r="F194" i="3"/>
  <c r="F186" i="3"/>
  <c r="F178" i="3"/>
  <c r="F170" i="3"/>
  <c r="F162" i="3"/>
  <c r="F154" i="3"/>
  <c r="F146" i="3"/>
  <c r="F138" i="3"/>
  <c r="F130" i="3"/>
  <c r="F122" i="3"/>
  <c r="F114" i="3"/>
  <c r="F106" i="3"/>
  <c r="F98" i="3"/>
  <c r="F90" i="3"/>
  <c r="E85" i="3"/>
  <c r="E77" i="3"/>
  <c r="E69" i="3"/>
  <c r="E61" i="3"/>
  <c r="R70" i="3" s="1"/>
  <c r="E53" i="3"/>
  <c r="E45" i="3"/>
  <c r="E37" i="3"/>
  <c r="E82" i="3"/>
  <c r="E74" i="3"/>
  <c r="R83" i="3" s="1"/>
  <c r="E66" i="3"/>
  <c r="R75" i="3" s="1"/>
  <c r="E58" i="3"/>
  <c r="R67" i="3" s="1"/>
  <c r="E50" i="3"/>
  <c r="E42" i="3"/>
  <c r="R51" i="3" s="1"/>
  <c r="E34" i="3"/>
  <c r="R43" i="3" s="1"/>
  <c r="E208" i="3"/>
  <c r="E204" i="3"/>
  <c r="E200" i="3"/>
  <c r="E196" i="3"/>
  <c r="R205" i="3" s="1"/>
  <c r="E192" i="3"/>
  <c r="E188" i="3"/>
  <c r="E184" i="3"/>
  <c r="R193" i="3" s="1"/>
  <c r="E180" i="3"/>
  <c r="R189" i="3" s="1"/>
  <c r="E176" i="3"/>
  <c r="R185" i="3" s="1"/>
  <c r="E172" i="3"/>
  <c r="E168" i="3"/>
  <c r="E164" i="3"/>
  <c r="R173" i="3" s="1"/>
  <c r="E160" i="3"/>
  <c r="E156" i="3"/>
  <c r="E152" i="3"/>
  <c r="R161" i="3" s="1"/>
  <c r="E148" i="3"/>
  <c r="R157" i="3" s="1"/>
  <c r="E144" i="3"/>
  <c r="R153" i="3" s="1"/>
  <c r="E140" i="3"/>
  <c r="R149" i="3" s="1"/>
  <c r="E136" i="3"/>
  <c r="E132" i="3"/>
  <c r="R141" i="3" s="1"/>
  <c r="E128" i="3"/>
  <c r="E124" i="3"/>
  <c r="E120" i="3"/>
  <c r="R129" i="3" s="1"/>
  <c r="E116" i="3"/>
  <c r="E112" i="3"/>
  <c r="E108" i="3"/>
  <c r="R117" i="3" s="1"/>
  <c r="E104" i="3"/>
  <c r="E100" i="3"/>
  <c r="R109" i="3" s="1"/>
  <c r="E96" i="3"/>
  <c r="E92" i="3"/>
  <c r="E88" i="3"/>
  <c r="R97" i="3" s="1"/>
  <c r="E84" i="3"/>
  <c r="E80" i="3"/>
  <c r="E76" i="3"/>
  <c r="R85" i="3" s="1"/>
  <c r="E72" i="3"/>
  <c r="E68" i="3"/>
  <c r="R77" i="3" s="1"/>
  <c r="E64" i="3"/>
  <c r="E60" i="3"/>
  <c r="E56" i="3"/>
  <c r="R65" i="3" s="1"/>
  <c r="E52" i="3"/>
  <c r="E48" i="3"/>
  <c r="E44" i="3"/>
  <c r="R53" i="3" s="1"/>
  <c r="E40" i="3"/>
  <c r="E36" i="3"/>
  <c r="R45" i="3" s="1"/>
  <c r="E32" i="3"/>
  <c r="E211" i="3"/>
  <c r="E207" i="3"/>
  <c r="E203" i="3"/>
  <c r="E199" i="3"/>
  <c r="E195" i="3"/>
  <c r="R204" i="3" s="1"/>
  <c r="E191" i="3"/>
  <c r="R200" i="3" s="1"/>
  <c r="E187" i="3"/>
  <c r="E183" i="3"/>
  <c r="R192" i="3" s="1"/>
  <c r="E179" i="3"/>
  <c r="R188" i="3" s="1"/>
  <c r="E175" i="3"/>
  <c r="R184" i="3" s="1"/>
  <c r="E171" i="3"/>
  <c r="R180" i="3" s="1"/>
  <c r="E167" i="3"/>
  <c r="R176" i="3" s="1"/>
  <c r="E163" i="3"/>
  <c r="R172" i="3" s="1"/>
  <c r="E159" i="3"/>
  <c r="R168" i="3" s="1"/>
  <c r="E155" i="3"/>
  <c r="R164" i="3" s="1"/>
  <c r="E151" i="3"/>
  <c r="R160" i="3" s="1"/>
  <c r="E147" i="3"/>
  <c r="R156" i="3" s="1"/>
  <c r="E143" i="3"/>
  <c r="R152" i="3" s="1"/>
  <c r="E139" i="3"/>
  <c r="E135" i="3"/>
  <c r="R144" i="3" s="1"/>
  <c r="E131" i="3"/>
  <c r="E127" i="3"/>
  <c r="R136" i="3" s="1"/>
  <c r="E123" i="3"/>
  <c r="R132" i="3" s="1"/>
  <c r="E119" i="3"/>
  <c r="E115" i="3"/>
  <c r="R124" i="3" s="1"/>
  <c r="E111" i="3"/>
  <c r="R120" i="3" s="1"/>
  <c r="E107" i="3"/>
  <c r="E103" i="3"/>
  <c r="R112" i="3" s="1"/>
  <c r="E99" i="3"/>
  <c r="E95" i="3"/>
  <c r="R104" i="3" s="1"/>
  <c r="E91" i="3"/>
  <c r="R100" i="3" s="1"/>
  <c r="E87" i="3"/>
  <c r="E83" i="3"/>
  <c r="R92" i="3" s="1"/>
  <c r="E79" i="3"/>
  <c r="R88" i="3" s="1"/>
  <c r="E75" i="3"/>
  <c r="E71" i="3"/>
  <c r="R80" i="3" s="1"/>
  <c r="E67" i="3"/>
  <c r="E63" i="3"/>
  <c r="R72" i="3" s="1"/>
  <c r="E59" i="3"/>
  <c r="R68" i="3" s="1"/>
  <c r="E55" i="3"/>
  <c r="E51" i="3"/>
  <c r="R60" i="3" s="1"/>
  <c r="E47" i="3"/>
  <c r="R56" i="3" s="1"/>
  <c r="E43" i="3"/>
  <c r="E39" i="3"/>
  <c r="R48" i="3" s="1"/>
  <c r="E35" i="3"/>
  <c r="E28" i="3"/>
  <c r="E24" i="3"/>
  <c r="E20" i="3"/>
  <c r="E16" i="3"/>
  <c r="E31" i="3"/>
  <c r="R40" i="3" s="1"/>
  <c r="E27" i="3"/>
  <c r="E23" i="3"/>
  <c r="E19" i="3"/>
  <c r="E15" i="3"/>
  <c r="E30" i="3"/>
  <c r="R39" i="3" s="1"/>
  <c r="E26" i="3"/>
  <c r="E22" i="3"/>
  <c r="E18" i="3"/>
  <c r="E14" i="3"/>
  <c r="E29" i="3"/>
  <c r="E25" i="3"/>
  <c r="E21" i="3"/>
  <c r="E17" i="3"/>
  <c r="E13" i="3"/>
  <c r="L21" i="3"/>
  <c r="N21" i="3"/>
  <c r="T39" i="3" s="1"/>
  <c r="U21" i="4" l="1"/>
  <c r="T198" i="3"/>
  <c r="V198" i="3" s="1"/>
  <c r="V39" i="3"/>
  <c r="T157" i="3"/>
  <c r="V157" i="3" s="1"/>
  <c r="W21" i="4"/>
  <c r="R21" i="4"/>
  <c r="T21" i="4" s="1"/>
  <c r="T158" i="3"/>
  <c r="V158" i="3" s="1"/>
  <c r="T109" i="3"/>
  <c r="V109" i="3" s="1"/>
  <c r="Q47" i="3"/>
  <c r="Q79" i="3"/>
  <c r="Q111" i="3"/>
  <c r="Q143" i="3"/>
  <c r="Q175" i="3"/>
  <c r="Q207" i="3"/>
  <c r="T102" i="3"/>
  <c r="V102" i="3" s="1"/>
  <c r="Q44" i="3"/>
  <c r="Q76" i="3"/>
  <c r="Q108" i="3"/>
  <c r="Q140" i="3"/>
  <c r="T69" i="3"/>
  <c r="Q101" i="3"/>
  <c r="Q133" i="3"/>
  <c r="Q165" i="3"/>
  <c r="Q181" i="3"/>
  <c r="T197" i="3"/>
  <c r="Q59" i="3"/>
  <c r="Q91" i="3"/>
  <c r="T209" i="3"/>
  <c r="Q64" i="3"/>
  <c r="Q96" i="3"/>
  <c r="Q128" i="3"/>
  <c r="Q208" i="3"/>
  <c r="Q41" i="3"/>
  <c r="Q57" i="3"/>
  <c r="Q73" i="3"/>
  <c r="Q89" i="3"/>
  <c r="Q105" i="3"/>
  <c r="Q121" i="3"/>
  <c r="Q137" i="3"/>
  <c r="Q169" i="3"/>
  <c r="Q201" i="3"/>
  <c r="T211" i="3"/>
  <c r="V211" i="3" s="1"/>
  <c r="T194" i="3"/>
  <c r="V194" i="3" s="1"/>
  <c r="T137" i="3"/>
  <c r="T78" i="3"/>
  <c r="T193" i="3"/>
  <c r="V193" i="3" s="1"/>
  <c r="T152" i="3"/>
  <c r="V152" i="3" s="1"/>
  <c r="Q46" i="3"/>
  <c r="Q78" i="3"/>
  <c r="Q52" i="3"/>
  <c r="Q84" i="3"/>
  <c r="Q116" i="3"/>
  <c r="Q148" i="3"/>
  <c r="Q196" i="3"/>
  <c r="Q61" i="3"/>
  <c r="Q93" i="3"/>
  <c r="Q125" i="3"/>
  <c r="T203" i="3"/>
  <c r="V203" i="3" s="1"/>
  <c r="T180" i="3"/>
  <c r="V180" i="3" s="1"/>
  <c r="T132" i="3"/>
  <c r="V132" i="3" s="1"/>
  <c r="T70" i="3"/>
  <c r="V70" i="3" s="1"/>
  <c r="T178" i="3"/>
  <c r="V178" i="3" s="1"/>
  <c r="T136" i="3"/>
  <c r="V136" i="3" s="1"/>
  <c r="Q54" i="3"/>
  <c r="Q86" i="3"/>
  <c r="Q210" i="3"/>
  <c r="S210" i="3" s="1"/>
  <c r="Q49" i="3"/>
  <c r="Q81" i="3"/>
  <c r="Q113" i="3"/>
  <c r="Q145" i="3"/>
  <c r="Q177" i="3"/>
  <c r="Q209" i="3"/>
  <c r="T210" i="3"/>
  <c r="V210" i="3" s="1"/>
  <c r="T174" i="3"/>
  <c r="V174" i="3" s="1"/>
  <c r="T110" i="3"/>
  <c r="V110" i="3" s="1"/>
  <c r="T46" i="3"/>
  <c r="T173" i="3"/>
  <c r="V173" i="3" s="1"/>
  <c r="T130" i="3"/>
  <c r="V130" i="3" s="1"/>
  <c r="Q62" i="3"/>
  <c r="Q94" i="3"/>
  <c r="Q199" i="3"/>
  <c r="T153" i="3"/>
  <c r="V153" i="3" s="1"/>
  <c r="T101" i="3"/>
  <c r="T208" i="3"/>
  <c r="T206" i="3"/>
  <c r="V206" i="3" s="1"/>
  <c r="T190" i="3"/>
  <c r="V190" i="3" s="1"/>
  <c r="T169" i="3"/>
  <c r="T148" i="3"/>
  <c r="T126" i="3"/>
  <c r="V126" i="3" s="1"/>
  <c r="T94" i="3"/>
  <c r="T62" i="3"/>
  <c r="T205" i="3"/>
  <c r="V205" i="3" s="1"/>
  <c r="T189" i="3"/>
  <c r="V189" i="3" s="1"/>
  <c r="T168" i="3"/>
  <c r="V168" i="3" s="1"/>
  <c r="T146" i="3"/>
  <c r="V146" i="3" s="1"/>
  <c r="T125" i="3"/>
  <c r="T93" i="3"/>
  <c r="T61" i="3"/>
  <c r="T200" i="3"/>
  <c r="V200" i="3" s="1"/>
  <c r="T182" i="3"/>
  <c r="V182" i="3" s="1"/>
  <c r="T161" i="3"/>
  <c r="V161" i="3" s="1"/>
  <c r="T140" i="3"/>
  <c r="T114" i="3"/>
  <c r="V114" i="3" s="1"/>
  <c r="T82" i="3"/>
  <c r="V82" i="3" s="1"/>
  <c r="T50" i="3"/>
  <c r="V50" i="3" s="1"/>
  <c r="T191" i="3"/>
  <c r="V191" i="3" s="1"/>
  <c r="T170" i="3"/>
  <c r="V170" i="3" s="1"/>
  <c r="T149" i="3"/>
  <c r="V149" i="3" s="1"/>
  <c r="T128" i="3"/>
  <c r="T97" i="3"/>
  <c r="V97" i="3" s="1"/>
  <c r="T65" i="3"/>
  <c r="V65" i="3" s="1"/>
  <c r="T124" i="3"/>
  <c r="V124" i="3" s="1"/>
  <c r="T108" i="3"/>
  <c r="T92" i="3"/>
  <c r="V92" i="3" s="1"/>
  <c r="T76" i="3"/>
  <c r="T60" i="3"/>
  <c r="V60" i="3" s="1"/>
  <c r="T44" i="3"/>
  <c r="T179" i="3"/>
  <c r="V179" i="3" s="1"/>
  <c r="T163" i="3"/>
  <c r="V163" i="3" s="1"/>
  <c r="T147" i="3"/>
  <c r="V147" i="3" s="1"/>
  <c r="T131" i="3"/>
  <c r="V131" i="3" s="1"/>
  <c r="T115" i="3"/>
  <c r="V115" i="3" s="1"/>
  <c r="T99" i="3"/>
  <c r="V99" i="3" s="1"/>
  <c r="T83" i="3"/>
  <c r="V83" i="3" s="1"/>
  <c r="T67" i="3"/>
  <c r="V67" i="3" s="1"/>
  <c r="T51" i="3"/>
  <c r="V51" i="3" s="1"/>
  <c r="Q183" i="3"/>
  <c r="S183" i="3" s="1"/>
  <c r="Q167" i="3"/>
  <c r="S167" i="3" s="1"/>
  <c r="Q151" i="3"/>
  <c r="S151" i="3" s="1"/>
  <c r="Q119" i="3"/>
  <c r="S119" i="3" s="1"/>
  <c r="Q87" i="3"/>
  <c r="S87" i="3" s="1"/>
  <c r="Q55" i="3"/>
  <c r="S55" i="3" s="1"/>
  <c r="R209" i="3"/>
  <c r="R177" i="3"/>
  <c r="R145" i="3"/>
  <c r="R113" i="3"/>
  <c r="R81" i="3"/>
  <c r="R49" i="3"/>
  <c r="Q190" i="3"/>
  <c r="S190" i="3" s="1"/>
  <c r="Q174" i="3"/>
  <c r="S174" i="3" s="1"/>
  <c r="Q158" i="3"/>
  <c r="S158" i="3" s="1"/>
  <c r="Q132" i="3"/>
  <c r="S132" i="3" s="1"/>
  <c r="Q100" i="3"/>
  <c r="S100" i="3" s="1"/>
  <c r="Q68" i="3"/>
  <c r="S68" i="3" s="1"/>
  <c r="Q205" i="3"/>
  <c r="S205" i="3" s="1"/>
  <c r="R94" i="3"/>
  <c r="R62" i="3"/>
  <c r="Q193" i="3"/>
  <c r="S193" i="3" s="1"/>
  <c r="Q161" i="3"/>
  <c r="S161" i="3" s="1"/>
  <c r="Q139" i="3"/>
  <c r="S139" i="3" s="1"/>
  <c r="Q107" i="3"/>
  <c r="S107" i="3" s="1"/>
  <c r="Q75" i="3"/>
  <c r="S75" i="3" s="1"/>
  <c r="Q43" i="3"/>
  <c r="S43" i="3" s="1"/>
  <c r="R197" i="3"/>
  <c r="R165" i="3"/>
  <c r="R133" i="3"/>
  <c r="R101" i="3"/>
  <c r="U101" i="3" s="1"/>
  <c r="R69" i="3"/>
  <c r="Q40" i="3"/>
  <c r="S40" i="3" s="1"/>
  <c r="Q180" i="3"/>
  <c r="S180" i="3" s="1"/>
  <c r="Q164" i="3"/>
  <c r="S164" i="3" s="1"/>
  <c r="Q144" i="3"/>
  <c r="S144" i="3" s="1"/>
  <c r="Q112" i="3"/>
  <c r="S112" i="3" s="1"/>
  <c r="Q80" i="3"/>
  <c r="S80" i="3" s="1"/>
  <c r="Q48" i="3"/>
  <c r="S48" i="3" s="1"/>
  <c r="Q138" i="3"/>
  <c r="S138" i="3" s="1"/>
  <c r="Q122" i="3"/>
  <c r="S122" i="3" s="1"/>
  <c r="Q106" i="3"/>
  <c r="S106" i="3" s="1"/>
  <c r="Q90" i="3"/>
  <c r="S90" i="3" s="1"/>
  <c r="Q74" i="3"/>
  <c r="S74" i="3" s="1"/>
  <c r="Q58" i="3"/>
  <c r="S58" i="3" s="1"/>
  <c r="Q211" i="3"/>
  <c r="S211" i="3" s="1"/>
  <c r="Q195" i="3"/>
  <c r="S195" i="3" s="1"/>
  <c r="R196" i="3"/>
  <c r="R148" i="3"/>
  <c r="R116" i="3"/>
  <c r="R84" i="3"/>
  <c r="R52" i="3"/>
  <c r="Q149" i="3"/>
  <c r="S149" i="3" s="1"/>
  <c r="Q117" i="3"/>
  <c r="S117" i="3" s="1"/>
  <c r="Q85" i="3"/>
  <c r="S85" i="3" s="1"/>
  <c r="Q69" i="3"/>
  <c r="Q53" i="3"/>
  <c r="S53" i="3" s="1"/>
  <c r="Q206" i="3"/>
  <c r="S206" i="3" s="1"/>
  <c r="R207" i="3"/>
  <c r="U207" i="3" s="1"/>
  <c r="R175" i="3"/>
  <c r="R143" i="3"/>
  <c r="R111" i="3"/>
  <c r="R79" i="3"/>
  <c r="U79" i="3" s="1"/>
  <c r="R47" i="3"/>
  <c r="T207" i="3"/>
  <c r="T202" i="3"/>
  <c r="V202" i="3" s="1"/>
  <c r="T185" i="3"/>
  <c r="V185" i="3" s="1"/>
  <c r="T164" i="3"/>
  <c r="V164" i="3" s="1"/>
  <c r="T142" i="3"/>
  <c r="V142" i="3" s="1"/>
  <c r="T118" i="3"/>
  <c r="V118" i="3" s="1"/>
  <c r="T86" i="3"/>
  <c r="T54" i="3"/>
  <c r="T201" i="3"/>
  <c r="T184" i="3"/>
  <c r="V184" i="3" s="1"/>
  <c r="T162" i="3"/>
  <c r="V162" i="3" s="1"/>
  <c r="T141" i="3"/>
  <c r="V141" i="3" s="1"/>
  <c r="T117" i="3"/>
  <c r="V117" i="3" s="1"/>
  <c r="T85" i="3"/>
  <c r="V85" i="3" s="1"/>
  <c r="T53" i="3"/>
  <c r="V53" i="3" s="1"/>
  <c r="T196" i="3"/>
  <c r="T177" i="3"/>
  <c r="T156" i="3"/>
  <c r="V156" i="3" s="1"/>
  <c r="T134" i="3"/>
  <c r="V134" i="3" s="1"/>
  <c r="T106" i="3"/>
  <c r="V106" i="3" s="1"/>
  <c r="T74" i="3"/>
  <c r="V74" i="3" s="1"/>
  <c r="T42" i="3"/>
  <c r="V42" i="3" s="1"/>
  <c r="T186" i="3"/>
  <c r="V186" i="3" s="1"/>
  <c r="T165" i="3"/>
  <c r="T144" i="3"/>
  <c r="V144" i="3" s="1"/>
  <c r="T121" i="3"/>
  <c r="T89" i="3"/>
  <c r="T57" i="3"/>
  <c r="T120" i="3"/>
  <c r="V120" i="3" s="1"/>
  <c r="T104" i="3"/>
  <c r="V104" i="3" s="1"/>
  <c r="T88" i="3"/>
  <c r="V88" i="3" s="1"/>
  <c r="T72" i="3"/>
  <c r="V72" i="3" s="1"/>
  <c r="T56" i="3"/>
  <c r="V56" i="3" s="1"/>
  <c r="T40" i="3"/>
  <c r="V40" i="3" s="1"/>
  <c r="T175" i="3"/>
  <c r="T159" i="3"/>
  <c r="V159" i="3" s="1"/>
  <c r="T143" i="3"/>
  <c r="T127" i="3"/>
  <c r="V127" i="3" s="1"/>
  <c r="T111" i="3"/>
  <c r="T95" i="3"/>
  <c r="V95" i="3" s="1"/>
  <c r="T79" i="3"/>
  <c r="T63" i="3"/>
  <c r="V63" i="3" s="1"/>
  <c r="T47" i="3"/>
  <c r="Q39" i="3"/>
  <c r="S39" i="3" s="1"/>
  <c r="Q179" i="3"/>
  <c r="S179" i="3" s="1"/>
  <c r="Q163" i="3"/>
  <c r="S163" i="3" s="1"/>
  <c r="R201" i="3"/>
  <c r="R169" i="3"/>
  <c r="R137" i="3"/>
  <c r="R105" i="3"/>
  <c r="R73" i="3"/>
  <c r="R41" i="3"/>
  <c r="Q186" i="3"/>
  <c r="S186" i="3" s="1"/>
  <c r="Q170" i="3"/>
  <c r="S170" i="3" s="1"/>
  <c r="Q154" i="3"/>
  <c r="S154" i="3" s="1"/>
  <c r="Q124" i="3"/>
  <c r="S124" i="3" s="1"/>
  <c r="Q92" i="3"/>
  <c r="S92" i="3" s="1"/>
  <c r="Q60" i="3"/>
  <c r="S60" i="3" s="1"/>
  <c r="Q197" i="3"/>
  <c r="R86" i="3"/>
  <c r="R54" i="3"/>
  <c r="Q189" i="3"/>
  <c r="S189" i="3" s="1"/>
  <c r="Q173" i="3"/>
  <c r="S173" i="3" s="1"/>
  <c r="Q157" i="3"/>
  <c r="S157" i="3" s="1"/>
  <c r="Q131" i="3"/>
  <c r="S131" i="3" s="1"/>
  <c r="Q99" i="3"/>
  <c r="S99" i="3" s="1"/>
  <c r="Q67" i="3"/>
  <c r="S67" i="3" s="1"/>
  <c r="Q204" i="3"/>
  <c r="S204" i="3" s="1"/>
  <c r="R125" i="3"/>
  <c r="U125" i="3" s="1"/>
  <c r="R93" i="3"/>
  <c r="R61" i="3"/>
  <c r="Q192" i="3"/>
  <c r="S192" i="3" s="1"/>
  <c r="Q176" i="3"/>
  <c r="S176" i="3" s="1"/>
  <c r="Q160" i="3"/>
  <c r="S160" i="3" s="1"/>
  <c r="Q136" i="3"/>
  <c r="S136" i="3" s="1"/>
  <c r="Q104" i="3"/>
  <c r="S104" i="3" s="1"/>
  <c r="Q72" i="3"/>
  <c r="S72" i="3" s="1"/>
  <c r="Q150" i="3"/>
  <c r="S150" i="3" s="1"/>
  <c r="Q134" i="3"/>
  <c r="S134" i="3" s="1"/>
  <c r="Q118" i="3"/>
  <c r="S118" i="3" s="1"/>
  <c r="Q102" i="3"/>
  <c r="S102" i="3" s="1"/>
  <c r="Q70" i="3"/>
  <c r="S70" i="3" s="1"/>
  <c r="R208" i="3"/>
  <c r="R128" i="3"/>
  <c r="R96" i="3"/>
  <c r="R64" i="3"/>
  <c r="Q129" i="3"/>
  <c r="S129" i="3" s="1"/>
  <c r="Q97" i="3"/>
  <c r="S97" i="3" s="1"/>
  <c r="Q65" i="3"/>
  <c r="S65" i="3" s="1"/>
  <c r="Q202" i="3"/>
  <c r="S202" i="3" s="1"/>
  <c r="R91" i="3"/>
  <c r="R59" i="3"/>
  <c r="T77" i="3"/>
  <c r="V77" i="3" s="1"/>
  <c r="T45" i="3"/>
  <c r="V45" i="3" s="1"/>
  <c r="T192" i="3"/>
  <c r="V192" i="3" s="1"/>
  <c r="T172" i="3"/>
  <c r="V172" i="3" s="1"/>
  <c r="T150" i="3"/>
  <c r="V150" i="3" s="1"/>
  <c r="T129" i="3"/>
  <c r="V129" i="3" s="1"/>
  <c r="T98" i="3"/>
  <c r="V98" i="3" s="1"/>
  <c r="T66" i="3"/>
  <c r="V66" i="3" s="1"/>
  <c r="T199" i="3"/>
  <c r="T181" i="3"/>
  <c r="T160" i="3"/>
  <c r="V160" i="3" s="1"/>
  <c r="T138" i="3"/>
  <c r="V138" i="3" s="1"/>
  <c r="T113" i="3"/>
  <c r="T81" i="3"/>
  <c r="T49" i="3"/>
  <c r="T116" i="3"/>
  <c r="T100" i="3"/>
  <c r="V100" i="3" s="1"/>
  <c r="T84" i="3"/>
  <c r="T68" i="3"/>
  <c r="V68" i="3" s="1"/>
  <c r="T52" i="3"/>
  <c r="T187" i="3"/>
  <c r="V187" i="3" s="1"/>
  <c r="T171" i="3"/>
  <c r="V171" i="3" s="1"/>
  <c r="T155" i="3"/>
  <c r="V155" i="3" s="1"/>
  <c r="T139" i="3"/>
  <c r="V139" i="3" s="1"/>
  <c r="T123" i="3"/>
  <c r="V123" i="3" s="1"/>
  <c r="T107" i="3"/>
  <c r="V107" i="3" s="1"/>
  <c r="T91" i="3"/>
  <c r="T75" i="3"/>
  <c r="V75" i="3" s="1"/>
  <c r="T59" i="3"/>
  <c r="T43" i="3"/>
  <c r="V43" i="3" s="1"/>
  <c r="Q191" i="3"/>
  <c r="S191" i="3" s="1"/>
  <c r="Q159" i="3"/>
  <c r="S159" i="3" s="1"/>
  <c r="Q135" i="3"/>
  <c r="S135" i="3" s="1"/>
  <c r="Q103" i="3"/>
  <c r="S103" i="3" s="1"/>
  <c r="Q71" i="3"/>
  <c r="S71" i="3" s="1"/>
  <c r="Q42" i="3"/>
  <c r="S42" i="3" s="1"/>
  <c r="Q182" i="3"/>
  <c r="S182" i="3" s="1"/>
  <c r="Q166" i="3"/>
  <c r="S166" i="3" s="1"/>
  <c r="R78" i="3"/>
  <c r="R46" i="3"/>
  <c r="Q185" i="3"/>
  <c r="S185" i="3" s="1"/>
  <c r="Q153" i="3"/>
  <c r="S153" i="3" s="1"/>
  <c r="Q123" i="3"/>
  <c r="S123" i="3" s="1"/>
  <c r="R181" i="3"/>
  <c r="Q188" i="3"/>
  <c r="S188" i="3" s="1"/>
  <c r="Q172" i="3"/>
  <c r="S172" i="3" s="1"/>
  <c r="Q156" i="3"/>
  <c r="S156" i="3" s="1"/>
  <c r="U58" i="3"/>
  <c r="Q146" i="3"/>
  <c r="S146" i="3" s="1"/>
  <c r="Q130" i="3"/>
  <c r="S130" i="3" s="1"/>
  <c r="Q114" i="3"/>
  <c r="S114" i="3" s="1"/>
  <c r="Q98" i="3"/>
  <c r="S98" i="3" s="1"/>
  <c r="Q82" i="3"/>
  <c r="S82" i="3" s="1"/>
  <c r="Q66" i="3"/>
  <c r="S66" i="3" s="1"/>
  <c r="Q50" i="3"/>
  <c r="S50" i="3" s="1"/>
  <c r="Q203" i="3"/>
  <c r="S203" i="3" s="1"/>
  <c r="R140" i="3"/>
  <c r="R108" i="3"/>
  <c r="R76" i="3"/>
  <c r="R44" i="3"/>
  <c r="U44" i="3" s="1"/>
  <c r="Q141" i="3"/>
  <c r="S141" i="3" s="1"/>
  <c r="Q109" i="3"/>
  <c r="S109" i="3" s="1"/>
  <c r="Q77" i="3"/>
  <c r="S77" i="3" s="1"/>
  <c r="Q45" i="3"/>
  <c r="S45" i="3" s="1"/>
  <c r="Q198" i="3"/>
  <c r="S198" i="3" s="1"/>
  <c r="R199" i="3"/>
  <c r="T204" i="3"/>
  <c r="V204" i="3" s="1"/>
  <c r="T188" i="3"/>
  <c r="V188" i="3" s="1"/>
  <c r="T166" i="3"/>
  <c r="V166" i="3" s="1"/>
  <c r="T145" i="3"/>
  <c r="T122" i="3"/>
  <c r="V122" i="3" s="1"/>
  <c r="T90" i="3"/>
  <c r="V90" i="3" s="1"/>
  <c r="T58" i="3"/>
  <c r="V58" i="3" s="1"/>
  <c r="T195" i="3"/>
  <c r="V195" i="3" s="1"/>
  <c r="T176" i="3"/>
  <c r="V176" i="3" s="1"/>
  <c r="T154" i="3"/>
  <c r="V154" i="3" s="1"/>
  <c r="T133" i="3"/>
  <c r="T105" i="3"/>
  <c r="T73" i="3"/>
  <c r="T41" i="3"/>
  <c r="T112" i="3"/>
  <c r="V112" i="3" s="1"/>
  <c r="T96" i="3"/>
  <c r="T80" i="3"/>
  <c r="V80" i="3" s="1"/>
  <c r="T64" i="3"/>
  <c r="T48" i="3"/>
  <c r="V48" i="3" s="1"/>
  <c r="T183" i="3"/>
  <c r="V183" i="3" s="1"/>
  <c r="T167" i="3"/>
  <c r="V167" i="3" s="1"/>
  <c r="T151" i="3"/>
  <c r="V151" i="3" s="1"/>
  <c r="T135" i="3"/>
  <c r="V135" i="3" s="1"/>
  <c r="T119" i="3"/>
  <c r="V119" i="3" s="1"/>
  <c r="T103" i="3"/>
  <c r="V103" i="3" s="1"/>
  <c r="T87" i="3"/>
  <c r="V87" i="3" s="1"/>
  <c r="T71" i="3"/>
  <c r="V71" i="3" s="1"/>
  <c r="T55" i="3"/>
  <c r="V55" i="3" s="1"/>
  <c r="Q187" i="3"/>
  <c r="S187" i="3" s="1"/>
  <c r="Q171" i="3"/>
  <c r="S171" i="3" s="1"/>
  <c r="Q155" i="3"/>
  <c r="S155" i="3" s="1"/>
  <c r="Q127" i="3"/>
  <c r="S127" i="3" s="1"/>
  <c r="Q95" i="3"/>
  <c r="S95" i="3" s="1"/>
  <c r="Q63" i="3"/>
  <c r="S63" i="3" s="1"/>
  <c r="Q200" i="3"/>
  <c r="S200" i="3" s="1"/>
  <c r="R121" i="3"/>
  <c r="U121" i="3" s="1"/>
  <c r="R89" i="3"/>
  <c r="R57" i="3"/>
  <c r="Q194" i="3"/>
  <c r="S194" i="3" s="1"/>
  <c r="Q178" i="3"/>
  <c r="S178" i="3" s="1"/>
  <c r="Q162" i="3"/>
  <c r="S162" i="3" s="1"/>
  <c r="Q147" i="3"/>
  <c r="S147" i="3" s="1"/>
  <c r="Q115" i="3"/>
  <c r="S115" i="3" s="1"/>
  <c r="Q83" i="3"/>
  <c r="S83" i="3" s="1"/>
  <c r="Q51" i="3"/>
  <c r="S51" i="3" s="1"/>
  <c r="Q184" i="3"/>
  <c r="S184" i="3" s="1"/>
  <c r="Q168" i="3"/>
  <c r="S168" i="3" s="1"/>
  <c r="Q152" i="3"/>
  <c r="S152" i="3" s="1"/>
  <c r="Q120" i="3"/>
  <c r="S120" i="3" s="1"/>
  <c r="Q88" i="3"/>
  <c r="S88" i="3" s="1"/>
  <c r="Q56" i="3"/>
  <c r="S56" i="3" s="1"/>
  <c r="U82" i="3"/>
  <c r="Q142" i="3"/>
  <c r="S142" i="3" s="1"/>
  <c r="Q126" i="3"/>
  <c r="S126" i="3" s="1"/>
  <c r="Q110" i="3"/>
  <c r="S110" i="3" s="1"/>
  <c r="R30" i="3"/>
  <c r="Q30" i="3"/>
  <c r="T30" i="3"/>
  <c r="Q31" i="3"/>
  <c r="R31" i="3"/>
  <c r="T31" i="3"/>
  <c r="T25" i="3"/>
  <c r="Q25" i="3"/>
  <c r="R25" i="3"/>
  <c r="R22" i="3"/>
  <c r="Q22" i="3"/>
  <c r="T22" i="3"/>
  <c r="R38" i="3"/>
  <c r="Q38" i="3"/>
  <c r="T38" i="3"/>
  <c r="T35" i="3"/>
  <c r="R35" i="3"/>
  <c r="Q35" i="3"/>
  <c r="T32" i="3"/>
  <c r="R32" i="3"/>
  <c r="Q32" i="3"/>
  <c r="T29" i="3"/>
  <c r="R29" i="3"/>
  <c r="Q29" i="3"/>
  <c r="Q26" i="3"/>
  <c r="T26" i="3"/>
  <c r="R26" i="3"/>
  <c r="R23" i="3"/>
  <c r="Q23" i="3"/>
  <c r="T23" i="3"/>
  <c r="T36" i="3"/>
  <c r="R36" i="3"/>
  <c r="Q36" i="3"/>
  <c r="Q33" i="3"/>
  <c r="T33" i="3"/>
  <c r="R33" i="3"/>
  <c r="R27" i="3"/>
  <c r="Q27" i="3"/>
  <c r="T27" i="3"/>
  <c r="T24" i="3"/>
  <c r="R24" i="3"/>
  <c r="Q24" i="3"/>
  <c r="R37" i="3"/>
  <c r="T37" i="3"/>
  <c r="Q37" i="3"/>
  <c r="R34" i="3"/>
  <c r="T34" i="3"/>
  <c r="Q34" i="3"/>
  <c r="R28" i="3"/>
  <c r="Q28" i="3"/>
  <c r="T28" i="3"/>
  <c r="Q21" i="3"/>
  <c r="T21" i="3"/>
  <c r="R21" i="3"/>
  <c r="U134" i="3" l="1"/>
  <c r="U76" i="3"/>
  <c r="U122" i="3"/>
  <c r="U64" i="3"/>
  <c r="U105" i="3"/>
  <c r="U113" i="3"/>
  <c r="V133" i="3"/>
  <c r="U143" i="3"/>
  <c r="U131" i="3"/>
  <c r="W131" i="3" s="1"/>
  <c r="V41" i="3"/>
  <c r="U107" i="3"/>
  <c r="W107" i="3" s="1"/>
  <c r="U49" i="3"/>
  <c r="U177" i="3"/>
  <c r="U115" i="3"/>
  <c r="W115" i="3" s="1"/>
  <c r="U181" i="3"/>
  <c r="U179" i="3"/>
  <c r="W179" i="3" s="1"/>
  <c r="W82" i="3"/>
  <c r="U89" i="3"/>
  <c r="U174" i="3"/>
  <c r="W174" i="3" s="1"/>
  <c r="U93" i="3"/>
  <c r="U210" i="3"/>
  <c r="W210" i="3" s="1"/>
  <c r="U166" i="3"/>
  <c r="W166" i="3" s="1"/>
  <c r="U57" i="3"/>
  <c r="U199" i="3"/>
  <c r="U108" i="3"/>
  <c r="U186" i="3"/>
  <c r="V59" i="3"/>
  <c r="U86" i="3"/>
  <c r="U41" i="3"/>
  <c r="W41" i="3" s="1"/>
  <c r="U148" i="3"/>
  <c r="U145" i="3"/>
  <c r="U59" i="3"/>
  <c r="U96" i="3"/>
  <c r="U133" i="3"/>
  <c r="W133" i="3" s="1"/>
  <c r="U78" i="3"/>
  <c r="V116" i="3"/>
  <c r="U201" i="3"/>
  <c r="U47" i="3"/>
  <c r="U175" i="3"/>
  <c r="W175" i="3" s="1"/>
  <c r="U52" i="3"/>
  <c r="U196" i="3"/>
  <c r="V24" i="3"/>
  <c r="U36" i="3"/>
  <c r="U23" i="3"/>
  <c r="U32" i="3"/>
  <c r="V35" i="3"/>
  <c r="S25" i="3"/>
  <c r="S31" i="3"/>
  <c r="V28" i="3"/>
  <c r="V34" i="3"/>
  <c r="U26" i="3"/>
  <c r="V38" i="3"/>
  <c r="V25" i="3"/>
  <c r="V30" i="3"/>
  <c r="U137" i="3"/>
  <c r="V177" i="3"/>
  <c r="U84" i="3"/>
  <c r="U147" i="3"/>
  <c r="W147" i="3" s="1"/>
  <c r="U91" i="3"/>
  <c r="U128" i="3"/>
  <c r="V196" i="3"/>
  <c r="U111" i="3"/>
  <c r="S41" i="3"/>
  <c r="U163" i="3"/>
  <c r="W163" i="3" s="1"/>
  <c r="V105" i="3"/>
  <c r="U140" i="3"/>
  <c r="V52" i="3"/>
  <c r="U61" i="3"/>
  <c r="U73" i="3"/>
  <c r="V47" i="3"/>
  <c r="V175" i="3"/>
  <c r="U165" i="3"/>
  <c r="U62" i="3"/>
  <c r="S169" i="3"/>
  <c r="S22" i="3"/>
  <c r="V21" i="4"/>
  <c r="X21" i="4" s="1"/>
  <c r="S34" i="3"/>
  <c r="U33" i="3"/>
  <c r="V22" i="3"/>
  <c r="U50" i="3"/>
  <c r="W50" i="3" s="1"/>
  <c r="V113" i="3"/>
  <c r="V143" i="3"/>
  <c r="U74" i="3"/>
  <c r="W74" i="3" s="1"/>
  <c r="U69" i="3"/>
  <c r="U94" i="3"/>
  <c r="U172" i="3"/>
  <c r="W172" i="3" s="1"/>
  <c r="S143" i="3"/>
  <c r="U43" i="3"/>
  <c r="W43" i="3" s="1"/>
  <c r="U167" i="3"/>
  <c r="W167" i="3" s="1"/>
  <c r="S148" i="3"/>
  <c r="S208" i="3"/>
  <c r="U155" i="3"/>
  <c r="W155" i="3" s="1"/>
  <c r="V73" i="3"/>
  <c r="U154" i="3"/>
  <c r="W154" i="3" s="1"/>
  <c r="U162" i="3"/>
  <c r="W162" i="3" s="1"/>
  <c r="U197" i="3"/>
  <c r="U97" i="3"/>
  <c r="W97" i="3" s="1"/>
  <c r="V96" i="3"/>
  <c r="V145" i="3"/>
  <c r="W186" i="3"/>
  <c r="U46" i="3"/>
  <c r="U171" i="3"/>
  <c r="W171" i="3" s="1"/>
  <c r="U208" i="3"/>
  <c r="U54" i="3"/>
  <c r="V78" i="3"/>
  <c r="U116" i="3"/>
  <c r="U190" i="3"/>
  <c r="W190" i="3" s="1"/>
  <c r="U71" i="3"/>
  <c r="W71" i="3" s="1"/>
  <c r="U72" i="3"/>
  <c r="W72" i="3" s="1"/>
  <c r="U176" i="3"/>
  <c r="W176" i="3" s="1"/>
  <c r="U124" i="3"/>
  <c r="W124" i="3" s="1"/>
  <c r="U157" i="3"/>
  <c r="W157" i="3" s="1"/>
  <c r="U68" i="3"/>
  <c r="W68" i="3" s="1"/>
  <c r="U149" i="3"/>
  <c r="W149" i="3" s="1"/>
  <c r="U114" i="3"/>
  <c r="W114" i="3" s="1"/>
  <c r="W134" i="3"/>
  <c r="V199" i="3"/>
  <c r="V201" i="3"/>
  <c r="W201" i="3" s="1"/>
  <c r="U81" i="3"/>
  <c r="U209" i="3"/>
  <c r="V108" i="3"/>
  <c r="W108" i="3" s="1"/>
  <c r="V128" i="3"/>
  <c r="U161" i="3"/>
  <c r="W161" i="3" s="1"/>
  <c r="U55" i="3"/>
  <c r="W55" i="3" s="1"/>
  <c r="U48" i="3"/>
  <c r="W48" i="3" s="1"/>
  <c r="U191" i="3"/>
  <c r="W191" i="3" s="1"/>
  <c r="U109" i="3"/>
  <c r="W109" i="3" s="1"/>
  <c r="U183" i="3"/>
  <c r="W183" i="3" s="1"/>
  <c r="S128" i="3"/>
  <c r="U53" i="3"/>
  <c r="W53" i="3" s="1"/>
  <c r="V37" i="3"/>
  <c r="S29" i="3"/>
  <c r="U99" i="3"/>
  <c r="W99" i="3" s="1"/>
  <c r="U142" i="3"/>
  <c r="W142" i="3" s="1"/>
  <c r="U66" i="3"/>
  <c r="W66" i="3" s="1"/>
  <c r="U118" i="3"/>
  <c r="W118" i="3" s="1"/>
  <c r="U169" i="3"/>
  <c r="S199" i="3"/>
  <c r="S145" i="3"/>
  <c r="U153" i="3"/>
  <c r="W153" i="3" s="1"/>
  <c r="S47" i="3"/>
  <c r="U75" i="3"/>
  <c r="W75" i="3" s="1"/>
  <c r="S196" i="3"/>
  <c r="U87" i="3"/>
  <c r="W87" i="3" s="1"/>
  <c r="U80" i="3"/>
  <c r="W80" i="3" s="1"/>
  <c r="W58" i="3"/>
  <c r="U150" i="3"/>
  <c r="W150" i="3" s="1"/>
  <c r="V79" i="3"/>
  <c r="W79" i="3" s="1"/>
  <c r="S35" i="3"/>
  <c r="S38" i="3"/>
  <c r="U195" i="3"/>
  <c r="W195" i="3" s="1"/>
  <c r="U146" i="3"/>
  <c r="W146" i="3" s="1"/>
  <c r="U198" i="3"/>
  <c r="W198" i="3" s="1"/>
  <c r="V64" i="3"/>
  <c r="W64" i="3" s="1"/>
  <c r="U90" i="3"/>
  <c r="W90" i="3" s="1"/>
  <c r="U206" i="3"/>
  <c r="W206" i="3" s="1"/>
  <c r="V91" i="3"/>
  <c r="V49" i="3"/>
  <c r="U123" i="3"/>
  <c r="W123" i="3" s="1"/>
  <c r="U187" i="3"/>
  <c r="W187" i="3" s="1"/>
  <c r="U98" i="3"/>
  <c r="W98" i="3" s="1"/>
  <c r="U182" i="3"/>
  <c r="W182" i="3" s="1"/>
  <c r="V57" i="3"/>
  <c r="V165" i="3"/>
  <c r="V54" i="3"/>
  <c r="V209" i="3"/>
  <c r="U106" i="3"/>
  <c r="W106" i="3" s="1"/>
  <c r="U126" i="3"/>
  <c r="W126" i="3" s="1"/>
  <c r="V125" i="3"/>
  <c r="W125" i="3" s="1"/>
  <c r="V148" i="3"/>
  <c r="V208" i="3"/>
  <c r="V46" i="3"/>
  <c r="U135" i="3"/>
  <c r="W135" i="3" s="1"/>
  <c r="S62" i="3"/>
  <c r="U193" i="3"/>
  <c r="W193" i="3" s="1"/>
  <c r="U129" i="3"/>
  <c r="W129" i="3" s="1"/>
  <c r="U65" i="3"/>
  <c r="W65" i="3" s="1"/>
  <c r="U168" i="3"/>
  <c r="W168" i="3" s="1"/>
  <c r="U104" i="3"/>
  <c r="W104" i="3" s="1"/>
  <c r="U40" i="3"/>
  <c r="W40" i="3" s="1"/>
  <c r="S46" i="3"/>
  <c r="S105" i="3"/>
  <c r="U144" i="3"/>
  <c r="W144" i="3" s="1"/>
  <c r="S175" i="3"/>
  <c r="V197" i="3"/>
  <c r="V69" i="3"/>
  <c r="S108" i="3"/>
  <c r="U159" i="3"/>
  <c r="W159" i="3" s="1"/>
  <c r="S86" i="3"/>
  <c r="U205" i="3"/>
  <c r="W205" i="3" s="1"/>
  <c r="U141" i="3"/>
  <c r="W141" i="3" s="1"/>
  <c r="U77" i="3"/>
  <c r="W77" i="3" s="1"/>
  <c r="U180" i="3"/>
  <c r="W180" i="3" s="1"/>
  <c r="S116" i="3"/>
  <c r="S52" i="3"/>
  <c r="S78" i="3"/>
  <c r="S121" i="3"/>
  <c r="U192" i="3"/>
  <c r="W192" i="3" s="1"/>
  <c r="S64" i="3"/>
  <c r="U70" i="3"/>
  <c r="W70" i="3" s="1"/>
  <c r="S133" i="3"/>
  <c r="U156" i="3"/>
  <c r="W156" i="3" s="1"/>
  <c r="U194" i="3"/>
  <c r="W194" i="3" s="1"/>
  <c r="V207" i="3"/>
  <c r="W207" i="3" s="1"/>
  <c r="U211" i="3"/>
  <c r="W211" i="3" s="1"/>
  <c r="U178" i="3"/>
  <c r="W178" i="3" s="1"/>
  <c r="U102" i="3"/>
  <c r="W102" i="3" s="1"/>
  <c r="W122" i="3"/>
  <c r="U110" i="3"/>
  <c r="W110" i="3" s="1"/>
  <c r="V84" i="3"/>
  <c r="V81" i="3"/>
  <c r="V181" i="3"/>
  <c r="W181" i="3" s="1"/>
  <c r="U139" i="3"/>
  <c r="W139" i="3" s="1"/>
  <c r="U203" i="3"/>
  <c r="W203" i="3" s="1"/>
  <c r="U130" i="3"/>
  <c r="W130" i="3" s="1"/>
  <c r="S197" i="3"/>
  <c r="V111" i="3"/>
  <c r="W111" i="3" s="1"/>
  <c r="V89" i="3"/>
  <c r="V86" i="3"/>
  <c r="S69" i="3"/>
  <c r="U138" i="3"/>
  <c r="W138" i="3" s="1"/>
  <c r="U158" i="3"/>
  <c r="W158" i="3" s="1"/>
  <c r="V76" i="3"/>
  <c r="W76" i="3" s="1"/>
  <c r="V62" i="3"/>
  <c r="V169" i="3"/>
  <c r="V101" i="3"/>
  <c r="W101" i="3" s="1"/>
  <c r="V137" i="3"/>
  <c r="W137" i="3" s="1"/>
  <c r="U103" i="3"/>
  <c r="W103" i="3" s="1"/>
  <c r="U83" i="3"/>
  <c r="W83" i="3" s="1"/>
  <c r="S177" i="3"/>
  <c r="S113" i="3"/>
  <c r="S49" i="3"/>
  <c r="U152" i="3"/>
  <c r="W152" i="3" s="1"/>
  <c r="U88" i="3"/>
  <c r="W88" i="3" s="1"/>
  <c r="U151" i="3"/>
  <c r="W151" i="3" s="1"/>
  <c r="S201" i="3"/>
  <c r="S73" i="3"/>
  <c r="U112" i="3"/>
  <c r="W112" i="3" s="1"/>
  <c r="S111" i="3"/>
  <c r="S165" i="3"/>
  <c r="U204" i="3"/>
  <c r="W204" i="3" s="1"/>
  <c r="U60" i="3"/>
  <c r="W60" i="3" s="1"/>
  <c r="U127" i="3"/>
  <c r="W127" i="3" s="1"/>
  <c r="S54" i="3"/>
  <c r="U189" i="3"/>
  <c r="W189" i="3" s="1"/>
  <c r="S125" i="3"/>
  <c r="S61" i="3"/>
  <c r="U164" i="3"/>
  <c r="W164" i="3" s="1"/>
  <c r="U100" i="3"/>
  <c r="W100" i="3" s="1"/>
  <c r="U39" i="3"/>
  <c r="W39" i="3" s="1"/>
  <c r="U67" i="3"/>
  <c r="W67" i="3" s="1"/>
  <c r="S89" i="3"/>
  <c r="U160" i="3"/>
  <c r="W160" i="3" s="1"/>
  <c r="S207" i="3"/>
  <c r="S59" i="3"/>
  <c r="S101" i="3"/>
  <c r="S140" i="3"/>
  <c r="V121" i="3"/>
  <c r="W121" i="3" s="1"/>
  <c r="U42" i="3"/>
  <c r="W42" i="3" s="1"/>
  <c r="U170" i="3"/>
  <c r="W170" i="3" s="1"/>
  <c r="W177" i="3"/>
  <c r="V140" i="3"/>
  <c r="V61" i="3"/>
  <c r="V94" i="3"/>
  <c r="U51" i="3"/>
  <c r="W51" i="3" s="1"/>
  <c r="U200" i="3"/>
  <c r="W200" i="3" s="1"/>
  <c r="U136" i="3"/>
  <c r="W136" i="3" s="1"/>
  <c r="U119" i="3"/>
  <c r="W119" i="3" s="1"/>
  <c r="S96" i="3"/>
  <c r="U117" i="3"/>
  <c r="W117" i="3" s="1"/>
  <c r="S44" i="3"/>
  <c r="U95" i="3"/>
  <c r="W95" i="3" s="1"/>
  <c r="U173" i="3"/>
  <c r="W173" i="3" s="1"/>
  <c r="U45" i="3"/>
  <c r="W45" i="3" s="1"/>
  <c r="S84" i="3"/>
  <c r="U185" i="3"/>
  <c r="W185" i="3" s="1"/>
  <c r="S57" i="3"/>
  <c r="S181" i="3"/>
  <c r="U92" i="3"/>
  <c r="W92" i="3" s="1"/>
  <c r="U202" i="3"/>
  <c r="W202" i="3" s="1"/>
  <c r="V44" i="3"/>
  <c r="W44" i="3" s="1"/>
  <c r="V93" i="3"/>
  <c r="S94" i="3"/>
  <c r="S209" i="3"/>
  <c r="S81" i="3"/>
  <c r="U184" i="3"/>
  <c r="W184" i="3" s="1"/>
  <c r="U120" i="3"/>
  <c r="W120" i="3" s="1"/>
  <c r="U56" i="3"/>
  <c r="W56" i="3" s="1"/>
  <c r="S137" i="3"/>
  <c r="S91" i="3"/>
  <c r="U85" i="3"/>
  <c r="W85" i="3" s="1"/>
  <c r="U63" i="3"/>
  <c r="W63" i="3" s="1"/>
  <c r="S93" i="3"/>
  <c r="U132" i="3"/>
  <c r="W132" i="3" s="1"/>
  <c r="S79" i="3"/>
  <c r="U188" i="3"/>
  <c r="W188" i="3" s="1"/>
  <c r="S76" i="3"/>
  <c r="U37" i="3"/>
  <c r="V27" i="3"/>
  <c r="S28" i="3"/>
  <c r="S24" i="3"/>
  <c r="S27" i="3"/>
  <c r="V31" i="3"/>
  <c r="S30" i="3"/>
  <c r="V36" i="3"/>
  <c r="W36" i="3" s="1"/>
  <c r="U29" i="3"/>
  <c r="V32" i="3"/>
  <c r="W32" i="3" s="1"/>
  <c r="U34" i="3"/>
  <c r="S33" i="3"/>
  <c r="V23" i="3"/>
  <c r="V26" i="3"/>
  <c r="V29" i="3"/>
  <c r="U22" i="3"/>
  <c r="W22" i="3" s="1"/>
  <c r="V33" i="3"/>
  <c r="U28" i="3"/>
  <c r="S37" i="3"/>
  <c r="U24" i="3"/>
  <c r="U27" i="3"/>
  <c r="S36" i="3"/>
  <c r="S23" i="3"/>
  <c r="S26" i="3"/>
  <c r="S32" i="3"/>
  <c r="U35" i="3"/>
  <c r="U38" i="3"/>
  <c r="U25" i="3"/>
  <c r="W25" i="3" s="1"/>
  <c r="U31" i="3"/>
  <c r="U30" i="3"/>
  <c r="V21" i="3"/>
  <c r="S21" i="3"/>
  <c r="U21" i="3"/>
  <c r="W49" i="3" l="1"/>
  <c r="W113" i="3"/>
  <c r="W96" i="3"/>
  <c r="W24" i="3"/>
  <c r="W148" i="3"/>
  <c r="W140" i="3"/>
  <c r="W196" i="3"/>
  <c r="K43" i="1"/>
  <c r="O43" i="1" s="1"/>
  <c r="W91" i="3"/>
  <c r="W143" i="3"/>
  <c r="W26" i="3"/>
  <c r="W105" i="3"/>
  <c r="W23" i="3"/>
  <c r="W93" i="3"/>
  <c r="W94" i="3"/>
  <c r="W62" i="3"/>
  <c r="W89" i="3"/>
  <c r="W59" i="3"/>
  <c r="W47" i="3"/>
  <c r="W145" i="3"/>
  <c r="W30" i="3"/>
  <c r="W35" i="3"/>
  <c r="W28" i="3"/>
  <c r="W86" i="3"/>
  <c r="W57" i="3"/>
  <c r="W199" i="3"/>
  <c r="W116" i="3"/>
  <c r="W69" i="3"/>
  <c r="W165" i="3"/>
  <c r="W34" i="3"/>
  <c r="W73" i="3"/>
  <c r="W33" i="3"/>
  <c r="W37" i="3"/>
  <c r="W78" i="3"/>
  <c r="W46" i="3"/>
  <c r="W52" i="3"/>
  <c r="W128" i="3"/>
  <c r="W31" i="3"/>
  <c r="W27" i="3"/>
  <c r="W169" i="3"/>
  <c r="W84" i="3"/>
  <c r="W208" i="3"/>
  <c r="W38" i="3"/>
  <c r="W61" i="3"/>
  <c r="W197" i="3"/>
  <c r="W54" i="3"/>
  <c r="W81" i="3"/>
  <c r="W209" i="3"/>
  <c r="W29" i="3"/>
  <c r="W21" i="3"/>
  <c r="G43" i="1" l="1"/>
  <c r="O28" i="1"/>
  <c r="I22" i="1"/>
  <c r="E20" i="1"/>
  <c r="D41" i="1" s="1"/>
  <c r="P41" i="1" s="1"/>
  <c r="E22" i="1"/>
  <c r="I20" i="1"/>
  <c r="F41" i="1" s="1"/>
  <c r="J44" i="1"/>
  <c r="K34" i="1"/>
  <c r="M20" i="1"/>
  <c r="K42" i="1"/>
  <c r="O42" i="1" s="1"/>
  <c r="G22" i="1"/>
  <c r="M22" i="1" s="1"/>
  <c r="K20" i="1"/>
  <c r="H42" i="1"/>
  <c r="K36" i="1"/>
  <c r="F23" i="1"/>
  <c r="L41" i="1" l="1"/>
  <c r="M41" i="1"/>
  <c r="M23" i="1"/>
  <c r="E44" i="1"/>
  <c r="J41" i="1"/>
  <c r="K41" i="1"/>
  <c r="H43" i="1"/>
  <c r="N28" i="1"/>
  <c r="P28" i="1" s="1"/>
  <c r="Q43" i="1" s="1"/>
  <c r="L28" i="1"/>
  <c r="I43" i="1" s="1"/>
  <c r="N43" i="1" s="1"/>
  <c r="J20" i="1"/>
  <c r="G41" i="1" s="1"/>
  <c r="K32" i="1"/>
  <c r="J22" i="1"/>
  <c r="O21" i="1"/>
  <c r="K22" i="1"/>
  <c r="O22" i="1" s="1"/>
  <c r="O41" i="1" l="1"/>
  <c r="M44" i="1"/>
  <c r="L44" i="1"/>
  <c r="C24" i="1"/>
  <c r="G24" i="1" s="1"/>
  <c r="G27" i="1" s="1"/>
  <c r="K37" i="1"/>
  <c r="H41" i="1"/>
  <c r="L20" i="1"/>
  <c r="O20" i="1"/>
  <c r="H44" i="1"/>
  <c r="L21" i="1"/>
  <c r="I42" i="1" s="1"/>
  <c r="G42" i="1"/>
  <c r="L22" i="1"/>
  <c r="N22" i="1"/>
  <c r="P22" i="1" s="1"/>
  <c r="I24" i="1"/>
  <c r="F24" i="1"/>
  <c r="F27" i="1" s="1"/>
  <c r="D24" i="1"/>
  <c r="D27" i="1" s="1"/>
  <c r="N20" i="1"/>
  <c r="K35" i="1"/>
  <c r="H24" i="1"/>
  <c r="H27" i="1" s="1"/>
  <c r="Q27" i="1"/>
  <c r="N21" i="1"/>
  <c r="P21" i="1" s="1"/>
  <c r="Q42" i="1" s="1"/>
  <c r="N42" i="1" l="1"/>
  <c r="C27" i="1"/>
  <c r="K27" i="1" s="1"/>
  <c r="I41" i="1"/>
  <c r="N41" i="1" s="1"/>
  <c r="P20" i="1"/>
  <c r="M27" i="1"/>
  <c r="I44" i="1"/>
  <c r="G44" i="1"/>
  <c r="O23" i="1"/>
  <c r="K44" i="1"/>
  <c r="O44" i="1" s="1"/>
  <c r="E24" i="1"/>
  <c r="K33" i="1"/>
  <c r="H25" i="1" s="1"/>
  <c r="H26" i="1" s="1"/>
  <c r="N23" i="1"/>
  <c r="I27" i="1"/>
  <c r="N44" i="1" l="1"/>
  <c r="E27" i="1"/>
  <c r="L27" i="1" s="1"/>
  <c r="Q41" i="1"/>
  <c r="P23" i="1"/>
  <c r="F25" i="1"/>
  <c r="F26" i="1" s="1"/>
  <c r="Q26" i="1"/>
  <c r="D25" i="1"/>
  <c r="D26" i="1" s="1"/>
  <c r="C25" i="1"/>
  <c r="I25" i="1"/>
  <c r="E25" i="1" s="1"/>
  <c r="E26" i="1" s="1"/>
  <c r="O27" i="1"/>
  <c r="J27" i="1" l="1"/>
  <c r="C26" i="1"/>
  <c r="Q44" i="1"/>
  <c r="G25" i="1"/>
  <c r="G26" i="1" s="1"/>
  <c r="M26" i="1" s="1"/>
  <c r="I26" i="1"/>
  <c r="N27" i="1" l="1"/>
  <c r="P27" i="1" s="1"/>
  <c r="J26" i="1"/>
  <c r="K26" i="1"/>
  <c r="L26" i="1"/>
  <c r="O26" i="1" l="1"/>
  <c r="N26" i="1"/>
  <c r="H26" i="11"/>
  <c r="H29" i="11" s="1"/>
  <c r="I26" i="11"/>
  <c r="E26" i="11" s="1"/>
  <c r="E29" i="11" s="1"/>
  <c r="Q29" i="11"/>
  <c r="C26" i="11"/>
  <c r="F26" i="11"/>
  <c r="F29" i="11" s="1"/>
  <c r="D26" i="11"/>
  <c r="D29" i="11" s="1"/>
  <c r="G26" i="11" l="1"/>
  <c r="G29" i="11" s="1"/>
  <c r="M29" i="11" s="1"/>
  <c r="P26" i="1"/>
  <c r="I29" i="11"/>
  <c r="C28" i="11"/>
  <c r="C29" i="11"/>
  <c r="J29" i="11" l="1"/>
  <c r="K29" i="11"/>
  <c r="H27" i="11"/>
  <c r="H28" i="11" s="1"/>
  <c r="F27" i="11"/>
  <c r="F28" i="11" s="1"/>
  <c r="G27" i="11"/>
  <c r="G28" i="11" s="1"/>
  <c r="K28" i="11" s="1"/>
  <c r="D28" i="11"/>
  <c r="I27" i="11"/>
  <c r="I28" i="11" s="1"/>
  <c r="Q28" i="11"/>
  <c r="N29" i="11" l="1"/>
  <c r="M28" i="11"/>
  <c r="O28" i="11" s="1"/>
  <c r="L29" i="11"/>
  <c r="O29" i="11"/>
  <c r="E27" i="11"/>
  <c r="E28" i="11" s="1"/>
  <c r="J28" i="11" s="1"/>
  <c r="P29" i="11" l="1"/>
  <c r="L28" i="11"/>
  <c r="N28" i="11"/>
  <c r="P28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Hosein Shabaninejad </author>
  </authors>
  <commentList>
    <comment ref="C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Hosein Shabaninejad 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Those symptomatic cases removed from cohort</t>
        </r>
      </text>
    </comment>
    <comment ref="C2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Hosein Shabaninejad :</t>
        </r>
        <r>
          <rPr>
            <sz val="9"/>
            <color indexed="81"/>
            <rFont val="Tahoma"/>
            <family val="2"/>
          </rPr>
          <t xml:space="preserve">
The equation calculate Total positive cases (Sn1*(Sn2/Sn1 assumining correlation)); 
another way is: 
Sn1*Sn2+corr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Hosein Shabaninejad </author>
  </authors>
  <commentList>
    <comment ref="C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Hosein Shabaninejad :</t>
        </r>
        <r>
          <rPr>
            <sz val="9"/>
            <color indexed="81"/>
            <rFont val="Tahoma"/>
            <family val="2"/>
          </rPr>
          <t xml:space="preserve">
Those symptomatic cases removed from cohort</t>
        </r>
      </text>
    </comment>
  </commentList>
</comments>
</file>

<file path=xl/sharedStrings.xml><?xml version="1.0" encoding="utf-8"?>
<sst xmlns="http://schemas.openxmlformats.org/spreadsheetml/2006/main" count="2397" uniqueCount="187">
  <si>
    <t>Freq 3 sum</t>
  </si>
  <si>
    <t>Freq/3rd Time</t>
  </si>
  <si>
    <t>Freq /2nd Time</t>
  </si>
  <si>
    <t>Pararllel</t>
  </si>
  <si>
    <t>Strategy`s Accuracy</t>
  </si>
  <si>
    <t>Neglected / (Neglected+Appropriate)</t>
  </si>
  <si>
    <t>Appropriate/Absentism</t>
  </si>
  <si>
    <t>Neglected*(for False Negative)</t>
  </si>
  <si>
    <t>Inappropriate(for False Positive)</t>
  </si>
  <si>
    <t>Appropriate (for True positive)</t>
  </si>
  <si>
    <t>Absenteeism (Hrs)</t>
  </si>
  <si>
    <t>TNs Test2</t>
  </si>
  <si>
    <t>TNs Test1</t>
  </si>
  <si>
    <t>FN test2</t>
  </si>
  <si>
    <t>FN test1</t>
  </si>
  <si>
    <t>FPtest2</t>
  </si>
  <si>
    <t>FPs test1</t>
  </si>
  <si>
    <t>TPs (both test)</t>
  </si>
  <si>
    <t>Strategies</t>
  </si>
  <si>
    <t>Positive cases (Paralell)</t>
  </si>
  <si>
    <t>contact average</t>
  </si>
  <si>
    <t>Positive cases (Seq)</t>
  </si>
  <si>
    <t>ContactAbsentism</t>
  </si>
  <si>
    <t>Test2Positive</t>
  </si>
  <si>
    <t>Test1 Positive</t>
  </si>
  <si>
    <t>hrs</t>
  </si>
  <si>
    <t>Absenteeism</t>
  </si>
  <si>
    <t>Freq 2 sum</t>
  </si>
  <si>
    <r>
      <t xml:space="preserve">Sequential </t>
    </r>
    <r>
      <rPr>
        <sz val="9"/>
        <color theme="1"/>
        <rFont val="Calibri"/>
        <family val="2"/>
        <scheme val="minor"/>
      </rPr>
      <t>(1st test: LMP</t>
    </r>
    <r>
      <rPr>
        <b/>
        <sz val="11"/>
        <color theme="1"/>
        <rFont val="Calibri"/>
        <family val="2"/>
        <scheme val="minor"/>
      </rPr>
      <t>)</t>
    </r>
  </si>
  <si>
    <t>Cohort2ndRound</t>
  </si>
  <si>
    <t>Prev2ndRound</t>
  </si>
  <si>
    <t>Prev3rdRound</t>
  </si>
  <si>
    <t>FN1stRound</t>
  </si>
  <si>
    <t>FN2ndRound</t>
  </si>
  <si>
    <t xml:space="preserve">cohort </t>
  </si>
  <si>
    <t>SnTest1</t>
  </si>
  <si>
    <t>SpTest1</t>
  </si>
  <si>
    <t>SnTest2</t>
  </si>
  <si>
    <t>SpTest2</t>
  </si>
  <si>
    <t>corr</t>
  </si>
  <si>
    <t>prev</t>
  </si>
  <si>
    <t>for contact average</t>
  </si>
  <si>
    <t>Overal accuracy (Alberg 2004)</t>
  </si>
  <si>
    <t>Cohort3rdRound</t>
  </si>
  <si>
    <t>Incidence</t>
  </si>
  <si>
    <t>Parameters for Frequency</t>
  </si>
  <si>
    <t>Main parameters</t>
  </si>
  <si>
    <t>Total Sn/Sp</t>
  </si>
  <si>
    <t>Total SnSeq</t>
  </si>
  <si>
    <t>Total SpSeq</t>
  </si>
  <si>
    <t>Total SnParallel</t>
  </si>
  <si>
    <t>Total SpParallel</t>
  </si>
  <si>
    <t>No test</t>
  </si>
  <si>
    <t>Baseline (RT PCR)</t>
  </si>
  <si>
    <t>Symptomatic</t>
  </si>
  <si>
    <t>Prev</t>
  </si>
  <si>
    <t xml:space="preserve">model value </t>
  </si>
  <si>
    <t xml:space="preserve">mean </t>
  </si>
  <si>
    <t>SD</t>
  </si>
  <si>
    <t>Alpha</t>
  </si>
  <si>
    <t xml:space="preserve">Beta </t>
  </si>
  <si>
    <t>Above 0.5 (Beta is 2)</t>
  </si>
  <si>
    <t>Below 0.5 (Alpha is 2)</t>
  </si>
  <si>
    <t>Parameter value:</t>
  </si>
  <si>
    <t>When parameter value above 0.5:</t>
  </si>
  <si>
    <t>a/a+2 =</t>
  </si>
  <si>
    <t xml:space="preserve">a = </t>
  </si>
  <si>
    <t>When paramter value below 0.5:</t>
  </si>
  <si>
    <t>2=value(2) + b * value</t>
  </si>
  <si>
    <t>b=</t>
  </si>
  <si>
    <t>Note: To be used when we don't know the r and n or even the mean value and SE around the mean, and also when there is reasonable uncertainty surrounding the parameter</t>
  </si>
  <si>
    <t>beta distribution</t>
  </si>
  <si>
    <t>gamma distribution</t>
  </si>
  <si>
    <t>Beta</t>
  </si>
  <si>
    <t>mean</t>
  </si>
  <si>
    <t>sd</t>
  </si>
  <si>
    <t>Iteration</t>
  </si>
  <si>
    <t>LFA at home</t>
  </si>
  <si>
    <t>SnLAMP</t>
  </si>
  <si>
    <t>SnTest2 (RT PCR)</t>
  </si>
  <si>
    <t>SpTest2 (RT PCR)</t>
  </si>
  <si>
    <t>SnLFA</t>
  </si>
  <si>
    <t>SpLFA</t>
  </si>
  <si>
    <t>SpLAMP</t>
  </si>
  <si>
    <t>Sn RT PCR</t>
  </si>
  <si>
    <t>Sp RT PCR</t>
  </si>
  <si>
    <t>cohort _all</t>
  </si>
  <si>
    <t>Sn/Sp tests</t>
  </si>
  <si>
    <t>Baseline</t>
  </si>
  <si>
    <t>Switch SA</t>
  </si>
  <si>
    <t>Worst case scenarios</t>
  </si>
  <si>
    <t xml:space="preserve">Best case scenarios </t>
  </si>
  <si>
    <t>1= baseline, 2=worst case scenarios, 3=best case scenarioes</t>
  </si>
  <si>
    <t>Switch Test</t>
  </si>
  <si>
    <t>value</t>
  </si>
  <si>
    <t>Sequential</t>
  </si>
  <si>
    <t>PSA value</t>
  </si>
  <si>
    <t>Matched with Main output button</t>
  </si>
  <si>
    <t>Parameters for Frequency (PSA value)</t>
  </si>
  <si>
    <t>Total Sn/Sp (PSA values</t>
  </si>
  <si>
    <t>Cohort values forPSA</t>
  </si>
  <si>
    <t>Absenteeism value for PSA</t>
  </si>
  <si>
    <t>baseline (RT PCR)</t>
  </si>
  <si>
    <t>Mean</t>
  </si>
  <si>
    <t>PSA results for Strategy Accuracy</t>
  </si>
  <si>
    <t xml:space="preserve">PSA results for Absenteeism </t>
  </si>
  <si>
    <t>strategy accuracy Seq</t>
  </si>
  <si>
    <t>strategy accuracy No Test</t>
  </si>
  <si>
    <t>Absenteeism No Test</t>
  </si>
  <si>
    <t>Absenteeism Seq</t>
  </si>
  <si>
    <t>strategy accuracy PCR</t>
  </si>
  <si>
    <t>Absenteeism PCR</t>
  </si>
  <si>
    <t>Sequential (first LAMP)</t>
  </si>
  <si>
    <t>&gt;&gt;both are same equation</t>
  </si>
  <si>
    <t>Model Details</t>
  </si>
  <si>
    <t>Model results</t>
  </si>
  <si>
    <t>PSA</t>
  </si>
  <si>
    <t>One Test (RT PCR)</t>
  </si>
  <si>
    <t>One test (RT PCR)</t>
  </si>
  <si>
    <t xml:space="preserve">Sequential </t>
  </si>
  <si>
    <t>Strategy Accuracy LFA</t>
  </si>
  <si>
    <t>Absenteeism LFA</t>
  </si>
  <si>
    <t>Appropriate Absenteeism (TPs)</t>
  </si>
  <si>
    <t>Inappropriate Absenteeism (FPs)</t>
  </si>
  <si>
    <t>Inappropriate Presenteeism (FNs)</t>
  </si>
  <si>
    <t>Total Absenteeism (TPs+FPs)</t>
  </si>
  <si>
    <t>TPs (both tests if sequential)</t>
  </si>
  <si>
    <t>Appropriate Absenteeism/Total Absentism</t>
  </si>
  <si>
    <t>Inappropriate Presenteeism/ (NInappropriate Presenteeism+Appropriate Absenteeism)</t>
  </si>
  <si>
    <t>Positive cases</t>
  </si>
  <si>
    <t>Strategy`s Absenteeism Accuracy</t>
  </si>
  <si>
    <t>1=LAMP, 2=LFD</t>
  </si>
  <si>
    <t>Sequential ((first LFD)</t>
  </si>
  <si>
    <t>LFD at home</t>
  </si>
  <si>
    <t>Seq (first LFD )</t>
  </si>
  <si>
    <t>Perfect test</t>
  </si>
  <si>
    <t>contact (FPs)</t>
  </si>
  <si>
    <t>Perfect Test</t>
  </si>
  <si>
    <t>GoldSn</t>
  </si>
  <si>
    <t>Glod Sp</t>
  </si>
  <si>
    <t>nosocomial infection (TPs+FNs) *4</t>
  </si>
  <si>
    <t>TP+FP</t>
  </si>
  <si>
    <t>TP+FN</t>
  </si>
  <si>
    <t>TP_Seq</t>
  </si>
  <si>
    <t>FP_Seq</t>
  </si>
  <si>
    <t>FN1_Seq</t>
  </si>
  <si>
    <t>FN2_Seq</t>
  </si>
  <si>
    <t>Iteration 1000 out of 1000</t>
  </si>
  <si>
    <t>Printing results 1000 out of 1000</t>
  </si>
  <si>
    <t>Base</t>
  </si>
  <si>
    <t>Worst</t>
  </si>
  <si>
    <t xml:space="preserve">best </t>
  </si>
  <si>
    <t xml:space="preserve">contact </t>
  </si>
  <si>
    <t>strategies</t>
  </si>
  <si>
    <t>Sequential ((first LFD or LAMP)</t>
  </si>
  <si>
    <t>Appropriate Absenteeism/Total Absenteeism</t>
  </si>
  <si>
    <t>Inappropriate Presentism/ (Inappropriate Presentism+Appropriate Absenteeism)</t>
  </si>
  <si>
    <t>TPs</t>
  </si>
  <si>
    <t>FPs</t>
  </si>
  <si>
    <t xml:space="preserve">FNs </t>
  </si>
  <si>
    <t>TNs</t>
  </si>
  <si>
    <t>Inappropriate Absence/Total Absence</t>
  </si>
  <si>
    <t>Inappropriate presence/ Total Presence</t>
  </si>
  <si>
    <t>Inappropriate Absence/Total</t>
  </si>
  <si>
    <t>Inappropriate presence/ Total</t>
  </si>
  <si>
    <t>Contact (Staff) (contact rate*(TPs+FPs))</t>
  </si>
  <si>
    <t>Total Absence (TPs+FPs)</t>
  </si>
  <si>
    <t>Appropriate Absence (TPs)</t>
  </si>
  <si>
    <t>Inappropriate Absence (FPs)</t>
  </si>
  <si>
    <t>Appropriate presence (TNs)</t>
  </si>
  <si>
    <t>Inappropriate Presence (FNs)</t>
  </si>
  <si>
    <t>Title for chart</t>
  </si>
  <si>
    <t>Strategy</t>
  </si>
  <si>
    <t>Strategy_1</t>
  </si>
  <si>
    <t>Units</t>
  </si>
  <si>
    <t>to compare outcomes by strategies, the table will need to be reshaped as oulined below</t>
  </si>
  <si>
    <t>To compare outcomes within strategies, the table needs to be extended for all the strategies.</t>
  </si>
  <si>
    <t>At the moment it just shows one anonymous strategy</t>
  </si>
  <si>
    <t>Outcome</t>
  </si>
  <si>
    <t>Strategy_2</t>
  </si>
  <si>
    <t>Strategy_3</t>
  </si>
  <si>
    <t>Strategy_4</t>
  </si>
  <si>
    <t>Strategy_5</t>
  </si>
  <si>
    <t>Simulation</t>
  </si>
  <si>
    <t>A beeswarm plot may be ideal as it shows all the data --- the box and whiskers plot overemphsizes outliers</t>
  </si>
  <si>
    <t>The chart title and label for the axis would need to be hard coded or added by a macro</t>
  </si>
  <si>
    <t>A violin plot would be better than box and whiskers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</si>
</sst>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6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rgb="FF000000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13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2" fontId="0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Fill="1" applyBorder="1"/>
    <xf numFmtId="0" fontId="1" fillId="3" borderId="1" xfId="0" applyFont="1" applyFill="1" applyBorder="1" applyAlignment="1">
      <alignment vertical="center" wrapText="1"/>
    </xf>
    <xf numFmtId="2" fontId="0" fillId="3" borderId="1" xfId="0" applyNumberFormat="1" applyFont="1" applyFill="1" applyBorder="1" applyAlignment="1">
      <alignment horizontal="center" vertical="center" wrapText="1"/>
    </xf>
    <xf numFmtId="2" fontId="0" fillId="3" borderId="1" xfId="0" applyNumberForma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3" borderId="1" xfId="0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0" fillId="0" borderId="1" xfId="0" applyBorder="1" applyAlignment="1"/>
    <xf numFmtId="0" fontId="0" fillId="0" borderId="1" xfId="0" applyFill="1" applyBorder="1" applyAlignment="1">
      <alignment horizontal="center"/>
    </xf>
    <xf numFmtId="0" fontId="1" fillId="0" borderId="1" xfId="0" applyFont="1" applyFill="1" applyBorder="1" applyAlignment="1">
      <alignment vertical="center" wrapText="1"/>
    </xf>
    <xf numFmtId="0" fontId="0" fillId="0" borderId="0" xfId="0" applyFill="1"/>
    <xf numFmtId="1" fontId="0" fillId="3" borderId="1" xfId="0" applyNumberFormat="1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center"/>
    </xf>
    <xf numFmtId="0" fontId="1" fillId="6" borderId="1" xfId="0" applyFont="1" applyFill="1" applyBorder="1"/>
    <xf numFmtId="0" fontId="0" fillId="0" borderId="1" xfId="0" applyFill="1" applyBorder="1" applyAlignment="1">
      <alignment horizontal="center"/>
    </xf>
    <xf numFmtId="0" fontId="0" fillId="6" borderId="1" xfId="0" applyFill="1" applyBorder="1"/>
    <xf numFmtId="0" fontId="4" fillId="0" borderId="1" xfId="0" applyFont="1" applyBorder="1"/>
    <xf numFmtId="0" fontId="4" fillId="0" borderId="1" xfId="0" applyFont="1" applyFill="1" applyBorder="1"/>
    <xf numFmtId="0" fontId="0" fillId="0" borderId="1" xfId="0" applyFont="1" applyBorder="1"/>
    <xf numFmtId="2" fontId="0" fillId="3" borderId="1" xfId="0" applyNumberFormat="1" applyFill="1" applyBorder="1"/>
    <xf numFmtId="2" fontId="0" fillId="5" borderId="1" xfId="0" applyNumberFormat="1" applyFill="1" applyBorder="1" applyAlignment="1">
      <alignment horizontal="center"/>
    </xf>
    <xf numFmtId="2" fontId="0" fillId="5" borderId="1" xfId="0" applyNumberFormat="1" applyFont="1" applyFill="1" applyBorder="1" applyAlignment="1">
      <alignment horizontal="center" vertical="center" wrapText="1"/>
    </xf>
    <xf numFmtId="2" fontId="0" fillId="5" borderId="1" xfId="0" applyNumberFormat="1" applyFill="1" applyBorder="1"/>
    <xf numFmtId="0" fontId="1" fillId="7" borderId="1" xfId="0" applyFont="1" applyFill="1" applyBorder="1"/>
    <xf numFmtId="1" fontId="0" fillId="5" borderId="1" xfId="0" applyNumberFormat="1" applyFill="1" applyBorder="1" applyAlignment="1">
      <alignment horizontal="center"/>
    </xf>
    <xf numFmtId="1" fontId="0" fillId="5" borderId="1" xfId="0" applyNumberFormat="1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/>
    <xf numFmtId="0" fontId="5" fillId="0" borderId="0" xfId="0" applyFont="1" applyAlignment="1">
      <alignment wrapText="1"/>
    </xf>
    <xf numFmtId="0" fontId="1" fillId="1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14" borderId="1" xfId="0" applyFont="1" applyFill="1" applyBorder="1" applyAlignment="1">
      <alignment vertical="center" wrapText="1"/>
    </xf>
    <xf numFmtId="0" fontId="1" fillId="15" borderId="1" xfId="0" applyFont="1" applyFill="1" applyBorder="1" applyAlignment="1">
      <alignment vertical="center" wrapText="1"/>
    </xf>
    <xf numFmtId="0" fontId="1" fillId="16" borderId="1" xfId="0" applyFont="1" applyFill="1" applyBorder="1"/>
    <xf numFmtId="0" fontId="0" fillId="15" borderId="1" xfId="0" applyFill="1" applyBorder="1"/>
    <xf numFmtId="1" fontId="4" fillId="4" borderId="1" xfId="0" applyNumberFormat="1" applyFont="1" applyFill="1" applyBorder="1" applyAlignment="1">
      <alignment horizontal="center" vertical="center" wrapText="1"/>
    </xf>
    <xf numFmtId="1" fontId="0" fillId="4" borderId="1" xfId="0" applyNumberFormat="1" applyFill="1" applyBorder="1" applyAlignment="1">
      <alignment horizontal="center"/>
    </xf>
    <xf numFmtId="1" fontId="0" fillId="4" borderId="0" xfId="0" applyNumberFormat="1" applyFill="1" applyAlignment="1">
      <alignment horizontal="center"/>
    </xf>
    <xf numFmtId="1" fontId="0" fillId="3" borderId="1" xfId="0" applyNumberFormat="1" applyFill="1" applyBorder="1" applyAlignment="1">
      <alignment horizontal="center"/>
    </xf>
    <xf numFmtId="1" fontId="0" fillId="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/>
    <xf numFmtId="2" fontId="0" fillId="0" borderId="1" xfId="0" applyNumberFormat="1" applyBorder="1" applyAlignment="1">
      <alignment horizontal="center"/>
    </xf>
    <xf numFmtId="0" fontId="2" fillId="13" borderId="4" xfId="0" applyFont="1" applyFill="1" applyBorder="1" applyAlignment="1"/>
    <xf numFmtId="0" fontId="0" fillId="13" borderId="1" xfId="0" applyFill="1" applyBorder="1" applyAlignment="1">
      <alignment horizont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1" fontId="0" fillId="13" borderId="1" xfId="0" applyNumberFormat="1" applyFill="1" applyBorder="1" applyAlignment="1">
      <alignment horizontal="center"/>
    </xf>
    <xf numFmtId="0" fontId="0" fillId="8" borderId="0" xfId="0" applyFill="1"/>
    <xf numFmtId="0" fontId="0" fillId="11" borderId="0" xfId="0" applyFill="1"/>
    <xf numFmtId="0" fontId="2" fillId="13" borderId="16" xfId="0" applyFont="1" applyFill="1" applyBorder="1" applyAlignment="1"/>
    <xf numFmtId="0" fontId="2" fillId="13" borderId="18" xfId="0" applyFont="1" applyFill="1" applyBorder="1" applyAlignment="1"/>
    <xf numFmtId="1" fontId="0" fillId="13" borderId="19" xfId="0" applyNumberFormat="1" applyFill="1" applyBorder="1" applyAlignment="1">
      <alignment horizontal="center"/>
    </xf>
    <xf numFmtId="0" fontId="4" fillId="0" borderId="16" xfId="0" applyFont="1" applyFill="1" applyBorder="1"/>
    <xf numFmtId="0" fontId="0" fillId="0" borderId="17" xfId="0" applyBorder="1"/>
    <xf numFmtId="0" fontId="4" fillId="0" borderId="16" xfId="0" applyFont="1" applyBorder="1"/>
    <xf numFmtId="0" fontId="4" fillId="0" borderId="18" xfId="0" applyFont="1" applyBorder="1"/>
    <xf numFmtId="0" fontId="0" fillId="0" borderId="20" xfId="0" applyBorder="1"/>
    <xf numFmtId="0" fontId="1" fillId="8" borderId="1" xfId="0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0" fillId="11" borderId="1" xfId="0" applyFill="1" applyBorder="1"/>
    <xf numFmtId="0" fontId="1" fillId="13" borderId="3" xfId="0" applyFont="1" applyFill="1" applyBorder="1" applyAlignment="1">
      <alignment horizontal="center"/>
    </xf>
    <xf numFmtId="0" fontId="1" fillId="13" borderId="26" xfId="0" applyFont="1" applyFill="1" applyBorder="1" applyAlignment="1">
      <alignment horizontal="center"/>
    </xf>
    <xf numFmtId="0" fontId="1" fillId="13" borderId="27" xfId="0" applyFont="1" applyFill="1" applyBorder="1" applyAlignment="1">
      <alignment horizontal="center"/>
    </xf>
    <xf numFmtId="0" fontId="0" fillId="0" borderId="16" xfId="0" applyBorder="1"/>
    <xf numFmtId="0" fontId="0" fillId="11" borderId="16" xfId="0" applyFill="1" applyBorder="1"/>
    <xf numFmtId="2" fontId="0" fillId="0" borderId="17" xfId="0" applyNumberForma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4" borderId="1" xfId="0" applyFill="1" applyBorder="1" applyAlignment="1">
      <alignment horizontal="center" wrapText="1"/>
    </xf>
    <xf numFmtId="1" fontId="0" fillId="11" borderId="1" xfId="0" applyNumberForma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1" fontId="0" fillId="0" borderId="1" xfId="0" applyNumberFormat="1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1" fontId="0" fillId="11" borderId="1" xfId="0" applyNumberFormat="1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/>
    </xf>
    <xf numFmtId="0" fontId="10" fillId="6" borderId="10" xfId="0" applyFont="1" applyFill="1" applyBorder="1" applyAlignment="1">
      <alignment horizontal="center" vertical="center" wrapText="1"/>
    </xf>
    <xf numFmtId="164" fontId="0" fillId="3" borderId="1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3" borderId="0" xfId="0" applyFill="1"/>
    <xf numFmtId="0" fontId="0" fillId="8" borderId="28" xfId="0" applyFill="1" applyBorder="1"/>
    <xf numFmtId="0" fontId="0" fillId="8" borderId="29" xfId="0" applyFill="1" applyBorder="1"/>
    <xf numFmtId="0" fontId="0" fillId="8" borderId="30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12" xfId="0" applyFill="1" applyBorder="1"/>
    <xf numFmtId="0" fontId="0" fillId="11" borderId="33" xfId="0" applyFill="1" applyBorder="1"/>
    <xf numFmtId="0" fontId="0" fillId="11" borderId="2" xfId="0" applyFill="1" applyBorder="1"/>
    <xf numFmtId="0" fontId="0" fillId="0" borderId="34" xfId="0" applyBorder="1"/>
    <xf numFmtId="0" fontId="0" fillId="8" borderId="35" xfId="0" applyFill="1" applyBorder="1"/>
    <xf numFmtId="0" fontId="0" fillId="8" borderId="0" xfId="0" applyFill="1" applyBorder="1"/>
    <xf numFmtId="0" fontId="0" fillId="8" borderId="36" xfId="0" applyFill="1" applyBorder="1"/>
    <xf numFmtId="2" fontId="0" fillId="0" borderId="1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" xfId="0" applyNumberFormat="1" applyBorder="1"/>
    <xf numFmtId="0" fontId="1" fillId="7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 vertical="center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11" borderId="1" xfId="0" applyFont="1" applyFill="1" applyBorder="1" applyAlignment="1">
      <alignment horizontal="center" vertical="center" wrapText="1"/>
    </xf>
    <xf numFmtId="2" fontId="0" fillId="11" borderId="1" xfId="0" applyNumberFormat="1" applyFont="1" applyFill="1" applyBorder="1" applyAlignment="1">
      <alignment horizontal="center" wrapText="1"/>
    </xf>
    <xf numFmtId="0" fontId="9" fillId="11" borderId="16" xfId="0" applyFont="1" applyFill="1" applyBorder="1"/>
    <xf numFmtId="0" fontId="9" fillId="8" borderId="16" xfId="0" applyFont="1" applyFill="1" applyBorder="1" applyAlignment="1">
      <alignment vertical="center" wrapText="1"/>
    </xf>
    <xf numFmtId="0" fontId="9" fillId="8" borderId="16" xfId="0" applyFont="1" applyFill="1" applyBorder="1"/>
    <xf numFmtId="0" fontId="9" fillId="5" borderId="16" xfId="0" applyFont="1" applyFill="1" applyBorder="1" applyAlignment="1">
      <alignment vertical="center" wrapText="1"/>
    </xf>
    <xf numFmtId="0" fontId="2" fillId="19" borderId="14" xfId="0" applyFont="1" applyFill="1" applyBorder="1" applyAlignment="1">
      <alignment horizontal="center" wrapText="1"/>
    </xf>
    <xf numFmtId="0" fontId="9" fillId="5" borderId="16" xfId="0" applyFont="1" applyFill="1" applyBorder="1"/>
    <xf numFmtId="1" fontId="0" fillId="0" borderId="1" xfId="0" applyNumberFormat="1" applyBorder="1"/>
    <xf numFmtId="0" fontId="8" fillId="0" borderId="0" xfId="0" applyFont="1"/>
    <xf numFmtId="0" fontId="9" fillId="5" borderId="18" xfId="0" applyFont="1" applyFill="1" applyBorder="1" applyAlignment="1">
      <alignment vertical="center" wrapText="1"/>
    </xf>
    <xf numFmtId="2" fontId="0" fillId="11" borderId="1" xfId="0" applyNumberFormat="1" applyFill="1" applyBorder="1"/>
    <xf numFmtId="0" fontId="4" fillId="0" borderId="2" xfId="0" applyFont="1" applyBorder="1"/>
    <xf numFmtId="0" fontId="0" fillId="0" borderId="2" xfId="0" applyBorder="1"/>
    <xf numFmtId="0" fontId="9" fillId="5" borderId="26" xfId="0" applyFont="1" applyFill="1" applyBorder="1"/>
    <xf numFmtId="0" fontId="2" fillId="5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wrapText="1"/>
    </xf>
    <xf numFmtId="0" fontId="9" fillId="5" borderId="3" xfId="0" applyFont="1" applyFill="1" applyBorder="1" applyAlignment="1">
      <alignment horizontal="center" vertical="center" wrapText="1"/>
    </xf>
    <xf numFmtId="0" fontId="13" fillId="5" borderId="3" xfId="0" applyFont="1" applyFill="1" applyBorder="1" applyAlignment="1">
      <alignment horizontal="center" vertical="center" wrapText="1"/>
    </xf>
    <xf numFmtId="0" fontId="13" fillId="5" borderId="27" xfId="0" applyFont="1" applyFill="1" applyBorder="1" applyAlignment="1">
      <alignment horizontal="center" vertical="center" wrapText="1"/>
    </xf>
    <xf numFmtId="1" fontId="0" fillId="11" borderId="17" xfId="0" applyNumberFormat="1" applyFill="1" applyBorder="1" applyAlignment="1">
      <alignment horizontal="center"/>
    </xf>
    <xf numFmtId="1" fontId="0" fillId="3" borderId="19" xfId="0" applyNumberFormat="1" applyFill="1" applyBorder="1" applyAlignment="1">
      <alignment horizontal="center"/>
    </xf>
    <xf numFmtId="1" fontId="0" fillId="3" borderId="19" xfId="0" applyNumberFormat="1" applyFont="1" applyFill="1" applyBorder="1" applyAlignment="1">
      <alignment horizontal="center" vertical="center" wrapText="1"/>
    </xf>
    <xf numFmtId="0" fontId="0" fillId="3" borderId="19" xfId="0" applyFont="1" applyFill="1" applyBorder="1" applyAlignment="1">
      <alignment horizontal="center"/>
    </xf>
    <xf numFmtId="1" fontId="0" fillId="3" borderId="19" xfId="0" applyNumberFormat="1" applyFont="1" applyFill="1" applyBorder="1" applyAlignment="1">
      <alignment horizontal="center"/>
    </xf>
    <xf numFmtId="2" fontId="0" fillId="3" borderId="19" xfId="0" applyNumberFormat="1" applyFont="1" applyFill="1" applyBorder="1" applyAlignment="1">
      <alignment horizontal="center"/>
    </xf>
    <xf numFmtId="2" fontId="0" fillId="11" borderId="19" xfId="0" applyNumberFormat="1" applyFill="1" applyBorder="1" applyAlignment="1">
      <alignment horizontal="center"/>
    </xf>
    <xf numFmtId="2" fontId="0" fillId="11" borderId="19" xfId="0" applyNumberFormat="1" applyFill="1" applyBorder="1"/>
    <xf numFmtId="1" fontId="0" fillId="11" borderId="20" xfId="0" applyNumberFormat="1" applyFill="1" applyBorder="1" applyAlignment="1">
      <alignment horizontal="center"/>
    </xf>
    <xf numFmtId="0" fontId="1" fillId="3" borderId="1" xfId="0" applyFont="1" applyFill="1" applyBorder="1"/>
    <xf numFmtId="0" fontId="10" fillId="0" borderId="0" xfId="0" applyFont="1"/>
    <xf numFmtId="0" fontId="10" fillId="20" borderId="1" xfId="0" applyFont="1" applyFill="1" applyBorder="1"/>
    <xf numFmtId="0" fontId="10" fillId="20" borderId="5" xfId="0" applyFont="1" applyFill="1" applyBorder="1"/>
    <xf numFmtId="0" fontId="0" fillId="0" borderId="4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12" fillId="3" borderId="0" xfId="0" applyFon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/>
    </xf>
    <xf numFmtId="0" fontId="0" fillId="0" borderId="4" xfId="0" applyFill="1" applyBorder="1" applyAlignment="1">
      <alignment horizontal="left"/>
    </xf>
    <xf numFmtId="0" fontId="0" fillId="0" borderId="5" xfId="0" applyFill="1" applyBorder="1" applyAlignment="1">
      <alignment horizontal="left"/>
    </xf>
    <xf numFmtId="0" fontId="11" fillId="18" borderId="13" xfId="0" applyFont="1" applyFill="1" applyBorder="1" applyAlignment="1">
      <alignment horizontal="center"/>
    </xf>
    <xf numFmtId="0" fontId="11" fillId="18" borderId="14" xfId="0" applyFont="1" applyFill="1" applyBorder="1" applyAlignment="1">
      <alignment horizontal="center"/>
    </xf>
    <xf numFmtId="0" fontId="11" fillId="18" borderId="15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wrapText="1"/>
    </xf>
    <xf numFmtId="0" fontId="1" fillId="7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wrapText="1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/>
    </xf>
    <xf numFmtId="0" fontId="0" fillId="5" borderId="1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9" xfId="0" applyBorder="1" applyAlignment="1">
      <alignment horizontal="left" wrapText="1"/>
    </xf>
    <xf numFmtId="0" fontId="0" fillId="0" borderId="20" xfId="0" applyBorder="1" applyAlignment="1">
      <alignment horizontal="left" wrapText="1"/>
    </xf>
    <xf numFmtId="0" fontId="1" fillId="6" borderId="4" xfId="0" applyFont="1" applyFill="1" applyBorder="1" applyAlignment="1">
      <alignment horizontal="left"/>
    </xf>
    <xf numFmtId="0" fontId="1" fillId="6" borderId="5" xfId="0" applyFont="1" applyFill="1" applyBorder="1" applyAlignment="1">
      <alignment horizontal="left"/>
    </xf>
    <xf numFmtId="0" fontId="1" fillId="10" borderId="4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1" fillId="17" borderId="13" xfId="0" applyFont="1" applyFill="1" applyBorder="1" applyAlignment="1">
      <alignment horizontal="center" wrapText="1"/>
    </xf>
    <xf numFmtId="0" fontId="1" fillId="17" borderId="15" xfId="0" applyFont="1" applyFill="1" applyBorder="1" applyAlignment="1">
      <alignment horizontal="center" wrapText="1"/>
    </xf>
    <xf numFmtId="0" fontId="1" fillId="17" borderId="16" xfId="0" applyFont="1" applyFill="1" applyBorder="1" applyAlignment="1">
      <alignment horizontal="center" wrapText="1"/>
    </xf>
    <xf numFmtId="0" fontId="1" fillId="17" borderId="17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/>
    </xf>
    <xf numFmtId="0" fontId="1" fillId="17" borderId="4" xfId="0" applyFont="1" applyFill="1" applyBorder="1" applyAlignment="1">
      <alignment horizontal="center"/>
    </xf>
    <xf numFmtId="0" fontId="1" fillId="17" borderId="5" xfId="0" applyFont="1" applyFill="1" applyBorder="1" applyAlignment="1">
      <alignment horizontal="center"/>
    </xf>
    <xf numFmtId="0" fontId="1" fillId="8" borderId="21" xfId="0" applyFont="1" applyFill="1" applyBorder="1" applyAlignment="1">
      <alignment horizontal="center"/>
    </xf>
    <xf numFmtId="0" fontId="1" fillId="8" borderId="22" xfId="0" applyFont="1" applyFill="1" applyBorder="1" applyAlignment="1">
      <alignment horizontal="center"/>
    </xf>
    <xf numFmtId="0" fontId="1" fillId="8" borderId="23" xfId="0" applyFont="1" applyFill="1" applyBorder="1" applyAlignment="1">
      <alignment horizontal="center"/>
    </xf>
    <xf numFmtId="0" fontId="1" fillId="8" borderId="24" xfId="0" applyFont="1" applyFill="1" applyBorder="1" applyAlignment="1">
      <alignment horizontal="center"/>
    </xf>
    <xf numFmtId="0" fontId="1" fillId="8" borderId="25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528728353054877E-2"/>
          <c:y val="0.17065246752925509"/>
          <c:w val="0.8744052930883639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'SA1'!$X$19</c:f>
              <c:strCache>
                <c:ptCount val="1"/>
                <c:pt idx="0">
                  <c:v>contact 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'SA1'!$X$20:$X$135</c:f>
              <c:numCache>
                <c:formatCode>General</c:formatCode>
                <c:ptCount val="116"/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1.1000000000000001</c:v>
                </c:pt>
                <c:pt idx="13">
                  <c:v>1.2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1.6</c:v>
                </c:pt>
                <c:pt idx="18">
                  <c:v>1.7</c:v>
                </c:pt>
                <c:pt idx="19">
                  <c:v>1.8</c:v>
                </c:pt>
                <c:pt idx="20">
                  <c:v>1.9</c:v>
                </c:pt>
                <c:pt idx="21">
                  <c:v>2</c:v>
                </c:pt>
                <c:pt idx="22">
                  <c:v>2.1</c:v>
                </c:pt>
                <c:pt idx="23">
                  <c:v>2.2000000000000002</c:v>
                </c:pt>
                <c:pt idx="24">
                  <c:v>2.2999999999999998</c:v>
                </c:pt>
                <c:pt idx="25">
                  <c:v>2.4</c:v>
                </c:pt>
                <c:pt idx="26">
                  <c:v>2.5</c:v>
                </c:pt>
                <c:pt idx="27">
                  <c:v>2.6</c:v>
                </c:pt>
                <c:pt idx="28">
                  <c:v>2.7</c:v>
                </c:pt>
                <c:pt idx="29">
                  <c:v>2.8</c:v>
                </c:pt>
                <c:pt idx="30">
                  <c:v>2.9</c:v>
                </c:pt>
                <c:pt idx="31">
                  <c:v>3</c:v>
                </c:pt>
                <c:pt idx="32">
                  <c:v>3.1</c:v>
                </c:pt>
                <c:pt idx="33">
                  <c:v>3.2</c:v>
                </c:pt>
                <c:pt idx="34">
                  <c:v>3.3</c:v>
                </c:pt>
                <c:pt idx="35">
                  <c:v>3.4</c:v>
                </c:pt>
                <c:pt idx="36">
                  <c:v>3.5</c:v>
                </c:pt>
                <c:pt idx="37">
                  <c:v>3.6</c:v>
                </c:pt>
                <c:pt idx="38">
                  <c:v>3.7</c:v>
                </c:pt>
                <c:pt idx="39">
                  <c:v>3.8</c:v>
                </c:pt>
                <c:pt idx="40">
                  <c:v>3.9</c:v>
                </c:pt>
                <c:pt idx="41">
                  <c:v>4</c:v>
                </c:pt>
                <c:pt idx="42">
                  <c:v>4.0999999999999996</c:v>
                </c:pt>
                <c:pt idx="43">
                  <c:v>4.2</c:v>
                </c:pt>
                <c:pt idx="44">
                  <c:v>4.3</c:v>
                </c:pt>
                <c:pt idx="45">
                  <c:v>4.4000000000000004</c:v>
                </c:pt>
                <c:pt idx="46">
                  <c:v>4.5</c:v>
                </c:pt>
                <c:pt idx="47">
                  <c:v>4.5999999999999996</c:v>
                </c:pt>
                <c:pt idx="48">
                  <c:v>4.7</c:v>
                </c:pt>
                <c:pt idx="49">
                  <c:v>4.8</c:v>
                </c:pt>
                <c:pt idx="50">
                  <c:v>4.9000000000000004</c:v>
                </c:pt>
                <c:pt idx="51">
                  <c:v>5</c:v>
                </c:pt>
                <c:pt idx="52">
                  <c:v>5.0999999999999996</c:v>
                </c:pt>
                <c:pt idx="53">
                  <c:v>5.2</c:v>
                </c:pt>
                <c:pt idx="54">
                  <c:v>5.3</c:v>
                </c:pt>
                <c:pt idx="55">
                  <c:v>5.4</c:v>
                </c:pt>
                <c:pt idx="56">
                  <c:v>5.5</c:v>
                </c:pt>
                <c:pt idx="57">
                  <c:v>5.6</c:v>
                </c:pt>
                <c:pt idx="58">
                  <c:v>5.7</c:v>
                </c:pt>
                <c:pt idx="59">
                  <c:v>5.8</c:v>
                </c:pt>
                <c:pt idx="60">
                  <c:v>5.9</c:v>
                </c:pt>
                <c:pt idx="61">
                  <c:v>6</c:v>
                </c:pt>
                <c:pt idx="62">
                  <c:v>6.1</c:v>
                </c:pt>
                <c:pt idx="63">
                  <c:v>6.2</c:v>
                </c:pt>
                <c:pt idx="64">
                  <c:v>6.3</c:v>
                </c:pt>
                <c:pt idx="65">
                  <c:v>6.4</c:v>
                </c:pt>
                <c:pt idx="66">
                  <c:v>6.5</c:v>
                </c:pt>
                <c:pt idx="67">
                  <c:v>6.6</c:v>
                </c:pt>
                <c:pt idx="68">
                  <c:v>6.7</c:v>
                </c:pt>
                <c:pt idx="69">
                  <c:v>6.8</c:v>
                </c:pt>
                <c:pt idx="70">
                  <c:v>6.9</c:v>
                </c:pt>
                <c:pt idx="71">
                  <c:v>7</c:v>
                </c:pt>
                <c:pt idx="72">
                  <c:v>7.1</c:v>
                </c:pt>
                <c:pt idx="73">
                  <c:v>7.2</c:v>
                </c:pt>
                <c:pt idx="74">
                  <c:v>7.3</c:v>
                </c:pt>
                <c:pt idx="75">
                  <c:v>7.4</c:v>
                </c:pt>
                <c:pt idx="76">
                  <c:v>7.5</c:v>
                </c:pt>
                <c:pt idx="77">
                  <c:v>7.6</c:v>
                </c:pt>
                <c:pt idx="78">
                  <c:v>7.7</c:v>
                </c:pt>
                <c:pt idx="79">
                  <c:v>7.8</c:v>
                </c:pt>
                <c:pt idx="80">
                  <c:v>7.9</c:v>
                </c:pt>
                <c:pt idx="81">
                  <c:v>8</c:v>
                </c:pt>
                <c:pt idx="82">
                  <c:v>8.1</c:v>
                </c:pt>
                <c:pt idx="83">
                  <c:v>8.1999999999999993</c:v>
                </c:pt>
                <c:pt idx="84">
                  <c:v>8.3000000000000007</c:v>
                </c:pt>
                <c:pt idx="85">
                  <c:v>8.4</c:v>
                </c:pt>
                <c:pt idx="86">
                  <c:v>8.5</c:v>
                </c:pt>
                <c:pt idx="87">
                  <c:v>8.6</c:v>
                </c:pt>
                <c:pt idx="88">
                  <c:v>8.6999999999999993</c:v>
                </c:pt>
                <c:pt idx="89">
                  <c:v>8.8000000000000007</c:v>
                </c:pt>
                <c:pt idx="90">
                  <c:v>8.9</c:v>
                </c:pt>
                <c:pt idx="91">
                  <c:v>9</c:v>
                </c:pt>
                <c:pt idx="92">
                  <c:v>9.1</c:v>
                </c:pt>
                <c:pt idx="93">
                  <c:v>9.1999999999999993</c:v>
                </c:pt>
                <c:pt idx="94">
                  <c:v>9.3000000000000007</c:v>
                </c:pt>
                <c:pt idx="95">
                  <c:v>9.4</c:v>
                </c:pt>
                <c:pt idx="96">
                  <c:v>9.5</c:v>
                </c:pt>
                <c:pt idx="97">
                  <c:v>9.6</c:v>
                </c:pt>
                <c:pt idx="98">
                  <c:v>9.6999999999999993</c:v>
                </c:pt>
                <c:pt idx="99">
                  <c:v>9.8000000000000007</c:v>
                </c:pt>
                <c:pt idx="100">
                  <c:v>9.9</c:v>
                </c:pt>
                <c:pt idx="101">
                  <c:v>10</c:v>
                </c:pt>
                <c:pt idx="102">
                  <c:v>10.1</c:v>
                </c:pt>
                <c:pt idx="103">
                  <c:v>10.199999999999999</c:v>
                </c:pt>
                <c:pt idx="104">
                  <c:v>10.3</c:v>
                </c:pt>
                <c:pt idx="105">
                  <c:v>10.4</c:v>
                </c:pt>
                <c:pt idx="106">
                  <c:v>10.5</c:v>
                </c:pt>
                <c:pt idx="107">
                  <c:v>10.6</c:v>
                </c:pt>
                <c:pt idx="108">
                  <c:v>10.7</c:v>
                </c:pt>
                <c:pt idx="109">
                  <c:v>10.8</c:v>
                </c:pt>
                <c:pt idx="110">
                  <c:v>10.9</c:v>
                </c:pt>
                <c:pt idx="111">
                  <c:v>11</c:v>
                </c:pt>
                <c:pt idx="112">
                  <c:v>11.1</c:v>
                </c:pt>
                <c:pt idx="113">
                  <c:v>11.2</c:v>
                </c:pt>
                <c:pt idx="114">
                  <c:v>11.3</c:v>
                </c:pt>
                <c:pt idx="115">
                  <c:v>11.4</c:v>
                </c:pt>
              </c:numCache>
            </c:numRef>
          </c:xVal>
          <c:yVal>
            <c:numRef>
              <c:f>'SA1'!$W$20:$W$136</c:f>
              <c:numCache>
                <c:formatCode>0.00</c:formatCode>
                <c:ptCount val="117"/>
                <c:pt idx="1">
                  <c:v>0.62052435927619387</c:v>
                </c:pt>
                <c:pt idx="2">
                  <c:v>0.63584087122068933</c:v>
                </c:pt>
                <c:pt idx="3">
                  <c:v>0.64868252888302269</c:v>
                </c:pt>
                <c:pt idx="4">
                  <c:v>0.65960497313882627</c:v>
                </c:pt>
                <c:pt idx="5">
                  <c:v>0.66900893164604947</c:v>
                </c:pt>
                <c:pt idx="6">
                  <c:v>0.67719073625069182</c:v>
                </c:pt>
                <c:pt idx="7">
                  <c:v>0.68437426628577713</c:v>
                </c:pt>
                <c:pt idx="8">
                  <c:v>0.69073183107396052</c:v>
                </c:pt>
                <c:pt idx="9">
                  <c:v>0.69639821900693732</c:v>
                </c:pt>
                <c:pt idx="10">
                  <c:v>0.70148038857878769</c:v>
                </c:pt>
                <c:pt idx="11">
                  <c:v>0.70606430183408309</c:v>
                </c:pt>
                <c:pt idx="12">
                  <c:v>0.71021983768337005</c:v>
                </c:pt>
                <c:pt idx="13">
                  <c:v>0.71400438664939647</c:v>
                </c:pt>
                <c:pt idx="14">
                  <c:v>0.71746552236151007</c:v>
                </c:pt>
                <c:pt idx="15">
                  <c:v>0.72064301518007123</c:v>
                </c:pt>
                <c:pt idx="16">
                  <c:v>0.72357036956365262</c:v>
                </c:pt>
                <c:pt idx="17">
                  <c:v>0.72627601165004907</c:v>
                </c:pt>
                <c:pt idx="18">
                  <c:v>0.72878421653203374</c:v>
                </c:pt>
                <c:pt idx="19">
                  <c:v>0.73111583946375713</c:v>
                </c:pt>
                <c:pt idx="20">
                  <c:v>0.73328889773024664</c:v>
                </c:pt>
                <c:pt idx="21">
                  <c:v>0.73531903759911565</c:v>
                </c:pt>
                <c:pt idx="22">
                  <c:v>0.73721991199457437</c:v>
                </c:pt>
                <c:pt idx="23">
                  <c:v>0.73900348819656436</c:v>
                </c:pt>
                <c:pt idx="24">
                  <c:v>0.74068030024020182</c:v>
                </c:pt>
                <c:pt idx="25">
                  <c:v>0.74225965727508847</c:v>
                </c:pt>
                <c:pt idx="26">
                  <c:v>0.74374981659762884</c:v>
                </c:pt>
                <c:pt idx="27">
                  <c:v>0.74515812815323013</c:v>
                </c:pt>
                <c:pt idx="28">
                  <c:v>0.74649115585051296</c:v>
                </c:pt>
                <c:pt idx="29">
                  <c:v>0.74775477991609918</c:v>
                </c:pt>
                <c:pt idx="30">
                  <c:v>0.74895428365953276</c:v>
                </c:pt>
                <c:pt idx="31">
                  <c:v>0.75009442735034793</c:v>
                </c:pt>
                <c:pt idx="32">
                  <c:v>0.75117951138696237</c:v>
                </c:pt>
                <c:pt idx="33">
                  <c:v>0.75221343052566114</c:v>
                </c:pt>
                <c:pt idx="34">
                  <c:v>0.75319972061188412</c:v>
                </c:pt>
                <c:pt idx="35">
                  <c:v>0.75414159899609334</c:v>
                </c:pt>
                <c:pt idx="36">
                  <c:v>0.75504199960810947</c:v>
                </c:pt>
                <c:pt idx="37">
                  <c:v>0.75590360349585994</c:v>
                </c:pt>
                <c:pt idx="38">
                  <c:v>0.75672886549842111</c:v>
                </c:pt>
                <c:pt idx="39">
                  <c:v>0.75752003761249598</c:v>
                </c:pt>
                <c:pt idx="40">
                  <c:v>0.75827918952090623</c:v>
                </c:pt>
                <c:pt idx="41">
                  <c:v>0.75900822667728096</c:v>
                </c:pt>
                <c:pt idx="42">
                  <c:v>0.75970890627977661</c:v>
                </c:pt>
                <c:pt idx="43">
                  <c:v>0.76038285141583128</c:v>
                </c:pt>
                <c:pt idx="44">
                  <c:v>0.76103156361771274</c:v>
                </c:pt>
                <c:pt idx="45">
                  <c:v>0.7616564340333527</c:v>
                </c:pt>
                <c:pt idx="46">
                  <c:v>0.7622587533874351</c:v>
                </c:pt>
                <c:pt idx="47">
                  <c:v>0.76283972088287544</c:v>
                </c:pt>
                <c:pt idx="48">
                  <c:v>0.76340045217191432</c:v>
                </c:pt>
                <c:pt idx="49">
                  <c:v>0.763941986508339</c:v>
                </c:pt>
                <c:pt idx="50">
                  <c:v>0.76446529317732825</c:v>
                </c:pt>
                <c:pt idx="51">
                  <c:v>0.76497127728663683</c:v>
                </c:pt>
                <c:pt idx="52">
                  <c:v>0.76546078499192793</c:v>
                </c:pt>
                <c:pt idx="53">
                  <c:v>0.76593460821972492</c:v>
                </c:pt>
                <c:pt idx="54">
                  <c:v>0.76639348894344761</c:v>
                </c:pt>
                <c:pt idx="55">
                  <c:v>0.76683812306110966</c:v>
                </c:pt>
                <c:pt idx="56">
                  <c:v>0.7672691639173046</c:v>
                </c:pt>
                <c:pt idx="57">
                  <c:v>0.76768722550698298</c:v>
                </c:pt>
                <c:pt idx="58">
                  <c:v>0.76809288539406106</c:v>
                </c:pt>
                <c:pt idx="59">
                  <c:v>0.76848668737404702</c:v>
                </c:pt>
                <c:pt idx="60">
                  <c:v>0.76886914390649708</c:v>
                </c:pt>
                <c:pt idx="61">
                  <c:v>0.76924073834019113</c:v>
                </c:pt>
                <c:pt idx="62">
                  <c:v>0.76960192695134211</c:v>
                </c:pt>
                <c:pt idx="63">
                  <c:v>0.76995314081291732</c:v>
                </c:pt>
                <c:pt idx="64">
                  <c:v>0.77029478751117675</c:v>
                </c:pt>
                <c:pt idx="65">
                  <c:v>0.77062725272379917</c:v>
                </c:pt>
                <c:pt idx="66">
                  <c:v>0.77095090167244629</c:v>
                </c:pt>
                <c:pt idx="67">
                  <c:v>0.77126608046126921</c:v>
                </c:pt>
                <c:pt idx="68">
                  <c:v>0.77157311731166778</c:v>
                </c:pt>
                <c:pt idx="69">
                  <c:v>0.7718723237025682</c:v>
                </c:pt>
                <c:pt idx="70">
                  <c:v>0.7721639954245465</c:v>
                </c:pt>
                <c:pt idx="71">
                  <c:v>0.77244841355529681</c:v>
                </c:pt>
                <c:pt idx="72">
                  <c:v>0.77272584536320965</c:v>
                </c:pt>
                <c:pt idx="73">
                  <c:v>0.77299654514516514</c:v>
                </c:pt>
                <c:pt idx="74">
                  <c:v>0.77326075500406211</c:v>
                </c:pt>
                <c:pt idx="75">
                  <c:v>0.77351870557108182</c:v>
                </c:pt>
                <c:pt idx="76">
                  <c:v>0.77377061667721336</c:v>
                </c:pt>
                <c:pt idx="77">
                  <c:v>0.77401669797815487</c:v>
                </c:pt>
                <c:pt idx="78">
                  <c:v>0.77425714953631919</c:v>
                </c:pt>
                <c:pt idx="79">
                  <c:v>0.77449216236334539</c:v>
                </c:pt>
                <c:pt idx="80">
                  <c:v>0.77472191892620357</c:v>
                </c:pt>
                <c:pt idx="81">
                  <c:v>0.77494659361971518</c:v>
                </c:pt>
                <c:pt idx="82">
                  <c:v>0.77516635320805882</c:v>
                </c:pt>
                <c:pt idx="83">
                  <c:v>0.77538135723761115</c:v>
                </c:pt>
                <c:pt idx="84">
                  <c:v>0.77559175842327144</c:v>
                </c:pt>
                <c:pt idx="85">
                  <c:v>0.77579770301023443</c:v>
                </c:pt>
                <c:pt idx="86">
                  <c:v>0.77599933111301511</c:v>
                </c:pt>
                <c:pt idx="87">
                  <c:v>0.7761967770333742</c:v>
                </c:pt>
                <c:pt idx="88">
                  <c:v>0.77639016955866225</c:v>
                </c:pt>
                <c:pt idx="89">
                  <c:v>0.7765796322419759</c:v>
                </c:pt>
                <c:pt idx="90">
                  <c:v>0.77676528366540476</c:v>
                </c:pt>
                <c:pt idx="91">
                  <c:v>0.77694723768754848</c:v>
                </c:pt>
                <c:pt idx="92">
                  <c:v>0.77712560367639116</c:v>
                </c:pt>
                <c:pt idx="93">
                  <c:v>0.77730048672853325</c:v>
                </c:pt>
                <c:pt idx="94">
                  <c:v>0.7774719878757006</c:v>
                </c:pt>
                <c:pt idx="95">
                  <c:v>0.77764020427939251</c:v>
                </c:pt>
                <c:pt idx="96">
                  <c:v>0.77780522941444574</c:v>
                </c:pt>
                <c:pt idx="97">
                  <c:v>0.7779671532422523</c:v>
                </c:pt>
                <c:pt idx="98">
                  <c:v>0.77812606237429904</c:v>
                </c:pt>
                <c:pt idx="99">
                  <c:v>0.77828204022665881</c:v>
                </c:pt>
                <c:pt idx="100">
                  <c:v>0.77843516716600869</c:v>
                </c:pt>
                <c:pt idx="101">
                  <c:v>0.77858552064771391</c:v>
                </c:pt>
                <c:pt idx="102">
                  <c:v>0.77873317534647546</c:v>
                </c:pt>
                <c:pt idx="103">
                  <c:v>0.77887820328000545</c:v>
                </c:pt>
                <c:pt idx="104">
                  <c:v>0.77902067392615859</c:v>
                </c:pt>
                <c:pt idx="105">
                  <c:v>0.77916065433392179</c:v>
                </c:pt>
                <c:pt idx="106">
                  <c:v>0.77929820922863502</c:v>
                </c:pt>
                <c:pt idx="107">
                  <c:v>0.77943340111178749</c:v>
                </c:pt>
                <c:pt idx="108">
                  <c:v>0.77956629035571501</c:v>
                </c:pt>
                <c:pt idx="109">
                  <c:v>0.7796969352934997</c:v>
                </c:pt>
                <c:pt idx="110">
                  <c:v>0.77982539230435199</c:v>
                </c:pt>
                <c:pt idx="111">
                  <c:v>0.77995171589473833</c:v>
                </c:pt>
                <c:pt idx="112">
                  <c:v>0.78007595877550084</c:v>
                </c:pt>
                <c:pt idx="113">
                  <c:v>0.78019817193519625</c:v>
                </c:pt>
                <c:pt idx="114">
                  <c:v>0.78031840470986924</c:v>
                </c:pt>
                <c:pt idx="115">
                  <c:v>0.78043670484946204</c:v>
                </c:pt>
                <c:pt idx="116">
                  <c:v>0.78055311858104603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5D-45ED-BA42-6A6355301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249023"/>
        <c:axId val="1836246943"/>
      </c:scatterChart>
      <c:valAx>
        <c:axId val="1836249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Contact</a:t>
                </a:r>
                <a:r>
                  <a:rPr lang="en-US" baseline="0"/>
                  <a:t> average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246943"/>
        <c:crosses val="autoZero"/>
        <c:crossBetween val="midCat"/>
      </c:valAx>
      <c:valAx>
        <c:axId val="183624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Strategy accuracy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249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178263342082239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'SA3'!$P$12</c:f>
              <c:strCache>
                <c:ptCount val="1"/>
                <c:pt idx="0">
                  <c:v>Strategy`s Accuracy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'SA3'!$P$13:$P$576</c:f>
              <c:numCache>
                <c:formatCode>0.00</c:formatCode>
                <c:ptCount val="564"/>
                <c:pt idx="1">
                  <c:v>0.75900822667728096</c:v>
                </c:pt>
                <c:pt idx="2">
                  <c:v>0.72110587961374395</c:v>
                </c:pt>
                <c:pt idx="3">
                  <c:v>0.69048311886959357</c:v>
                </c:pt>
                <c:pt idx="4">
                  <c:v>0.6652235912990474</c:v>
                </c:pt>
                <c:pt idx="5">
                  <c:v>0.64402984441606481</c:v>
                </c:pt>
                <c:pt idx="6">
                  <c:v>0.62599203089753153</c:v>
                </c:pt>
                <c:pt idx="7">
                  <c:v>0.61045315501707886</c:v>
                </c:pt>
                <c:pt idx="8">
                  <c:v>0.59692689859105053</c:v>
                </c:pt>
                <c:pt idx="9">
                  <c:v>0.58504554810283982</c:v>
                </c:pt>
                <c:pt idx="10">
                  <c:v>0.5745258964411748</c:v>
                </c:pt>
                <c:pt idx="11">
                  <c:v>0.5651462728276011</c:v>
                </c:pt>
                <c:pt idx="12">
                  <c:v>0.55673068145780102</c:v>
                </c:pt>
                <c:pt idx="13">
                  <c:v>0.54913760746490858</c:v>
                </c:pt>
                <c:pt idx="14">
                  <c:v>0.54225196240745088</c:v>
                </c:pt>
                <c:pt idx="15">
                  <c:v>0.53597918760734653</c:v>
                </c:pt>
                <c:pt idx="16">
                  <c:v>0.53024086953299221</c:v>
                </c:pt>
                <c:pt idx="17">
                  <c:v>0.52497143329780771</c:v>
                </c:pt>
                <c:pt idx="18">
                  <c:v>0.52011561708836684</c:v>
                </c:pt>
                <c:pt idx="19">
                  <c:v>0.51562652043156132</c:v>
                </c:pt>
                <c:pt idx="20">
                  <c:v>0.51146407969508934</c:v>
                </c:pt>
                <c:pt idx="21">
                  <c:v>0.5075938655232568</c:v>
                </c:pt>
                <c:pt idx="22">
                  <c:v>0.5039861255673852</c:v>
                </c:pt>
                <c:pt idx="23">
                  <c:v>0.50061501604052339</c:v>
                </c:pt>
                <c:pt idx="24">
                  <c:v>0.49745798001375147</c:v>
                </c:pt>
                <c:pt idx="25">
                  <c:v>0.4944952407616251</c:v>
                </c:pt>
                <c:pt idx="26">
                  <c:v>0.49170938605445319</c:v>
                </c:pt>
                <c:pt idx="27">
                  <c:v>0.48908502489931976</c:v>
                </c:pt>
                <c:pt idx="28">
                  <c:v>0.48660850241115988</c:v>
                </c:pt>
                <c:pt idx="29">
                  <c:v>0.48426766164129104</c:v>
                </c:pt>
                <c:pt idx="30">
                  <c:v>0.48205164357986879</c:v>
                </c:pt>
                <c:pt idx="31">
                  <c:v>0.47995071837795972</c:v>
                </c:pt>
                <c:pt idx="32">
                  <c:v>0.4779561422463765</c:v>
                </c:pt>
                <c:pt idx="33">
                  <c:v>0.47606003558551674</c:v>
                </c:pt>
                <c:pt idx="34">
                  <c:v>0.47425527875910706</c:v>
                </c:pt>
                <c:pt idx="35">
                  <c:v>0.47253542260121129</c:v>
                </c:pt>
                <c:pt idx="36">
                  <c:v>0.47089461128208016</c:v>
                </c:pt>
                <c:pt idx="37">
                  <c:v>0.46932751558599684</c:v>
                </c:pt>
                <c:pt idx="38">
                  <c:v>0.46782927499711663</c:v>
                </c:pt>
                <c:pt idx="39">
                  <c:v>0.46639544726566895</c:v>
                </c:pt>
                <c:pt idx="40">
                  <c:v>0.46502196435082083</c:v>
                </c:pt>
                <c:pt idx="41">
                  <c:v>0.46370509381879432</c:v>
                </c:pt>
                <c:pt idx="42">
                  <c:v>0.46244140492395641</c:v>
                </c:pt>
                <c:pt idx="43">
                  <c:v>0.46122773872306744</c:v>
                </c:pt>
                <c:pt idx="44">
                  <c:v>0.46006118167397569</c:v>
                </c:pt>
                <c:pt idx="45">
                  <c:v>0.45893904225370707</c:v>
                </c:pt>
                <c:pt idx="46">
                  <c:v>0.45785883020056306</c:v>
                </c:pt>
                <c:pt idx="47">
                  <c:v>0.4568182380428959</c:v>
                </c:pt>
                <c:pt idx="48">
                  <c:v>0.45581512462593665</c:v>
                </c:pt>
                <c:pt idx="49">
                  <c:v>0.45484750038893274</c:v>
                </c:pt>
                <c:pt idx="50">
                  <c:v>0.45391351417936787</c:v>
                </c:pt>
                <c:pt idx="51">
                  <c:v>0.45301144142020977</c:v>
                </c:pt>
                <c:pt idx="52">
                  <c:v>0.45213967347091133</c:v>
                </c:pt>
                <c:pt idx="53">
                  <c:v>0.45129670804395006</c:v>
                </c:pt>
                <c:pt idx="54">
                  <c:v>0.45048114055670563</c:v>
                </c:pt>
                <c:pt idx="55">
                  <c:v>0.44969165631385166</c:v>
                </c:pt>
                <c:pt idx="56">
                  <c:v>0.44892702342866819</c:v>
                </c:pt>
                <c:pt idx="57">
                  <c:v>0.44818608640303581</c:v>
                </c:pt>
                <c:pt idx="58">
                  <c:v>0.44746776029569435</c:v>
                </c:pt>
                <c:pt idx="59">
                  <c:v>0.44677102541680824</c:v>
                </c:pt>
                <c:pt idx="60">
                  <c:v>0.44609492249424265</c:v>
                </c:pt>
                <c:pt idx="61">
                  <c:v>0.44543854826332274</c:v>
                </c:pt>
                <c:pt idx="62">
                  <c:v>0.44480105143741333</c:v>
                </c:pt>
                <c:pt idx="63">
                  <c:v>0.44418162902148528</c:v>
                </c:pt>
                <c:pt idx="64">
                  <c:v>0.44357952293509118</c:v>
                </c:pt>
                <c:pt idx="65">
                  <c:v>0.44299401691485396</c:v>
                </c:pt>
                <c:pt idx="66">
                  <c:v>0.44242443366985151</c:v>
                </c:pt>
                <c:pt idx="67">
                  <c:v>0.44187013226612126</c:v>
                </c:pt>
                <c:pt idx="68">
                  <c:v>0.44133050571904309</c:v>
                </c:pt>
                <c:pt idx="69">
                  <c:v>0.44080497877456792</c:v>
                </c:pt>
                <c:pt idx="70">
                  <c:v>0.44029300586223918</c:v>
                </c:pt>
                <c:pt idx="71">
                  <c:v>0.43979406920467523</c:v>
                </c:pt>
                <c:pt idx="72">
                  <c:v>0.43930767706974561</c:v>
                </c:pt>
                <c:pt idx="73">
                  <c:v>0.43883336215301849</c:v>
                </c:pt>
                <c:pt idx="74">
                  <c:v>0.43837068007929991</c:v>
                </c:pt>
                <c:pt idx="75">
                  <c:v>0.43791920801314954</c:v>
                </c:pt>
                <c:pt idx="76">
                  <c:v>0.4374785433692423</c:v>
                </c:pt>
                <c:pt idx="77">
                  <c:v>0.4370483026143005</c:v>
                </c:pt>
                <c:pt idx="78">
                  <c:v>0.43662812015309926</c:v>
                </c:pt>
                <c:pt idx="79">
                  <c:v>0.43621764729174284</c:v>
                </c:pt>
                <c:pt idx="80">
                  <c:v>0.43581655127202434</c:v>
                </c:pt>
                <c:pt idx="81">
                  <c:v>0.43542451437125551</c:v>
                </c:pt>
                <c:pt idx="82">
                  <c:v>0.43504123306243392</c:v>
                </c:pt>
                <c:pt idx="83">
                  <c:v>0.4346664172300907</c:v>
                </c:pt>
                <c:pt idx="84">
                  <c:v>0.43429978943755221</c:v>
                </c:pt>
                <c:pt idx="85">
                  <c:v>0.43394108424172972</c:v>
                </c:pt>
                <c:pt idx="86">
                  <c:v>0.43359004755187291</c:v>
                </c:pt>
                <c:pt idx="87">
                  <c:v>0.43324643602903479</c:v>
                </c:pt>
                <c:pt idx="88">
                  <c:v>0.43291001652326699</c:v>
                </c:pt>
                <c:pt idx="89">
                  <c:v>0.43258056554579749</c:v>
                </c:pt>
                <c:pt idx="90">
                  <c:v>0.43225786877369266</c:v>
                </c:pt>
                <c:pt idx="91">
                  <c:v>0.43194172058468372</c:v>
                </c:pt>
                <c:pt idx="92">
                  <c:v>0.43163192362004654</c:v>
                </c:pt>
                <c:pt idx="93">
                  <c:v>0.43132828837356729</c:v>
                </c:pt>
                <c:pt idx="94">
                  <c:v>0.43103063280480869</c:v>
                </c:pt>
                <c:pt idx="95">
                  <c:v>0.43073878197500992</c:v>
                </c:pt>
                <c:pt idx="96">
                  <c:v>0.43045256770408824</c:v>
                </c:pt>
                <c:pt idx="97">
                  <c:v>0.43017182824733524</c:v>
                </c:pt>
                <c:pt idx="98">
                  <c:v>0.42989640799049378</c:v>
                </c:pt>
                <c:pt idx="99">
                  <c:v>0.42962615716201424</c:v>
                </c:pt>
                <c:pt idx="100">
                  <c:v>0.42936093156136623</c:v>
                </c:pt>
                <c:pt idx="101">
                  <c:v>0.42910059230237318</c:v>
                </c:pt>
                <c:pt idx="102">
                  <c:v>0.42884500557060767</c:v>
                </c:pt>
                <c:pt idx="103">
                  <c:v>0.42859404239395826</c:v>
                </c:pt>
                <c:pt idx="104">
                  <c:v>0.42834757842554161</c:v>
                </c:pt>
                <c:pt idx="105">
                  <c:v>0.42810549373818729</c:v>
                </c:pt>
                <c:pt idx="106">
                  <c:v>0.42786767262978764</c:v>
                </c:pt>
                <c:pt idx="107">
                  <c:v>0.42763400343884583</c:v>
                </c:pt>
                <c:pt idx="108">
                  <c:v>0.42740437836960277</c:v>
                </c:pt>
                <c:pt idx="109">
                  <c:v>0.42717869332616942</c:v>
                </c:pt>
                <c:pt idx="110">
                  <c:v>0.42695684775512588</c:v>
                </c:pt>
                <c:pt idx="111">
                  <c:v>0.42673874449609239</c:v>
                </c:pt>
                <c:pt idx="112">
                  <c:v>0.42652428963979738</c:v>
                </c:pt>
                <c:pt idx="113">
                  <c:v>0.42631339239321309</c:v>
                </c:pt>
                <c:pt idx="114">
                  <c:v>0.42610596495135</c:v>
                </c:pt>
                <c:pt idx="115">
                  <c:v>0.42590192237532998</c:v>
                </c:pt>
                <c:pt idx="116">
                  <c:v>0.42570118247637967</c:v>
                </c:pt>
                <c:pt idx="117">
                  <c:v>0.42550366570541565</c:v>
                </c:pt>
                <c:pt idx="118">
                  <c:v>0.42530929504790627</c:v>
                </c:pt>
                <c:pt idx="119">
                  <c:v>0.42511799592371957</c:v>
                </c:pt>
                <c:pt idx="120">
                  <c:v>0.42492969609168296</c:v>
                </c:pt>
                <c:pt idx="121">
                  <c:v>0.42474432555859754</c:v>
                </c:pt>
                <c:pt idx="122">
                  <c:v>0.4245618164924696</c:v>
                </c:pt>
                <c:pt idx="123">
                  <c:v>0.42438210313972735</c:v>
                </c:pt>
                <c:pt idx="124">
                  <c:v>0.42420512174621738</c:v>
                </c:pt>
                <c:pt idx="125">
                  <c:v>0.42403081048177471</c:v>
                </c:pt>
                <c:pt idx="126">
                  <c:v>0.42385910936818283</c:v>
                </c:pt>
                <c:pt idx="127">
                  <c:v>0.42368996021035044</c:v>
                </c:pt>
                <c:pt idx="128">
                  <c:v>0.42352330653052916</c:v>
                </c:pt>
                <c:pt idx="129">
                  <c:v>0.42335909350542622</c:v>
                </c:pt>
                <c:pt idx="130">
                  <c:v>0.4231972679060596</c:v>
                </c:pt>
                <c:pt idx="131">
                  <c:v>0.42303777804021769</c:v>
                </c:pt>
                <c:pt idx="132">
                  <c:v>0.42288057369739429</c:v>
                </c:pt>
                <c:pt idx="133">
                  <c:v>0.42272560609607246</c:v>
                </c:pt>
                <c:pt idx="134">
                  <c:v>0.4225728278332459</c:v>
                </c:pt>
                <c:pt idx="135">
                  <c:v>0.42242219283606364</c:v>
                </c:pt>
                <c:pt idx="136">
                  <c:v>0.42227365631549663</c:v>
                </c:pt>
                <c:pt idx="137">
                  <c:v>0.42212717472192673</c:v>
                </c:pt>
                <c:pt idx="138">
                  <c:v>0.42198270570256835</c:v>
                </c:pt>
                <c:pt idx="139">
                  <c:v>0.42184020806063161</c:v>
                </c:pt>
                <c:pt idx="140">
                  <c:v>0.42169964171614915</c:v>
                </c:pt>
                <c:pt idx="141">
                  <c:v>0.42156096766838125</c:v>
                </c:pt>
                <c:pt idx="142">
                  <c:v>0.42142414795973304</c:v>
                </c:pt>
                <c:pt idx="143">
                  <c:v>0.42128914564110742</c:v>
                </c:pt>
                <c:pt idx="144">
                  <c:v>0.42115592473863284</c:v>
                </c:pt>
                <c:pt idx="145">
                  <c:v>0.42102445022169488</c:v>
                </c:pt>
                <c:pt idx="146">
                  <c:v>0.42089468797222296</c:v>
                </c:pt>
                <c:pt idx="147">
                  <c:v>0.42076660475516459</c:v>
                </c:pt>
                <c:pt idx="148">
                  <c:v>0.42064016819010197</c:v>
                </c:pt>
                <c:pt idx="149">
                  <c:v>0.42051534672395441</c:v>
                </c:pt>
                <c:pt idx="150">
                  <c:v>0.42039210960472162</c:v>
                </c:pt>
                <c:pt idx="151">
                  <c:v>0.42027042685622018</c:v>
                </c:pt>
                <c:pt idx="152">
                  <c:v>0.42015026925376975</c:v>
                </c:pt>
                <c:pt idx="153">
                  <c:v>0.42003160830078967</c:v>
                </c:pt>
                <c:pt idx="154">
                  <c:v>0.41991441620626224</c:v>
                </c:pt>
                <c:pt idx="155">
                  <c:v>0.41979866586303016</c:v>
                </c:pt>
                <c:pt idx="156">
                  <c:v>0.41968433082688916</c:v>
                </c:pt>
                <c:pt idx="157">
                  <c:v>0.41957138529644311</c:v>
                </c:pt>
                <c:pt idx="158">
                  <c:v>0.4194598040936891</c:v>
                </c:pt>
                <c:pt idx="159">
                  <c:v>0.41934956264530365</c:v>
                </c:pt>
                <c:pt idx="160">
                  <c:v>0.41924063696459524</c:v>
                </c:pt>
                <c:pt idx="161">
                  <c:v>0.41913300363410433</c:v>
                </c:pt>
                <c:pt idx="162">
                  <c:v>0.41902663978881494</c:v>
                </c:pt>
                <c:pt idx="163">
                  <c:v>0.41892152309995989</c:v>
                </c:pt>
                <c:pt idx="164">
                  <c:v>0.41881763175938946</c:v>
                </c:pt>
                <c:pt idx="165">
                  <c:v>0.41871494446448709</c:v>
                </c:pt>
                <c:pt idx="166">
                  <c:v>0.4186134404036036</c:v>
                </c:pt>
                <c:pt idx="167">
                  <c:v>0.41851309924199409</c:v>
                </c:pt>
                <c:pt idx="168">
                  <c:v>0.41841390110823418</c:v>
                </c:pt>
                <c:pt idx="169">
                  <c:v>0.41831582658109867</c:v>
                </c:pt>
                <c:pt idx="170">
                  <c:v>0.41821885667688408</c:v>
                </c:pt>
                <c:pt idx="171">
                  <c:v>0.41812297283715572</c:v>
                </c:pt>
                <c:pt idx="172">
                  <c:v>0.41802815691690509</c:v>
                </c:pt>
                <c:pt idx="173">
                  <c:v>0.41793439117310216</c:v>
                </c:pt>
                <c:pt idx="174">
                  <c:v>0.41784165825362263</c:v>
                </c:pt>
                <c:pt idx="175">
                  <c:v>0.41774994118654274</c:v>
                </c:pt>
                <c:pt idx="176">
                  <c:v>0.41765922336978267</c:v>
                </c:pt>
                <c:pt idx="177">
                  <c:v>0.41756948856108511</c:v>
                </c:pt>
                <c:pt idx="178">
                  <c:v>0.41748072086831944</c:v>
                </c:pt>
                <c:pt idx="179">
                  <c:v>0.41739290474009982</c:v>
                </c:pt>
                <c:pt idx="180">
                  <c:v>0.41730602495669789</c:v>
                </c:pt>
                <c:pt idx="181">
                  <c:v>0.41722006662125022</c:v>
                </c:pt>
                <c:pt idx="182">
                  <c:v>0.41713501515124096</c:v>
                </c:pt>
                <c:pt idx="183">
                  <c:v>0.41705085627025384</c:v>
                </c:pt>
                <c:pt idx="184">
                  <c:v>0.41696757599998135</c:v>
                </c:pt>
                <c:pt idx="185">
                  <c:v>0.41688516065248604</c:v>
                </c:pt>
                <c:pt idx="186">
                  <c:v>0.41680359682269652</c:v>
                </c:pt>
                <c:pt idx="187">
                  <c:v>0.41672287138113973</c:v>
                </c:pt>
                <c:pt idx="188">
                  <c:v>0.41664297146689444</c:v>
                </c:pt>
                <c:pt idx="189">
                  <c:v>0.41656388448075876</c:v>
                </c:pt>
                <c:pt idx="190">
                  <c:v>0.41648559807862573</c:v>
                </c:pt>
                <c:pt idx="191">
                  <c:v>0.41640810016506191</c:v>
                </c:pt>
                <c:pt idx="192">
                  <c:v>0.41633137888707394</c:v>
                </c:pt>
                <c:pt idx="193">
                  <c:v>0.41625542262806636</c:v>
                </c:pt>
                <c:pt idx="194">
                  <c:v>0.41618022000197585</c:v>
                </c:pt>
                <c:pt idx="195">
                  <c:v>0.41610575984758091</c:v>
                </c:pt>
                <c:pt idx="196">
                  <c:v>0.41603203122297983</c:v>
                </c:pt>
                <c:pt idx="197">
                  <c:v>0.41595902340022917</c:v>
                </c:pt>
                <c:pt idx="198">
                  <c:v>0.4158867258601382</c:v>
                </c:pt>
                <c:pt idx="199">
                  <c:v>0.41581512828721867</c:v>
                </c:pt>
                <c:pt idx="200">
                  <c:v>0.41574422056477478</c:v>
                </c:pt>
                <c:pt idx="201">
                  <c:v>0.41567399277013861</c:v>
                </c:pt>
                <c:pt idx="202">
                  <c:v>0.41560443517004042</c:v>
                </c:pt>
                <c:pt idx="203">
                  <c:v>0.415535538216111</c:v>
                </c:pt>
                <c:pt idx="204">
                  <c:v>0.41546729254051162</c:v>
                </c:pt>
                <c:pt idx="205">
                  <c:v>0.41539968895168788</c:v>
                </c:pt>
                <c:pt idx="206">
                  <c:v>0.41533271843024111</c:v>
                </c:pt>
                <c:pt idx="207">
                  <c:v>0.41526637212491802</c:v>
                </c:pt>
                <c:pt idx="208">
                  <c:v>0.41520064134870993</c:v>
                </c:pt>
                <c:pt idx="209">
                  <c:v>0.41513551757505962</c:v>
                </c:pt>
                <c:pt idx="210">
                  <c:v>0.41507099243417533</c:v>
                </c:pt>
                <c:pt idx="211">
                  <c:v>0.41500705770944346</c:v>
                </c:pt>
                <c:pt idx="212">
                  <c:v>0.41494370533393976</c:v>
                </c:pt>
                <c:pt idx="213">
                  <c:v>0.41488092738703775</c:v>
                </c:pt>
                <c:pt idx="214">
                  <c:v>0.41481871609110488</c:v>
                </c:pt>
                <c:pt idx="215">
                  <c:v>0.41475706380829169</c:v>
                </c:pt>
                <c:pt idx="216">
                  <c:v>0.41469596303740486</c:v>
                </c:pt>
                <c:pt idx="217">
                  <c:v>0.41463540641086416</c:v>
                </c:pt>
                <c:pt idx="218">
                  <c:v>0.41457538669174154</c:v>
                </c:pt>
                <c:pt idx="219">
                  <c:v>0.41451589677087641</c:v>
                </c:pt>
                <c:pt idx="220">
                  <c:v>0.41445692966406944</c:v>
                </c:pt>
                <c:pt idx="221">
                  <c:v>0.41439847850934841</c:v>
                </c:pt>
                <c:pt idx="222">
                  <c:v>0.41434053656430614</c:v>
                </c:pt>
                <c:pt idx="223">
                  <c:v>0.4142830972035072</c:v>
                </c:pt>
                <c:pt idx="224">
                  <c:v>0.41422615391596229</c:v>
                </c:pt>
                <c:pt idx="225">
                  <c:v>0.41416970030266842</c:v>
                </c:pt>
                <c:pt idx="226">
                  <c:v>0.41411373007421082</c:v>
                </c:pt>
                <c:pt idx="227">
                  <c:v>0.41405823704842626</c:v>
                </c:pt>
                <c:pt idx="228">
                  <c:v>0.4140032151481281</c:v>
                </c:pt>
                <c:pt idx="229">
                  <c:v>0.41394865839888617</c:v>
                </c:pt>
                <c:pt idx="230">
                  <c:v>0.41389456092686416</c:v>
                </c:pt>
                <c:pt idx="231">
                  <c:v>0.41384091695671288</c:v>
                </c:pt>
                <c:pt idx="232">
                  <c:v>0.41378772080951209</c:v>
                </c:pt>
                <c:pt idx="233">
                  <c:v>0.41373496690076794</c:v>
                </c:pt>
                <c:pt idx="234">
                  <c:v>0.41368264973845892</c:v>
                </c:pt>
                <c:pt idx="235">
                  <c:v>0.41363076392112741</c:v>
                </c:pt>
                <c:pt idx="236">
                  <c:v>0.41357930413602262</c:v>
                </c:pt>
                <c:pt idx="237">
                  <c:v>0.41352826515728724</c:v>
                </c:pt>
                <c:pt idx="238">
                  <c:v>0.41347764184418556</c:v>
                </c:pt>
                <c:pt idx="239">
                  <c:v>0.41342742913938069</c:v>
                </c:pt>
                <c:pt idx="240">
                  <c:v>0.41337762206724693</c:v>
                </c:pt>
                <c:pt idx="241">
                  <c:v>0.41332821573222867</c:v>
                </c:pt>
                <c:pt idx="242">
                  <c:v>0.41327920531723505</c:v>
                </c:pt>
                <c:pt idx="243">
                  <c:v>0.41323058608207375</c:v>
                </c:pt>
                <c:pt idx="244">
                  <c:v>0.41318235336192322</c:v>
                </c:pt>
                <c:pt idx="245">
                  <c:v>0.41313450256584083</c:v>
                </c:pt>
                <c:pt idx="246">
                  <c:v>0.41308702917530515</c:v>
                </c:pt>
                <c:pt idx="247">
                  <c:v>0.41303992874279416</c:v>
                </c:pt>
                <c:pt idx="248">
                  <c:v>0.41299319689039626</c:v>
                </c:pt>
                <c:pt idx="249">
                  <c:v>0.41294682930845295</c:v>
                </c:pt>
                <c:pt idx="250">
                  <c:v>0.4129008217542347</c:v>
                </c:pt>
                <c:pt idx="251">
                  <c:v>0.41285517005064587</c:v>
                </c:pt>
                <c:pt idx="252">
                  <c:v>0.41280987008496073</c:v>
                </c:pt>
                <c:pt idx="253">
                  <c:v>0.41276491780758917</c:v>
                </c:pt>
                <c:pt idx="254">
                  <c:v>0.41272030923086833</c:v>
                </c:pt>
                <c:pt idx="255">
                  <c:v>0.41267604042788375</c:v>
                </c:pt>
                <c:pt idx="256">
                  <c:v>0.41263210753131796</c:v>
                </c:pt>
                <c:pt idx="257">
                  <c:v>0.41258850673232261</c:v>
                </c:pt>
                <c:pt idx="258">
                  <c:v>0.4125452342794188</c:v>
                </c:pt>
                <c:pt idx="259">
                  <c:v>0.41250228647742004</c:v>
                </c:pt>
                <c:pt idx="260">
                  <c:v>0.41245965968638121</c:v>
                </c:pt>
                <c:pt idx="261">
                  <c:v>0.41241735032056981</c:v>
                </c:pt>
                <c:pt idx="262">
                  <c:v>0.41237535484745969</c:v>
                </c:pt>
                <c:pt idx="263">
                  <c:v>0.4123336697867489</c:v>
                </c:pt>
                <c:pt idx="264">
                  <c:v>0.41229229170939785</c:v>
                </c:pt>
                <c:pt idx="265">
                  <c:v>0.41225121723668801</c:v>
                </c:pt>
                <c:pt idx="266">
                  <c:v>0.41221044303930343</c:v>
                </c:pt>
                <c:pt idx="267">
                  <c:v>0.41216996583643029</c:v>
                </c:pt>
                <c:pt idx="268">
                  <c:v>0.41212978239487719</c:v>
                </c:pt>
                <c:pt idx="269">
                  <c:v>0.41208988952821435</c:v>
                </c:pt>
                <c:pt idx="270">
                  <c:v>0.41205028409593047</c:v>
                </c:pt>
                <c:pt idx="271">
                  <c:v>0.41201096300260986</c:v>
                </c:pt>
                <c:pt idx="272">
                  <c:v>0.41197192319712461</c:v>
                </c:pt>
                <c:pt idx="273">
                  <c:v>0.41193316167184568</c:v>
                </c:pt>
                <c:pt idx="274">
                  <c:v>0.41189467546187108</c:v>
                </c:pt>
                <c:pt idx="275">
                  <c:v>0.41185646164426903</c:v>
                </c:pt>
                <c:pt idx="276">
                  <c:v>0.4118185173373381</c:v>
                </c:pt>
                <c:pt idx="277">
                  <c:v>0.41178083969988388</c:v>
                </c:pt>
                <c:pt idx="278">
                  <c:v>0.4117434259305075</c:v>
                </c:pt>
                <c:pt idx="279">
                  <c:v>0.411706273266913</c:v>
                </c:pt>
                <c:pt idx="280">
                  <c:v>0.4116693789852276</c:v>
                </c:pt>
                <c:pt idx="281">
                  <c:v>0.41163274039933417</c:v>
                </c:pt>
                <c:pt idx="282">
                  <c:v>0.41159635486022172</c:v>
                </c:pt>
                <c:pt idx="283">
                  <c:v>0.41156021975534418</c:v>
                </c:pt>
                <c:pt idx="284">
                  <c:v>0.41152433250799769</c:v>
                </c:pt>
                <c:pt idx="285">
                  <c:v>0.41148869057670656</c:v>
                </c:pt>
                <c:pt idx="286">
                  <c:v>0.41145329145462295</c:v>
                </c:pt>
                <c:pt idx="287">
                  <c:v>0.41141813266894056</c:v>
                </c:pt>
                <c:pt idx="288">
                  <c:v>0.41138321178031767</c:v>
                </c:pt>
                <c:pt idx="289">
                  <c:v>0.41134852638231234</c:v>
                </c:pt>
                <c:pt idx="290">
                  <c:v>0.41131407410083176</c:v>
                </c:pt>
                <c:pt idx="291">
                  <c:v>0.41127985259358835</c:v>
                </c:pt>
                <c:pt idx="292">
                  <c:v>0.41124585954956994</c:v>
                </c:pt>
                <c:pt idx="293">
                  <c:v>0.41121209268851933</c:v>
                </c:pt>
                <c:pt idx="294">
                  <c:v>0.41117854976042423</c:v>
                </c:pt>
                <c:pt idx="295">
                  <c:v>0.41114522854501778</c:v>
                </c:pt>
                <c:pt idx="296">
                  <c:v>0.41111212685128828</c:v>
                </c:pt>
                <c:pt idx="297">
                  <c:v>0.41107924251699879</c:v>
                </c:pt>
                <c:pt idx="298">
                  <c:v>0.41104657340821704</c:v>
                </c:pt>
                <c:pt idx="299">
                  <c:v>0.41101411741885263</c:v>
                </c:pt>
                <c:pt idx="300">
                  <c:v>0.41098187247020568</c:v>
                </c:pt>
                <c:pt idx="301">
                  <c:v>0.41094983651052253</c:v>
                </c:pt>
                <c:pt idx="302">
                  <c:v>0.4109180075145592</c:v>
                </c:pt>
                <c:pt idx="303">
                  <c:v>0.41088638348315709</c:v>
                </c:pt>
                <c:pt idx="304">
                  <c:v>0.41085496244282271</c:v>
                </c:pt>
                <c:pt idx="305">
                  <c:v>0.41082374244531683</c:v>
                </c:pt>
                <c:pt idx="306">
                  <c:v>0.41079272156725322</c:v>
                </c:pt>
                <c:pt idx="307">
                  <c:v>0.41076189790970208</c:v>
                </c:pt>
                <c:pt idx="308">
                  <c:v>0.41073126959780426</c:v>
                </c:pt>
                <c:pt idx="309">
                  <c:v>0.4107008347803891</c:v>
                </c:pt>
                <c:pt idx="310">
                  <c:v>0.41067059162960273</c:v>
                </c:pt>
                <c:pt idx="311">
                  <c:v>0.41064053834054248</c:v>
                </c:pt>
                <c:pt idx="312">
                  <c:v>0.4106106731308965</c:v>
                </c:pt>
                <c:pt idx="313">
                  <c:v>0.41058099424059191</c:v>
                </c:pt>
                <c:pt idx="314">
                  <c:v>0.41055149993144979</c:v>
                </c:pt>
                <c:pt idx="315">
                  <c:v>0.41052218848684441</c:v>
                </c:pt>
                <c:pt idx="316">
                  <c:v>0.41049305821137161</c:v>
                </c:pt>
                <c:pt idx="317">
                  <c:v>0.41046410743052109</c:v>
                </c:pt>
                <c:pt idx="318">
                  <c:v>0.41043533449035519</c:v>
                </c:pt>
                <c:pt idx="319">
                  <c:v>0.4104067377571945</c:v>
                </c:pt>
                <c:pt idx="320">
                  <c:v>0.41037831561730953</c:v>
                </c:pt>
                <c:pt idx="321">
                  <c:v>0.41035006647661421</c:v>
                </c:pt>
                <c:pt idx="322">
                  <c:v>0.41032198876037151</c:v>
                </c:pt>
                <c:pt idx="323">
                  <c:v>0.41029408091289776</c:v>
                </c:pt>
                <c:pt idx="324">
                  <c:v>0.41026634139727725</c:v>
                </c:pt>
                <c:pt idx="325">
                  <c:v>0.41023876869507947</c:v>
                </c:pt>
                <c:pt idx="326">
                  <c:v>0.4102113613060816</c:v>
                </c:pt>
                <c:pt idx="327">
                  <c:v>0.41018411774799679</c:v>
                </c:pt>
                <c:pt idx="328">
                  <c:v>0.41015703655620772</c:v>
                </c:pt>
                <c:pt idx="329">
                  <c:v>0.41013011628350193</c:v>
                </c:pt>
                <c:pt idx="330">
                  <c:v>0.41010335549981602</c:v>
                </c:pt>
                <c:pt idx="331">
                  <c:v>0.4100767527919823</c:v>
                </c:pt>
                <c:pt idx="332">
                  <c:v>0.41005030676347831</c:v>
                </c:pt>
                <c:pt idx="333">
                  <c:v>0.41002401603418448</c:v>
                </c:pt>
                <c:pt idx="334">
                  <c:v>0.40999787924014286</c:v>
                </c:pt>
                <c:pt idx="335">
                  <c:v>0.40997189503332154</c:v>
                </c:pt>
                <c:pt idx="336">
                  <c:v>0.40994606208138262</c:v>
                </c:pt>
                <c:pt idx="337">
                  <c:v>0.40992037906745493</c:v>
                </c:pt>
                <c:pt idx="338">
                  <c:v>0.40989484468991</c:v>
                </c:pt>
                <c:pt idx="339">
                  <c:v>0.40986945766214178</c:v>
                </c:pt>
                <c:pt idx="340">
                  <c:v>0.40984421671235172</c:v>
                </c:pt>
                <c:pt idx="341">
                  <c:v>0.40981912058333481</c:v>
                </c:pt>
                <c:pt idx="342">
                  <c:v>0.40979416803227176</c:v>
                </c:pt>
                <c:pt idx="343">
                  <c:v>0.40976935783052404</c:v>
                </c:pt>
                <c:pt idx="344">
                  <c:v>0.40974468876343151</c:v>
                </c:pt>
                <c:pt idx="345">
                  <c:v>0.4097201596301141</c:v>
                </c:pt>
                <c:pt idx="346">
                  <c:v>0.40969576924327833</c:v>
                </c:pt>
                <c:pt idx="347">
                  <c:v>0.40967151642902411</c:v>
                </c:pt>
                <c:pt idx="348">
                  <c:v>0.40964740002665667</c:v>
                </c:pt>
                <c:pt idx="349">
                  <c:v>0.4096234188885024</c:v>
                </c:pt>
                <c:pt idx="350">
                  <c:v>0.40959957187972595</c:v>
                </c:pt>
                <c:pt idx="351">
                  <c:v>0.40957585787815132</c:v>
                </c:pt>
                <c:pt idx="352">
                  <c:v>0.40955227577408582</c:v>
                </c:pt>
                <c:pt idx="353">
                  <c:v>0.4095288244701466</c:v>
                </c:pt>
                <c:pt idx="354">
                  <c:v>0.40950550288109178</c:v>
                </c:pt>
                <c:pt idx="355">
                  <c:v>0.40948230993365176</c:v>
                </c:pt>
                <c:pt idx="356">
                  <c:v>0.40945924456636407</c:v>
                </c:pt>
                <c:pt idx="357">
                  <c:v>0.40943630572941359</c:v>
                </c:pt>
                <c:pt idx="358">
                  <c:v>0.40941349238447089</c:v>
                </c:pt>
                <c:pt idx="359">
                  <c:v>0.40939080350453727</c:v>
                </c:pt>
                <c:pt idx="360">
                  <c:v>0.40936823807378919</c:v>
                </c:pt>
                <c:pt idx="361">
                  <c:v>0.40934579508742819</c:v>
                </c:pt>
                <c:pt idx="362">
                  <c:v>0.40932347355153098</c:v>
                </c:pt>
                <c:pt idx="363">
                  <c:v>0.40930127248290216</c:v>
                </c:pt>
                <c:pt idx="364">
                  <c:v>0.40927919090893039</c:v>
                </c:pt>
                <c:pt idx="365">
                  <c:v>0.40925722786744745</c:v>
                </c:pt>
                <c:pt idx="366">
                  <c:v>0.40923538240658575</c:v>
                </c:pt>
                <c:pt idx="367">
                  <c:v>0.40921365358464346</c:v>
                </c:pt>
                <c:pt idx="368">
                  <c:v>0.40919204046994873</c:v>
                </c:pt>
                <c:pt idx="369">
                  <c:v>0.40917054214072435</c:v>
                </c:pt>
                <c:pt idx="370">
                  <c:v>0.40914915768495952</c:v>
                </c:pt>
                <c:pt idx="371">
                  <c:v>0.40912788620027984</c:v>
                </c:pt>
                <c:pt idx="372">
                  <c:v>0.4091067267938191</c:v>
                </c:pt>
                <c:pt idx="373">
                  <c:v>0.40908567858209643</c:v>
                </c:pt>
                <c:pt idx="374">
                  <c:v>0.40906474069089194</c:v>
                </c:pt>
                <c:pt idx="375">
                  <c:v>0.40904391225512604</c:v>
                </c:pt>
                <c:pt idx="376">
                  <c:v>0.40902319241874052</c:v>
                </c:pt>
                <c:pt idx="377">
                  <c:v>0.40900258033458203</c:v>
                </c:pt>
                <c:pt idx="378">
                  <c:v>0.40898207516428309</c:v>
                </c:pt>
                <c:pt idx="379">
                  <c:v>0.40896167607815337</c:v>
                </c:pt>
                <c:pt idx="380">
                  <c:v>0.40894138225506527</c:v>
                </c:pt>
                <c:pt idx="381">
                  <c:v>0.40892119288234208</c:v>
                </c:pt>
                <c:pt idx="382">
                  <c:v>0.4089011071556532</c:v>
                </c:pt>
                <c:pt idx="383">
                  <c:v>0.40888112427890477</c:v>
                </c:pt>
                <c:pt idx="384">
                  <c:v>0.40886124346413499</c:v>
                </c:pt>
                <c:pt idx="385">
                  <c:v>0.40884146393141019</c:v>
                </c:pt>
                <c:pt idx="386">
                  <c:v>0.40882178490872434</c:v>
                </c:pt>
                <c:pt idx="387">
                  <c:v>0.40880220563189762</c:v>
                </c:pt>
                <c:pt idx="388">
                  <c:v>0.40878272534447591</c:v>
                </c:pt>
                <c:pt idx="389">
                  <c:v>0.40876334329763642</c:v>
                </c:pt>
                <c:pt idx="390">
                  <c:v>0.40874405875009023</c:v>
                </c:pt>
                <c:pt idx="391">
                  <c:v>0.40872487096798671</c:v>
                </c:pt>
                <c:pt idx="392">
                  <c:v>0.40870577922482254</c:v>
                </c:pt>
                <c:pt idx="393">
                  <c:v>0.40868678280134896</c:v>
                </c:pt>
                <c:pt idx="394">
                  <c:v>0.40866788098548024</c:v>
                </c:pt>
                <c:pt idx="395">
                  <c:v>0.4086490730722071</c:v>
                </c:pt>
                <c:pt idx="396">
                  <c:v>0.40863035836350792</c:v>
                </c:pt>
                <c:pt idx="397">
                  <c:v>0.40861173616826141</c:v>
                </c:pt>
                <c:pt idx="398">
                  <c:v>0.40859320580216363</c:v>
                </c:pt>
                <c:pt idx="399">
                  <c:v>0.40857476658764191</c:v>
                </c:pt>
                <c:pt idx="400">
                  <c:v>0.40855641785377395</c:v>
                </c:pt>
                <c:pt idx="401">
                  <c:v>0.40853815893620571</c:v>
                </c:pt>
                <c:pt idx="402">
                  <c:v>0.40851998917707122</c:v>
                </c:pt>
                <c:pt idx="403">
                  <c:v>0.40850190792491403</c:v>
                </c:pt>
                <c:pt idx="404">
                  <c:v>0.40848391453460831</c:v>
                </c:pt>
                <c:pt idx="405">
                  <c:v>0.40846600836728408</c:v>
                </c:pt>
                <c:pt idx="406">
                  <c:v>0.40844818879024847</c:v>
                </c:pt>
                <c:pt idx="407">
                  <c:v>0.40843045517691512</c:v>
                </c:pt>
                <c:pt idx="408">
                  <c:v>0.40841280690672721</c:v>
                </c:pt>
                <c:pt idx="409">
                  <c:v>0.40839524336508737</c:v>
                </c:pt>
                <c:pt idx="410">
                  <c:v>0.40837776394328473</c:v>
                </c:pt>
                <c:pt idx="411">
                  <c:v>0.40836036803842579</c:v>
                </c:pt>
                <c:pt idx="412">
                  <c:v>0.40834305505336499</c:v>
                </c:pt>
                <c:pt idx="413">
                  <c:v>0.40832582439663534</c:v>
                </c:pt>
                <c:pt idx="414">
                  <c:v>0.40830867548238303</c:v>
                </c:pt>
                <c:pt idx="415">
                  <c:v>0.40829160773029816</c:v>
                </c:pt>
                <c:pt idx="416">
                  <c:v>0.40827462056555186</c:v>
                </c:pt>
                <c:pt idx="417">
                  <c:v>0.40825771341873074</c:v>
                </c:pt>
                <c:pt idx="418">
                  <c:v>0.40824088572577322</c:v>
                </c:pt>
                <c:pt idx="419">
                  <c:v>0.40822413692790682</c:v>
                </c:pt>
                <c:pt idx="420">
                  <c:v>0.4082074664715869</c:v>
                </c:pt>
                <c:pt idx="421">
                  <c:v>0.408190873808434</c:v>
                </c:pt>
                <c:pt idx="422">
                  <c:v>0.4081743583951758</c:v>
                </c:pt>
                <c:pt idx="423">
                  <c:v>0.40815791969358739</c:v>
                </c:pt>
                <c:pt idx="424">
                  <c:v>0.40814155717043077</c:v>
                </c:pt>
                <c:pt idx="425">
                  <c:v>0.40812527029739987</c:v>
                </c:pt>
                <c:pt idx="426">
                  <c:v>0.4081090585510625</c:v>
                </c:pt>
                <c:pt idx="427">
                  <c:v>0.40809292141280373</c:v>
                </c:pt>
                <c:pt idx="428">
                  <c:v>0.40807685836877161</c:v>
                </c:pt>
                <c:pt idx="429">
                  <c:v>0.40806086890982196</c:v>
                </c:pt>
                <c:pt idx="430">
                  <c:v>0.40804495253146533</c:v>
                </c:pt>
                <c:pt idx="431">
                  <c:v>0.4080291087338126</c:v>
                </c:pt>
                <c:pt idx="432">
                  <c:v>0.40801333702152398</c:v>
                </c:pt>
                <c:pt idx="433">
                  <c:v>0.4079976369037569</c:v>
                </c:pt>
                <c:pt idx="434">
                  <c:v>0.40798200789411443</c:v>
                </c:pt>
                <c:pt idx="435">
                  <c:v>0.40796644951059657</c:v>
                </c:pt>
                <c:pt idx="436">
                  <c:v>0.40795096127554942</c:v>
                </c:pt>
                <c:pt idx="437">
                  <c:v>0.40793554271561605</c:v>
                </c:pt>
                <c:pt idx="438">
                  <c:v>0.40792019336168983</c:v>
                </c:pt>
                <c:pt idx="439">
                  <c:v>0.40790491274886576</c:v>
                </c:pt>
                <c:pt idx="440">
                  <c:v>0.40788970041639305</c:v>
                </c:pt>
                <c:pt idx="441">
                  <c:v>0.40787455590762978</c:v>
                </c:pt>
                <c:pt idx="442">
                  <c:v>0.40785947876999773</c:v>
                </c:pt>
                <c:pt idx="443">
                  <c:v>0.40784446855493472</c:v>
                </c:pt>
                <c:pt idx="444">
                  <c:v>0.40782952481785328</c:v>
                </c:pt>
                <c:pt idx="445">
                  <c:v>0.4078146471180949</c:v>
                </c:pt>
                <c:pt idx="446">
                  <c:v>0.40779983501888672</c:v>
                </c:pt>
                <c:pt idx="447">
                  <c:v>0.40778508808729974</c:v>
                </c:pt>
                <c:pt idx="448">
                  <c:v>0.4077704058942061</c:v>
                </c:pt>
                <c:pt idx="449">
                  <c:v>0.40775578801423706</c:v>
                </c:pt>
                <c:pt idx="450">
                  <c:v>0.40774123402574214</c:v>
                </c:pt>
                <c:pt idx="451">
                  <c:v>0.40772674351074967</c:v>
                </c:pt>
                <c:pt idx="452">
                  <c:v>0.40771231605492497</c:v>
                </c:pt>
                <c:pt idx="453">
                  <c:v>0.40769795124753205</c:v>
                </c:pt>
                <c:pt idx="454">
                  <c:v>0.40768364868139451</c:v>
                </c:pt>
                <c:pt idx="455">
                  <c:v>0.40766940795285656</c:v>
                </c:pt>
                <c:pt idx="456">
                  <c:v>0.40765522866174542</c:v>
                </c:pt>
                <c:pt idx="457">
                  <c:v>0.40764111041133411</c:v>
                </c:pt>
                <c:pt idx="458">
                  <c:v>0.40762705280830369</c:v>
                </c:pt>
                <c:pt idx="459">
                  <c:v>0.40761305546270687</c:v>
                </c:pt>
                <c:pt idx="460">
                  <c:v>0.40759911798793369</c:v>
                </c:pt>
                <c:pt idx="461">
                  <c:v>0.40758524000067253</c:v>
                </c:pt>
                <c:pt idx="462">
                  <c:v>0.40757142112087841</c:v>
                </c:pt>
                <c:pt idx="463">
                  <c:v>0.40755766097173629</c:v>
                </c:pt>
                <c:pt idx="464">
                  <c:v>0.4075439591796266</c:v>
                </c:pt>
                <c:pt idx="465">
                  <c:v>0.40753031537409368</c:v>
                </c:pt>
                <c:pt idx="466">
                  <c:v>0.40751672918780912</c:v>
                </c:pt>
                <c:pt idx="467">
                  <c:v>0.40750320025654241</c:v>
                </c:pt>
                <c:pt idx="468">
                  <c:v>0.40748972821912488</c:v>
                </c:pt>
                <c:pt idx="469">
                  <c:v>0.40747631271742024</c:v>
                </c:pt>
                <c:pt idx="470">
                  <c:v>0.40746295339629091</c:v>
                </c:pt>
                <c:pt idx="471">
                  <c:v>0.40744964990356858</c:v>
                </c:pt>
                <c:pt idx="472">
                  <c:v>0.4074364018900215</c:v>
                </c:pt>
                <c:pt idx="473">
                  <c:v>0.40742320900932483</c:v>
                </c:pt>
                <c:pt idx="474">
                  <c:v>0.40741007091803083</c:v>
                </c:pt>
                <c:pt idx="475">
                  <c:v>0.40739698727553741</c:v>
                </c:pt>
                <c:pt idx="476">
                  <c:v>0.40738395774406133</c:v>
                </c:pt>
                <c:pt idx="477">
                  <c:v>0.40737098198860611</c:v>
                </c:pt>
                <c:pt idx="478">
                  <c:v>0.40735805967693572</c:v>
                </c:pt>
                <c:pt idx="479">
                  <c:v>0.40734519047954543</c:v>
                </c:pt>
                <c:pt idx="480">
                  <c:v>0.40733237406963285</c:v>
                </c:pt>
                <c:pt idx="481">
                  <c:v>0.40731961012307205</c:v>
                </c:pt>
                <c:pt idx="482">
                  <c:v>0.40730689831838451</c:v>
                </c:pt>
                <c:pt idx="483">
                  <c:v>0.40729423833671363</c:v>
                </c:pt>
                <c:pt idx="484">
                  <c:v>0.40728162986179695</c:v>
                </c:pt>
                <c:pt idx="485">
                  <c:v>0.40726907257994061</c:v>
                </c:pt>
                <c:pt idx="486">
                  <c:v>0.40725656617999173</c:v>
                </c:pt>
                <c:pt idx="487">
                  <c:v>0.40724411035331587</c:v>
                </c:pt>
                <c:pt idx="488">
                  <c:v>0.40723170479376813</c:v>
                </c:pt>
                <c:pt idx="489">
                  <c:v>0.40721934919767</c:v>
                </c:pt>
                <c:pt idx="490">
                  <c:v>0.4072070432637851</c:v>
                </c:pt>
                <c:pt idx="491">
                  <c:v>0.40719478669329234</c:v>
                </c:pt>
                <c:pt idx="492">
                  <c:v>0.40718257918976442</c:v>
                </c:pt>
                <c:pt idx="493">
                  <c:v>0.40717042045914176</c:v>
                </c:pt>
                <c:pt idx="494">
                  <c:v>0.40715831020971116</c:v>
                </c:pt>
                <c:pt idx="495">
                  <c:v>0.40714624815207945</c:v>
                </c:pt>
                <c:pt idx="496">
                  <c:v>0.40713423399915361</c:v>
                </c:pt>
                <c:pt idx="497">
                  <c:v>0.40712226746611568</c:v>
                </c:pt>
                <c:pt idx="498">
                  <c:v>0.40711034827040116</c:v>
                </c:pt>
                <c:pt idx="499">
                  <c:v>0.40709847613167716</c:v>
                </c:pt>
                <c:pt idx="500">
                  <c:v>0.40708665077181971</c:v>
                </c:pt>
                <c:pt idx="501">
                  <c:v>0.40707487191489222</c:v>
                </c:pt>
                <c:pt idx="502">
                  <c:v>0.40706313928712368</c:v>
                </c:pt>
                <c:pt idx="503">
                  <c:v>0.40705145261688913</c:v>
                </c:pt>
                <c:pt idx="504">
                  <c:v>0.40703981163468606</c:v>
                </c:pt>
                <c:pt idx="505">
                  <c:v>0.40702821607311568</c:v>
                </c:pt>
                <c:pt idx="506">
                  <c:v>0.40701666566686223</c:v>
                </c:pt>
                <c:pt idx="507">
                  <c:v>0.40700516015267096</c:v>
                </c:pt>
                <c:pt idx="508">
                  <c:v>0.40699369926933104</c:v>
                </c:pt>
                <c:pt idx="509">
                  <c:v>0.4069822827576538</c:v>
                </c:pt>
                <c:pt idx="510">
                  <c:v>0.40697091036045308</c:v>
                </c:pt>
                <c:pt idx="511">
                  <c:v>0.40695958182252723</c:v>
                </c:pt>
                <c:pt idx="512">
                  <c:v>0.40694829689063849</c:v>
                </c:pt>
                <c:pt idx="513">
                  <c:v>0.40693705531349578</c:v>
                </c:pt>
                <c:pt idx="514">
                  <c:v>0.40692585684173443</c:v>
                </c:pt>
                <c:pt idx="515">
                  <c:v>0.40691470122789919</c:v>
                </c:pt>
                <c:pt idx="516">
                  <c:v>0.4069035882264247</c:v>
                </c:pt>
                <c:pt idx="517">
                  <c:v>0.40689251759361844</c:v>
                </c:pt>
                <c:pt idx="518">
                  <c:v>0.4068814890876421</c:v>
                </c:pt>
                <c:pt idx="519">
                  <c:v>0.40687050246849465</c:v>
                </c:pt>
                <c:pt idx="520">
                  <c:v>0.40685955749799529</c:v>
                </c:pt>
                <c:pt idx="521">
                  <c:v>0.40684865393976455</c:v>
                </c:pt>
                <c:pt idx="522">
                  <c:v>0.40683779155920963</c:v>
                </c:pt>
                <c:pt idx="523">
                  <c:v>0.40682697012350455</c:v>
                </c:pt>
                <c:pt idx="524">
                  <c:v>0.40681618940157704</c:v>
                </c:pt>
                <c:pt idx="525">
                  <c:v>0.40680544916408945</c:v>
                </c:pt>
                <c:pt idx="526">
                  <c:v>0.40679474918342351</c:v>
                </c:pt>
                <c:pt idx="527">
                  <c:v>0.40678408923366438</c:v>
                </c:pt>
                <c:pt idx="528">
                  <c:v>0.40677346909058365</c:v>
                </c:pt>
                <c:pt idx="529">
                  <c:v>0.40676288853162546</c:v>
                </c:pt>
                <c:pt idx="530">
                  <c:v>0.40675234733588883</c:v>
                </c:pt>
                <c:pt idx="531">
                  <c:v>0.40674184528411517</c:v>
                </c:pt>
                <c:pt idx="532">
                  <c:v>0.40673138215866911</c:v>
                </c:pt>
                <c:pt idx="533">
                  <c:v>0.40672095774352723</c:v>
                </c:pt>
                <c:pt idx="534">
                  <c:v>0.40671057182426096</c:v>
                </c:pt>
                <c:pt idx="535">
                  <c:v>0.40670022418802254</c:v>
                </c:pt>
                <c:pt idx="536">
                  <c:v>0.40668991462353077</c:v>
                </c:pt>
                <c:pt idx="537">
                  <c:v>0.40667964292105585</c:v>
                </c:pt>
                <c:pt idx="538">
                  <c:v>0.40666940887240666</c:v>
                </c:pt>
                <c:pt idx="539">
                  <c:v>0.40665921227091395</c:v>
                </c:pt>
                <c:pt idx="540">
                  <c:v>0.40664905291141984</c:v>
                </c:pt>
                <c:pt idx="541">
                  <c:v>0.40663893059026146</c:v>
                </c:pt>
                <c:pt idx="542">
                  <c:v>0.40662884510525865</c:v>
                </c:pt>
                <c:pt idx="543">
                  <c:v>0.40661879625570019</c:v>
                </c:pt>
                <c:pt idx="544">
                  <c:v>0.40660878384232924</c:v>
                </c:pt>
                <c:pt idx="545">
                  <c:v>0.40659880766733292</c:v>
                </c:pt>
                <c:pt idx="546">
                  <c:v>0.40658886753432677</c:v>
                </c:pt>
                <c:pt idx="547">
                  <c:v>0.40657896324834319</c:v>
                </c:pt>
                <c:pt idx="548">
                  <c:v>0.40656909461581781</c:v>
                </c:pt>
                <c:pt idx="549">
                  <c:v>0.40655926144457832</c:v>
                </c:pt>
                <c:pt idx="550">
                  <c:v>0.40654946354382937</c:v>
                </c:pt>
                <c:pt idx="551">
                  <c:v>0.40653970072414325</c:v>
                </c:pt>
                <c:pt idx="552">
                  <c:v>0.40652997279744607</c:v>
                </c:pt>
                <c:pt idx="553">
                  <c:v>0.40652027957700565</c:v>
                </c:pt>
                <c:pt idx="554">
                  <c:v>0.40651062087742018</c:v>
                </c:pt>
                <c:pt idx="555">
                  <c:v>0.40650099651460581</c:v>
                </c:pt>
                <c:pt idx="556">
                  <c:v>0.40649140630578529</c:v>
                </c:pt>
                <c:pt idx="557">
                  <c:v>0.40648185006947624</c:v>
                </c:pt>
                <c:pt idx="558">
                  <c:v>0.40647232762547991</c:v>
                </c:pt>
                <c:pt idx="559">
                  <c:v>0.40646283879487</c:v>
                </c:pt>
                <c:pt idx="560">
                  <c:v>0.40645338339998016</c:v>
                </c:pt>
                <c:pt idx="561">
                  <c:v>0.40644396126439553</c:v>
                </c:pt>
                <c:pt idx="562">
                  <c:v>0.40643457221293888</c:v>
                </c:pt>
                <c:pt idx="563">
                  <c:v>0.4064252160716616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E1-4C83-AA30-B6037E6614B4}"/>
            </c:ext>
          </c:extLst>
        </c:ser>
        <c:ser>
          <c:idx val="1"/>
          <c:order val="1"/>
          <c:tx>
            <c:strRef>
              <c:f>'SA3'!$Q$12</c:f>
              <c:strCache>
                <c:ptCount val="1"/>
                <c:pt idx="0">
                  <c:v>Prev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'SA3'!$Q$13:$Q$576</c:f>
              <c:numCache>
                <c:formatCode>General</c:formatCode>
                <c:ptCount val="564"/>
                <c:pt idx="1">
                  <c:v>1.4999999999999999E-2</c:v>
                </c:pt>
                <c:pt idx="2">
                  <c:v>1.6E-2</c:v>
                </c:pt>
                <c:pt idx="3">
                  <c:v>1.7000000000000001E-2</c:v>
                </c:pt>
                <c:pt idx="4">
                  <c:v>1.7999999999999999E-2</c:v>
                </c:pt>
                <c:pt idx="5">
                  <c:v>1.9E-2</c:v>
                </c:pt>
                <c:pt idx="6">
                  <c:v>0.02</c:v>
                </c:pt>
                <c:pt idx="7">
                  <c:v>2.1000000000000001E-2</c:v>
                </c:pt>
                <c:pt idx="8">
                  <c:v>2.1999999999999999E-2</c:v>
                </c:pt>
                <c:pt idx="9">
                  <c:v>2.3E-2</c:v>
                </c:pt>
                <c:pt idx="10">
                  <c:v>2.4E-2</c:v>
                </c:pt>
                <c:pt idx="11">
                  <c:v>2.5000000000000001E-2</c:v>
                </c:pt>
                <c:pt idx="12">
                  <c:v>2.5999999999999999E-2</c:v>
                </c:pt>
                <c:pt idx="13">
                  <c:v>2.7E-2</c:v>
                </c:pt>
                <c:pt idx="14">
                  <c:v>2.8000000000000001E-2</c:v>
                </c:pt>
                <c:pt idx="15">
                  <c:v>2.9000000000000001E-2</c:v>
                </c:pt>
                <c:pt idx="16">
                  <c:v>0.03</c:v>
                </c:pt>
                <c:pt idx="17">
                  <c:v>3.1E-2</c:v>
                </c:pt>
                <c:pt idx="18">
                  <c:v>3.2000000000000001E-2</c:v>
                </c:pt>
                <c:pt idx="19">
                  <c:v>3.3000000000000002E-2</c:v>
                </c:pt>
                <c:pt idx="20">
                  <c:v>3.4000000000000002E-2</c:v>
                </c:pt>
                <c:pt idx="21">
                  <c:v>3.5000000000000003E-2</c:v>
                </c:pt>
                <c:pt idx="22">
                  <c:v>3.5999999999999997E-2</c:v>
                </c:pt>
                <c:pt idx="23">
                  <c:v>3.6999999999999998E-2</c:v>
                </c:pt>
                <c:pt idx="24">
                  <c:v>3.7999999999999999E-2</c:v>
                </c:pt>
                <c:pt idx="25">
                  <c:v>3.9E-2</c:v>
                </c:pt>
                <c:pt idx="26">
                  <c:v>0.04</c:v>
                </c:pt>
                <c:pt idx="27">
                  <c:v>4.1000000000000002E-2</c:v>
                </c:pt>
                <c:pt idx="28">
                  <c:v>4.2000000000000003E-2</c:v>
                </c:pt>
                <c:pt idx="29">
                  <c:v>4.2999999999999997E-2</c:v>
                </c:pt>
                <c:pt idx="30">
                  <c:v>4.3999999999999997E-2</c:v>
                </c:pt>
                <c:pt idx="31">
                  <c:v>4.4999999999999998E-2</c:v>
                </c:pt>
                <c:pt idx="32">
                  <c:v>4.5999999999999999E-2</c:v>
                </c:pt>
                <c:pt idx="33">
                  <c:v>4.7E-2</c:v>
                </c:pt>
                <c:pt idx="34">
                  <c:v>4.8000000000000001E-2</c:v>
                </c:pt>
                <c:pt idx="35">
                  <c:v>4.9000000000000002E-2</c:v>
                </c:pt>
                <c:pt idx="36">
                  <c:v>0.05</c:v>
                </c:pt>
                <c:pt idx="37">
                  <c:v>5.0999999999999997E-2</c:v>
                </c:pt>
                <c:pt idx="38">
                  <c:v>5.1999999999999998E-2</c:v>
                </c:pt>
                <c:pt idx="39">
                  <c:v>5.2999999999999999E-2</c:v>
                </c:pt>
                <c:pt idx="40">
                  <c:v>5.3999999999999999E-2</c:v>
                </c:pt>
                <c:pt idx="41">
                  <c:v>5.5E-2</c:v>
                </c:pt>
                <c:pt idx="42">
                  <c:v>5.6000000000000001E-2</c:v>
                </c:pt>
                <c:pt idx="43">
                  <c:v>5.7000000000000002E-2</c:v>
                </c:pt>
                <c:pt idx="44">
                  <c:v>5.8000000000000003E-2</c:v>
                </c:pt>
                <c:pt idx="45">
                  <c:v>5.8999999999999997E-2</c:v>
                </c:pt>
                <c:pt idx="46">
                  <c:v>0.06</c:v>
                </c:pt>
                <c:pt idx="47">
                  <c:v>6.0999999999999999E-2</c:v>
                </c:pt>
                <c:pt idx="48">
                  <c:v>6.2E-2</c:v>
                </c:pt>
                <c:pt idx="49">
                  <c:v>6.3E-2</c:v>
                </c:pt>
                <c:pt idx="50">
                  <c:v>6.4000000000000001E-2</c:v>
                </c:pt>
                <c:pt idx="51">
                  <c:v>6.5000000000000002E-2</c:v>
                </c:pt>
                <c:pt idx="52">
                  <c:v>6.6000000000000003E-2</c:v>
                </c:pt>
                <c:pt idx="53">
                  <c:v>6.7000000000000004E-2</c:v>
                </c:pt>
                <c:pt idx="54">
                  <c:v>6.8000000000000005E-2</c:v>
                </c:pt>
                <c:pt idx="55">
                  <c:v>6.9000000000000006E-2</c:v>
                </c:pt>
                <c:pt idx="56">
                  <c:v>7.0000000000000007E-2</c:v>
                </c:pt>
                <c:pt idx="57">
                  <c:v>7.0999999999999994E-2</c:v>
                </c:pt>
                <c:pt idx="58">
                  <c:v>7.2000000000000106E-2</c:v>
                </c:pt>
                <c:pt idx="59">
                  <c:v>7.3000000000000106E-2</c:v>
                </c:pt>
                <c:pt idx="60">
                  <c:v>7.4000000000000093E-2</c:v>
                </c:pt>
                <c:pt idx="61">
                  <c:v>7.5000000000000094E-2</c:v>
                </c:pt>
                <c:pt idx="62">
                  <c:v>7.6000000000000095E-2</c:v>
                </c:pt>
                <c:pt idx="63">
                  <c:v>7.7000000000000096E-2</c:v>
                </c:pt>
                <c:pt idx="64">
                  <c:v>7.8000000000000097E-2</c:v>
                </c:pt>
                <c:pt idx="65">
                  <c:v>7.9000000000000098E-2</c:v>
                </c:pt>
                <c:pt idx="66">
                  <c:v>8.0000000000000099E-2</c:v>
                </c:pt>
                <c:pt idx="67">
                  <c:v>8.10000000000001E-2</c:v>
                </c:pt>
                <c:pt idx="68">
                  <c:v>8.2000000000000101E-2</c:v>
                </c:pt>
                <c:pt idx="69">
                  <c:v>8.3000000000000101E-2</c:v>
                </c:pt>
                <c:pt idx="70">
                  <c:v>8.4000000000000102E-2</c:v>
                </c:pt>
                <c:pt idx="71">
                  <c:v>8.5000000000000103E-2</c:v>
                </c:pt>
                <c:pt idx="72">
                  <c:v>8.6000000000000104E-2</c:v>
                </c:pt>
                <c:pt idx="73">
                  <c:v>8.7000000000000105E-2</c:v>
                </c:pt>
                <c:pt idx="74">
                  <c:v>8.8000000000000106E-2</c:v>
                </c:pt>
                <c:pt idx="75">
                  <c:v>8.9000000000000107E-2</c:v>
                </c:pt>
                <c:pt idx="76">
                  <c:v>9.0000000000000094E-2</c:v>
                </c:pt>
                <c:pt idx="77">
                  <c:v>9.1000000000000095E-2</c:v>
                </c:pt>
                <c:pt idx="78">
                  <c:v>9.2000000000000096E-2</c:v>
                </c:pt>
                <c:pt idx="79">
                  <c:v>9.3000000000000096E-2</c:v>
                </c:pt>
                <c:pt idx="80">
                  <c:v>9.4000000000000097E-2</c:v>
                </c:pt>
                <c:pt idx="81">
                  <c:v>9.5000000000000098E-2</c:v>
                </c:pt>
                <c:pt idx="82">
                  <c:v>9.6000000000000099E-2</c:v>
                </c:pt>
                <c:pt idx="83">
                  <c:v>9.70000000000001E-2</c:v>
                </c:pt>
                <c:pt idx="84">
                  <c:v>9.8000000000000101E-2</c:v>
                </c:pt>
                <c:pt idx="85">
                  <c:v>9.9000000000000102E-2</c:v>
                </c:pt>
                <c:pt idx="86">
                  <c:v>0.1</c:v>
                </c:pt>
                <c:pt idx="87">
                  <c:v>0.10100000000000001</c:v>
                </c:pt>
                <c:pt idx="88">
                  <c:v>0.10199999999999999</c:v>
                </c:pt>
                <c:pt idx="89">
                  <c:v>0.10299999999999999</c:v>
                </c:pt>
                <c:pt idx="90">
                  <c:v>0.104</c:v>
                </c:pt>
                <c:pt idx="91">
                  <c:v>0.105</c:v>
                </c:pt>
                <c:pt idx="92">
                  <c:v>0.106</c:v>
                </c:pt>
                <c:pt idx="93">
                  <c:v>0.107</c:v>
                </c:pt>
                <c:pt idx="94">
                  <c:v>0.108</c:v>
                </c:pt>
                <c:pt idx="95">
                  <c:v>0.109</c:v>
                </c:pt>
                <c:pt idx="96">
                  <c:v>0.11</c:v>
                </c:pt>
                <c:pt idx="97">
                  <c:v>0.111</c:v>
                </c:pt>
                <c:pt idx="98">
                  <c:v>0.112</c:v>
                </c:pt>
                <c:pt idx="99">
                  <c:v>0.113</c:v>
                </c:pt>
                <c:pt idx="100">
                  <c:v>0.114</c:v>
                </c:pt>
                <c:pt idx="101">
                  <c:v>0.115</c:v>
                </c:pt>
                <c:pt idx="102">
                  <c:v>0.11600000000000001</c:v>
                </c:pt>
                <c:pt idx="103">
                  <c:v>0.11700000000000001</c:v>
                </c:pt>
                <c:pt idx="104">
                  <c:v>0.11799999999999999</c:v>
                </c:pt>
                <c:pt idx="105">
                  <c:v>0.11899999999999999</c:v>
                </c:pt>
                <c:pt idx="106">
                  <c:v>0.12</c:v>
                </c:pt>
                <c:pt idx="107">
                  <c:v>0.121</c:v>
                </c:pt>
                <c:pt idx="108">
                  <c:v>0.122</c:v>
                </c:pt>
                <c:pt idx="109">
                  <c:v>0.123</c:v>
                </c:pt>
                <c:pt idx="110">
                  <c:v>0.124</c:v>
                </c:pt>
                <c:pt idx="111">
                  <c:v>0.125</c:v>
                </c:pt>
                <c:pt idx="112">
                  <c:v>0.126</c:v>
                </c:pt>
                <c:pt idx="113">
                  <c:v>0.127</c:v>
                </c:pt>
                <c:pt idx="114">
                  <c:v>0.128</c:v>
                </c:pt>
                <c:pt idx="115">
                  <c:v>0.129</c:v>
                </c:pt>
                <c:pt idx="116">
                  <c:v>0.13</c:v>
                </c:pt>
                <c:pt idx="117">
                  <c:v>0.13100000000000001</c:v>
                </c:pt>
                <c:pt idx="118">
                  <c:v>0.13200000000000001</c:v>
                </c:pt>
                <c:pt idx="119">
                  <c:v>0.13300000000000001</c:v>
                </c:pt>
                <c:pt idx="120">
                  <c:v>0.13400000000000001</c:v>
                </c:pt>
                <c:pt idx="121">
                  <c:v>0.13500000000000001</c:v>
                </c:pt>
                <c:pt idx="122">
                  <c:v>0.13600000000000001</c:v>
                </c:pt>
                <c:pt idx="123">
                  <c:v>0.13700000000000001</c:v>
                </c:pt>
                <c:pt idx="124">
                  <c:v>0.13800000000000001</c:v>
                </c:pt>
                <c:pt idx="125">
                  <c:v>0.13900000000000001</c:v>
                </c:pt>
                <c:pt idx="126">
                  <c:v>0.14000000000000001</c:v>
                </c:pt>
                <c:pt idx="127">
                  <c:v>0.14099999999999999</c:v>
                </c:pt>
                <c:pt idx="128">
                  <c:v>0.14199999999999999</c:v>
                </c:pt>
                <c:pt idx="129">
                  <c:v>0.14299999999999999</c:v>
                </c:pt>
                <c:pt idx="130">
                  <c:v>0.14399999999999999</c:v>
                </c:pt>
                <c:pt idx="131">
                  <c:v>0.14499999999999999</c:v>
                </c:pt>
                <c:pt idx="132">
                  <c:v>0.14599999999999999</c:v>
                </c:pt>
                <c:pt idx="133">
                  <c:v>0.14699999999999999</c:v>
                </c:pt>
                <c:pt idx="134">
                  <c:v>0.14799999999999999</c:v>
                </c:pt>
                <c:pt idx="135">
                  <c:v>0.14899999999999999</c:v>
                </c:pt>
                <c:pt idx="136">
                  <c:v>0.15</c:v>
                </c:pt>
                <c:pt idx="137">
                  <c:v>0.151</c:v>
                </c:pt>
                <c:pt idx="138">
                  <c:v>0.152</c:v>
                </c:pt>
                <c:pt idx="139">
                  <c:v>0.153</c:v>
                </c:pt>
                <c:pt idx="140">
                  <c:v>0.154</c:v>
                </c:pt>
                <c:pt idx="141">
                  <c:v>0.155</c:v>
                </c:pt>
                <c:pt idx="142">
                  <c:v>0.156</c:v>
                </c:pt>
                <c:pt idx="143">
                  <c:v>0.157</c:v>
                </c:pt>
                <c:pt idx="144">
                  <c:v>0.158</c:v>
                </c:pt>
                <c:pt idx="145">
                  <c:v>0.159</c:v>
                </c:pt>
                <c:pt idx="146">
                  <c:v>0.16</c:v>
                </c:pt>
                <c:pt idx="147">
                  <c:v>0.161</c:v>
                </c:pt>
                <c:pt idx="148">
                  <c:v>0.16200000000000001</c:v>
                </c:pt>
                <c:pt idx="149">
                  <c:v>0.16300000000000001</c:v>
                </c:pt>
                <c:pt idx="150">
                  <c:v>0.16400000000000001</c:v>
                </c:pt>
                <c:pt idx="151">
                  <c:v>0.16500000000000001</c:v>
                </c:pt>
                <c:pt idx="152">
                  <c:v>0.16600000000000001</c:v>
                </c:pt>
                <c:pt idx="153">
                  <c:v>0.16700000000000001</c:v>
                </c:pt>
                <c:pt idx="154">
                  <c:v>0.16800000000000001</c:v>
                </c:pt>
                <c:pt idx="155">
                  <c:v>0.16900000000000001</c:v>
                </c:pt>
                <c:pt idx="156">
                  <c:v>0.17</c:v>
                </c:pt>
                <c:pt idx="157">
                  <c:v>0.17100000000000001</c:v>
                </c:pt>
                <c:pt idx="158">
                  <c:v>0.17199999999999999</c:v>
                </c:pt>
                <c:pt idx="159">
                  <c:v>0.17299999999999999</c:v>
                </c:pt>
                <c:pt idx="160">
                  <c:v>0.17399999999999999</c:v>
                </c:pt>
                <c:pt idx="161">
                  <c:v>0.17499999999999999</c:v>
                </c:pt>
                <c:pt idx="162">
                  <c:v>0.17599999999999999</c:v>
                </c:pt>
                <c:pt idx="163">
                  <c:v>0.17699999999999999</c:v>
                </c:pt>
                <c:pt idx="164">
                  <c:v>0.17799999999999999</c:v>
                </c:pt>
                <c:pt idx="165">
                  <c:v>0.17899999999999999</c:v>
                </c:pt>
                <c:pt idx="166">
                  <c:v>0.18</c:v>
                </c:pt>
                <c:pt idx="167">
                  <c:v>0.18099999999999999</c:v>
                </c:pt>
                <c:pt idx="168">
                  <c:v>0.182</c:v>
                </c:pt>
                <c:pt idx="169">
                  <c:v>0.183</c:v>
                </c:pt>
                <c:pt idx="170">
                  <c:v>0.184</c:v>
                </c:pt>
                <c:pt idx="171">
                  <c:v>0.185</c:v>
                </c:pt>
                <c:pt idx="172">
                  <c:v>0.186</c:v>
                </c:pt>
                <c:pt idx="173">
                  <c:v>0.187</c:v>
                </c:pt>
                <c:pt idx="174">
                  <c:v>0.188</c:v>
                </c:pt>
                <c:pt idx="175">
                  <c:v>0.189</c:v>
                </c:pt>
                <c:pt idx="176">
                  <c:v>0.19</c:v>
                </c:pt>
                <c:pt idx="177">
                  <c:v>0.191</c:v>
                </c:pt>
                <c:pt idx="178">
                  <c:v>0.192</c:v>
                </c:pt>
                <c:pt idx="179">
                  <c:v>0.193</c:v>
                </c:pt>
                <c:pt idx="180">
                  <c:v>0.19400000000000001</c:v>
                </c:pt>
                <c:pt idx="181">
                  <c:v>0.19500000000000001</c:v>
                </c:pt>
                <c:pt idx="182">
                  <c:v>0.19600000000000001</c:v>
                </c:pt>
                <c:pt idx="183">
                  <c:v>0.19700000000000001</c:v>
                </c:pt>
                <c:pt idx="184">
                  <c:v>0.19800000000000001</c:v>
                </c:pt>
                <c:pt idx="185">
                  <c:v>0.19900000000000001</c:v>
                </c:pt>
                <c:pt idx="186">
                  <c:v>0.2</c:v>
                </c:pt>
                <c:pt idx="187">
                  <c:v>0.20100000000000001</c:v>
                </c:pt>
                <c:pt idx="188">
                  <c:v>0.20200000000000001</c:v>
                </c:pt>
                <c:pt idx="189">
                  <c:v>0.20300000000000001</c:v>
                </c:pt>
                <c:pt idx="190">
                  <c:v>0.20399999999999999</c:v>
                </c:pt>
                <c:pt idx="191">
                  <c:v>0.20499999999999999</c:v>
                </c:pt>
                <c:pt idx="192">
                  <c:v>0.20599999999999999</c:v>
                </c:pt>
                <c:pt idx="193">
                  <c:v>0.20699999999999999</c:v>
                </c:pt>
                <c:pt idx="194">
                  <c:v>0.20799999999999999</c:v>
                </c:pt>
                <c:pt idx="195">
                  <c:v>0.20899999999999999</c:v>
                </c:pt>
                <c:pt idx="196">
                  <c:v>0.21</c:v>
                </c:pt>
                <c:pt idx="197">
                  <c:v>0.21099999999999999</c:v>
                </c:pt>
                <c:pt idx="198">
                  <c:v>0.21199999999999999</c:v>
                </c:pt>
                <c:pt idx="199">
                  <c:v>0.21299999999999999</c:v>
                </c:pt>
                <c:pt idx="200">
                  <c:v>0.214</c:v>
                </c:pt>
                <c:pt idx="201">
                  <c:v>0.215</c:v>
                </c:pt>
                <c:pt idx="202">
                  <c:v>0.216</c:v>
                </c:pt>
                <c:pt idx="203">
                  <c:v>0.217</c:v>
                </c:pt>
                <c:pt idx="204">
                  <c:v>0.218</c:v>
                </c:pt>
                <c:pt idx="205">
                  <c:v>0.219</c:v>
                </c:pt>
                <c:pt idx="206">
                  <c:v>0.22</c:v>
                </c:pt>
                <c:pt idx="207">
                  <c:v>0.221</c:v>
                </c:pt>
                <c:pt idx="208">
                  <c:v>0.222</c:v>
                </c:pt>
                <c:pt idx="209">
                  <c:v>0.223</c:v>
                </c:pt>
                <c:pt idx="210">
                  <c:v>0.224</c:v>
                </c:pt>
                <c:pt idx="211">
                  <c:v>0.22500000000000001</c:v>
                </c:pt>
                <c:pt idx="212">
                  <c:v>0.22600000000000001</c:v>
                </c:pt>
                <c:pt idx="213">
                  <c:v>0.22700000000000001</c:v>
                </c:pt>
                <c:pt idx="214">
                  <c:v>0.22800000000000001</c:v>
                </c:pt>
                <c:pt idx="215">
                  <c:v>0.22900000000000001</c:v>
                </c:pt>
                <c:pt idx="216">
                  <c:v>0.23</c:v>
                </c:pt>
                <c:pt idx="217">
                  <c:v>0.23100000000000001</c:v>
                </c:pt>
                <c:pt idx="218">
                  <c:v>0.23200000000000001</c:v>
                </c:pt>
                <c:pt idx="219">
                  <c:v>0.23300000000000001</c:v>
                </c:pt>
                <c:pt idx="220">
                  <c:v>0.23400000000000001</c:v>
                </c:pt>
                <c:pt idx="221">
                  <c:v>0.23499999999999999</c:v>
                </c:pt>
                <c:pt idx="222">
                  <c:v>0.23599999999999999</c:v>
                </c:pt>
                <c:pt idx="223">
                  <c:v>0.23699999999999999</c:v>
                </c:pt>
                <c:pt idx="224">
                  <c:v>0.23799999999999999</c:v>
                </c:pt>
                <c:pt idx="225">
                  <c:v>0.23899999999999999</c:v>
                </c:pt>
                <c:pt idx="226">
                  <c:v>0.24</c:v>
                </c:pt>
                <c:pt idx="227">
                  <c:v>0.24099999999999999</c:v>
                </c:pt>
                <c:pt idx="228">
                  <c:v>0.24199999999999999</c:v>
                </c:pt>
                <c:pt idx="229">
                  <c:v>0.24299999999999999</c:v>
                </c:pt>
                <c:pt idx="230">
                  <c:v>0.24399999999999999</c:v>
                </c:pt>
                <c:pt idx="231">
                  <c:v>0.245</c:v>
                </c:pt>
                <c:pt idx="232">
                  <c:v>0.246</c:v>
                </c:pt>
                <c:pt idx="233">
                  <c:v>0.247</c:v>
                </c:pt>
                <c:pt idx="234">
                  <c:v>0.248</c:v>
                </c:pt>
                <c:pt idx="235">
                  <c:v>0.249</c:v>
                </c:pt>
                <c:pt idx="236">
                  <c:v>0.25</c:v>
                </c:pt>
                <c:pt idx="237">
                  <c:v>0.251</c:v>
                </c:pt>
                <c:pt idx="238">
                  <c:v>0.252</c:v>
                </c:pt>
                <c:pt idx="239">
                  <c:v>0.253</c:v>
                </c:pt>
                <c:pt idx="240">
                  <c:v>0.254</c:v>
                </c:pt>
                <c:pt idx="241">
                  <c:v>0.255</c:v>
                </c:pt>
                <c:pt idx="242">
                  <c:v>0.25600000000000001</c:v>
                </c:pt>
                <c:pt idx="243">
                  <c:v>0.25700000000000001</c:v>
                </c:pt>
                <c:pt idx="244">
                  <c:v>0.25800000000000001</c:v>
                </c:pt>
                <c:pt idx="245">
                  <c:v>0.25900000000000001</c:v>
                </c:pt>
                <c:pt idx="246">
                  <c:v>0.26</c:v>
                </c:pt>
                <c:pt idx="247">
                  <c:v>0.26100000000000001</c:v>
                </c:pt>
                <c:pt idx="248">
                  <c:v>0.26200000000000001</c:v>
                </c:pt>
                <c:pt idx="249">
                  <c:v>0.26300000000000001</c:v>
                </c:pt>
                <c:pt idx="250">
                  <c:v>0.26400000000000001</c:v>
                </c:pt>
                <c:pt idx="251">
                  <c:v>0.26500000000000001</c:v>
                </c:pt>
                <c:pt idx="252">
                  <c:v>0.26600000000000001</c:v>
                </c:pt>
                <c:pt idx="253">
                  <c:v>0.26700000000000002</c:v>
                </c:pt>
                <c:pt idx="254">
                  <c:v>0.26800000000000002</c:v>
                </c:pt>
                <c:pt idx="255">
                  <c:v>0.26900000000000002</c:v>
                </c:pt>
                <c:pt idx="256">
                  <c:v>0.27</c:v>
                </c:pt>
                <c:pt idx="257">
                  <c:v>0.27100000000000002</c:v>
                </c:pt>
                <c:pt idx="258">
                  <c:v>0.27200000000000002</c:v>
                </c:pt>
                <c:pt idx="259">
                  <c:v>0.27300000000000002</c:v>
                </c:pt>
                <c:pt idx="260">
                  <c:v>0.27400000000000002</c:v>
                </c:pt>
                <c:pt idx="261">
                  <c:v>0.27500000000000002</c:v>
                </c:pt>
                <c:pt idx="262">
                  <c:v>0.27600000000000002</c:v>
                </c:pt>
                <c:pt idx="263">
                  <c:v>0.27700000000000002</c:v>
                </c:pt>
                <c:pt idx="264">
                  <c:v>0.27800000000000002</c:v>
                </c:pt>
                <c:pt idx="265">
                  <c:v>0.27900000000000003</c:v>
                </c:pt>
                <c:pt idx="266">
                  <c:v>0.28000000000000003</c:v>
                </c:pt>
                <c:pt idx="267">
                  <c:v>0.28100000000000003</c:v>
                </c:pt>
                <c:pt idx="268">
                  <c:v>0.28199999999999997</c:v>
                </c:pt>
                <c:pt idx="269">
                  <c:v>0.28299999999999997</c:v>
                </c:pt>
                <c:pt idx="270">
                  <c:v>0.28399999999999997</c:v>
                </c:pt>
                <c:pt idx="271">
                  <c:v>0.28499999999999998</c:v>
                </c:pt>
                <c:pt idx="272">
                  <c:v>0.28599999999999998</c:v>
                </c:pt>
                <c:pt idx="273">
                  <c:v>0.28699999999999998</c:v>
                </c:pt>
                <c:pt idx="274">
                  <c:v>0.28799999999999998</c:v>
                </c:pt>
                <c:pt idx="275">
                  <c:v>0.28899999999999998</c:v>
                </c:pt>
                <c:pt idx="276">
                  <c:v>0.28999999999999998</c:v>
                </c:pt>
                <c:pt idx="277">
                  <c:v>0.29099999999999998</c:v>
                </c:pt>
                <c:pt idx="278">
                  <c:v>0.29199999999999998</c:v>
                </c:pt>
                <c:pt idx="279">
                  <c:v>0.29299999999999998</c:v>
                </c:pt>
                <c:pt idx="280">
                  <c:v>0.29399999999999998</c:v>
                </c:pt>
                <c:pt idx="281">
                  <c:v>0.29499999999999998</c:v>
                </c:pt>
                <c:pt idx="282">
                  <c:v>0.29599999999999999</c:v>
                </c:pt>
                <c:pt idx="283">
                  <c:v>0.29699999999999999</c:v>
                </c:pt>
                <c:pt idx="284">
                  <c:v>0.29799999999999999</c:v>
                </c:pt>
                <c:pt idx="285">
                  <c:v>0.29899999999999999</c:v>
                </c:pt>
                <c:pt idx="286">
                  <c:v>0.3</c:v>
                </c:pt>
                <c:pt idx="287">
                  <c:v>0.30099999999999999</c:v>
                </c:pt>
                <c:pt idx="288">
                  <c:v>0.30199999999999999</c:v>
                </c:pt>
                <c:pt idx="289">
                  <c:v>0.30299999999999999</c:v>
                </c:pt>
                <c:pt idx="290">
                  <c:v>0.30399999999999999</c:v>
                </c:pt>
                <c:pt idx="291">
                  <c:v>0.30499999999999999</c:v>
                </c:pt>
                <c:pt idx="292">
                  <c:v>0.30599999999999999</c:v>
                </c:pt>
                <c:pt idx="293">
                  <c:v>0.307</c:v>
                </c:pt>
                <c:pt idx="294">
                  <c:v>0.308</c:v>
                </c:pt>
                <c:pt idx="295">
                  <c:v>0.309</c:v>
                </c:pt>
                <c:pt idx="296">
                  <c:v>0.31</c:v>
                </c:pt>
                <c:pt idx="297">
                  <c:v>0.311</c:v>
                </c:pt>
                <c:pt idx="298">
                  <c:v>0.312</c:v>
                </c:pt>
                <c:pt idx="299">
                  <c:v>0.313</c:v>
                </c:pt>
                <c:pt idx="300">
                  <c:v>0.314</c:v>
                </c:pt>
                <c:pt idx="301">
                  <c:v>0.315</c:v>
                </c:pt>
                <c:pt idx="302">
                  <c:v>0.316</c:v>
                </c:pt>
                <c:pt idx="303">
                  <c:v>0.317</c:v>
                </c:pt>
                <c:pt idx="304">
                  <c:v>0.318</c:v>
                </c:pt>
                <c:pt idx="305">
                  <c:v>0.31900000000000001</c:v>
                </c:pt>
                <c:pt idx="306">
                  <c:v>0.32</c:v>
                </c:pt>
                <c:pt idx="307">
                  <c:v>0.32100000000000001</c:v>
                </c:pt>
                <c:pt idx="308">
                  <c:v>0.32200000000000001</c:v>
                </c:pt>
                <c:pt idx="309">
                  <c:v>0.32300000000000001</c:v>
                </c:pt>
                <c:pt idx="310">
                  <c:v>0.32400000000000001</c:v>
                </c:pt>
                <c:pt idx="311">
                  <c:v>0.32500000000000001</c:v>
                </c:pt>
                <c:pt idx="312">
                  <c:v>0.32600000000000001</c:v>
                </c:pt>
                <c:pt idx="313">
                  <c:v>0.32700000000000001</c:v>
                </c:pt>
                <c:pt idx="314">
                  <c:v>0.32800000000000001</c:v>
                </c:pt>
                <c:pt idx="315">
                  <c:v>0.32900000000000001</c:v>
                </c:pt>
                <c:pt idx="316">
                  <c:v>0.33</c:v>
                </c:pt>
                <c:pt idx="317">
                  <c:v>0.33100000000000002</c:v>
                </c:pt>
                <c:pt idx="318">
                  <c:v>0.33200000000000002</c:v>
                </c:pt>
                <c:pt idx="319">
                  <c:v>0.33300000000000002</c:v>
                </c:pt>
                <c:pt idx="320">
                  <c:v>0.33400000000000002</c:v>
                </c:pt>
                <c:pt idx="321">
                  <c:v>0.33500000000000002</c:v>
                </c:pt>
                <c:pt idx="322">
                  <c:v>0.33600000000000002</c:v>
                </c:pt>
                <c:pt idx="323">
                  <c:v>0.33700000000000002</c:v>
                </c:pt>
                <c:pt idx="324">
                  <c:v>0.33800000000000002</c:v>
                </c:pt>
                <c:pt idx="325">
                  <c:v>0.33900000000000002</c:v>
                </c:pt>
                <c:pt idx="326">
                  <c:v>0.34</c:v>
                </c:pt>
                <c:pt idx="327">
                  <c:v>0.34100000000000003</c:v>
                </c:pt>
                <c:pt idx="328">
                  <c:v>0.34200000000000003</c:v>
                </c:pt>
                <c:pt idx="329">
                  <c:v>0.34300000000000003</c:v>
                </c:pt>
                <c:pt idx="330">
                  <c:v>0.34399999999999997</c:v>
                </c:pt>
                <c:pt idx="331">
                  <c:v>0.34499999999999997</c:v>
                </c:pt>
                <c:pt idx="332">
                  <c:v>0.34599999999999997</c:v>
                </c:pt>
                <c:pt idx="333">
                  <c:v>0.34699999999999998</c:v>
                </c:pt>
                <c:pt idx="334">
                  <c:v>0.34799999999999998</c:v>
                </c:pt>
                <c:pt idx="335">
                  <c:v>0.34899999999999998</c:v>
                </c:pt>
                <c:pt idx="336">
                  <c:v>0.35</c:v>
                </c:pt>
                <c:pt idx="337">
                  <c:v>0.35099999999999998</c:v>
                </c:pt>
                <c:pt idx="338">
                  <c:v>0.35199999999999998</c:v>
                </c:pt>
                <c:pt idx="339">
                  <c:v>0.35299999999999998</c:v>
                </c:pt>
                <c:pt idx="340">
                  <c:v>0.35399999999999998</c:v>
                </c:pt>
                <c:pt idx="341">
                  <c:v>0.35499999999999998</c:v>
                </c:pt>
                <c:pt idx="342">
                  <c:v>0.35599999999999998</c:v>
                </c:pt>
                <c:pt idx="343">
                  <c:v>0.35699999999999998</c:v>
                </c:pt>
                <c:pt idx="344">
                  <c:v>0.35799999999999998</c:v>
                </c:pt>
                <c:pt idx="345">
                  <c:v>0.35899999999999999</c:v>
                </c:pt>
                <c:pt idx="346">
                  <c:v>0.36</c:v>
                </c:pt>
                <c:pt idx="347">
                  <c:v>0.36099999999999999</c:v>
                </c:pt>
                <c:pt idx="348">
                  <c:v>0.36199999999999999</c:v>
                </c:pt>
                <c:pt idx="349">
                  <c:v>0.36299999999999999</c:v>
                </c:pt>
                <c:pt idx="350">
                  <c:v>0.36399999999999999</c:v>
                </c:pt>
                <c:pt idx="351">
                  <c:v>0.36499999999999999</c:v>
                </c:pt>
                <c:pt idx="352">
                  <c:v>0.36599999999999999</c:v>
                </c:pt>
                <c:pt idx="353">
                  <c:v>0.36699999999999999</c:v>
                </c:pt>
                <c:pt idx="354">
                  <c:v>0.36799999999999999</c:v>
                </c:pt>
                <c:pt idx="355">
                  <c:v>0.36899999999999999</c:v>
                </c:pt>
                <c:pt idx="356">
                  <c:v>0.37</c:v>
                </c:pt>
                <c:pt idx="357">
                  <c:v>0.371</c:v>
                </c:pt>
                <c:pt idx="358">
                  <c:v>0.372</c:v>
                </c:pt>
                <c:pt idx="359">
                  <c:v>0.373</c:v>
                </c:pt>
                <c:pt idx="360">
                  <c:v>0.374</c:v>
                </c:pt>
                <c:pt idx="361">
                  <c:v>0.375</c:v>
                </c:pt>
                <c:pt idx="362">
                  <c:v>0.376</c:v>
                </c:pt>
                <c:pt idx="363">
                  <c:v>0.377</c:v>
                </c:pt>
                <c:pt idx="364">
                  <c:v>0.378</c:v>
                </c:pt>
                <c:pt idx="365">
                  <c:v>0.379</c:v>
                </c:pt>
                <c:pt idx="366">
                  <c:v>0.38</c:v>
                </c:pt>
                <c:pt idx="367">
                  <c:v>0.38100000000000001</c:v>
                </c:pt>
                <c:pt idx="368">
                  <c:v>0.38200000000000001</c:v>
                </c:pt>
                <c:pt idx="369">
                  <c:v>0.38300000000000001</c:v>
                </c:pt>
                <c:pt idx="370">
                  <c:v>0.38400000000000001</c:v>
                </c:pt>
                <c:pt idx="371">
                  <c:v>0.38500000000000001</c:v>
                </c:pt>
                <c:pt idx="372">
                  <c:v>0.38600000000000001</c:v>
                </c:pt>
                <c:pt idx="373">
                  <c:v>0.38700000000000001</c:v>
                </c:pt>
                <c:pt idx="374">
                  <c:v>0.38800000000000001</c:v>
                </c:pt>
                <c:pt idx="375">
                  <c:v>0.38900000000000001</c:v>
                </c:pt>
                <c:pt idx="376">
                  <c:v>0.39</c:v>
                </c:pt>
                <c:pt idx="377">
                  <c:v>0.39100000000000001</c:v>
                </c:pt>
                <c:pt idx="378">
                  <c:v>0.39200000000000002</c:v>
                </c:pt>
                <c:pt idx="379">
                  <c:v>0.39300000000000002</c:v>
                </c:pt>
                <c:pt idx="380">
                  <c:v>0.39400000000000002</c:v>
                </c:pt>
                <c:pt idx="381">
                  <c:v>0.39500000000000002</c:v>
                </c:pt>
                <c:pt idx="382">
                  <c:v>0.39600000000000002</c:v>
                </c:pt>
                <c:pt idx="383">
                  <c:v>0.39700000000000002</c:v>
                </c:pt>
                <c:pt idx="384">
                  <c:v>0.39800000000000002</c:v>
                </c:pt>
                <c:pt idx="385">
                  <c:v>0.39900000000000002</c:v>
                </c:pt>
                <c:pt idx="386">
                  <c:v>0.4</c:v>
                </c:pt>
                <c:pt idx="387">
                  <c:v>0.40100000000000002</c:v>
                </c:pt>
                <c:pt idx="388">
                  <c:v>0.40200000000000002</c:v>
                </c:pt>
                <c:pt idx="389">
                  <c:v>0.40300000000000002</c:v>
                </c:pt>
                <c:pt idx="390">
                  <c:v>0.40400000000000003</c:v>
                </c:pt>
                <c:pt idx="391">
                  <c:v>0.40500000000000003</c:v>
                </c:pt>
                <c:pt idx="392">
                  <c:v>0.40600000000000003</c:v>
                </c:pt>
                <c:pt idx="393">
                  <c:v>0.40699999999999997</c:v>
                </c:pt>
                <c:pt idx="394">
                  <c:v>0.40799999999999997</c:v>
                </c:pt>
                <c:pt idx="395">
                  <c:v>0.40899999999999997</c:v>
                </c:pt>
                <c:pt idx="396">
                  <c:v>0.41</c:v>
                </c:pt>
                <c:pt idx="397">
                  <c:v>0.41099999999999998</c:v>
                </c:pt>
                <c:pt idx="398">
                  <c:v>0.41199999999999998</c:v>
                </c:pt>
                <c:pt idx="399">
                  <c:v>0.41299999999999998</c:v>
                </c:pt>
                <c:pt idx="400">
                  <c:v>0.41399999999999998</c:v>
                </c:pt>
                <c:pt idx="401">
                  <c:v>0.41499999999999998</c:v>
                </c:pt>
                <c:pt idx="402">
                  <c:v>0.41599999999999998</c:v>
                </c:pt>
                <c:pt idx="403">
                  <c:v>0.41699999999999998</c:v>
                </c:pt>
                <c:pt idx="404">
                  <c:v>0.41799999999999998</c:v>
                </c:pt>
                <c:pt idx="405">
                  <c:v>0.41899999999999998</c:v>
                </c:pt>
                <c:pt idx="406">
                  <c:v>0.42</c:v>
                </c:pt>
                <c:pt idx="407">
                  <c:v>0.42099999999999999</c:v>
                </c:pt>
                <c:pt idx="408">
                  <c:v>0.42199999999999999</c:v>
                </c:pt>
                <c:pt idx="409">
                  <c:v>0.42299999999999999</c:v>
                </c:pt>
                <c:pt idx="410">
                  <c:v>0.42399999999999999</c:v>
                </c:pt>
                <c:pt idx="411">
                  <c:v>0.42499999999999999</c:v>
                </c:pt>
                <c:pt idx="412">
                  <c:v>0.42599999999999999</c:v>
                </c:pt>
                <c:pt idx="413">
                  <c:v>0.42699999999999999</c:v>
                </c:pt>
                <c:pt idx="414">
                  <c:v>0.42799999999999999</c:v>
                </c:pt>
                <c:pt idx="415">
                  <c:v>0.42899999999999999</c:v>
                </c:pt>
                <c:pt idx="416">
                  <c:v>0.43</c:v>
                </c:pt>
                <c:pt idx="417">
                  <c:v>0.43099999999999999</c:v>
                </c:pt>
                <c:pt idx="418">
                  <c:v>0.432</c:v>
                </c:pt>
                <c:pt idx="419">
                  <c:v>0.433</c:v>
                </c:pt>
                <c:pt idx="420">
                  <c:v>0.434</c:v>
                </c:pt>
                <c:pt idx="421">
                  <c:v>0.435</c:v>
                </c:pt>
                <c:pt idx="422">
                  <c:v>0.436</c:v>
                </c:pt>
                <c:pt idx="423">
                  <c:v>0.437</c:v>
                </c:pt>
                <c:pt idx="424">
                  <c:v>0.438</c:v>
                </c:pt>
                <c:pt idx="425">
                  <c:v>0.439</c:v>
                </c:pt>
                <c:pt idx="426">
                  <c:v>0.44</c:v>
                </c:pt>
                <c:pt idx="427">
                  <c:v>0.441</c:v>
                </c:pt>
                <c:pt idx="428">
                  <c:v>0.442</c:v>
                </c:pt>
                <c:pt idx="429">
                  <c:v>0.443</c:v>
                </c:pt>
                <c:pt idx="430">
                  <c:v>0.44400000000000001</c:v>
                </c:pt>
                <c:pt idx="431">
                  <c:v>0.44500000000000001</c:v>
                </c:pt>
                <c:pt idx="432">
                  <c:v>0.44600000000000001</c:v>
                </c:pt>
                <c:pt idx="433">
                  <c:v>0.44700000000000001</c:v>
                </c:pt>
                <c:pt idx="434">
                  <c:v>0.44800000000000001</c:v>
                </c:pt>
                <c:pt idx="435">
                  <c:v>0.44900000000000001</c:v>
                </c:pt>
                <c:pt idx="436">
                  <c:v>0.45</c:v>
                </c:pt>
                <c:pt idx="437">
                  <c:v>0.45100000000000001</c:v>
                </c:pt>
                <c:pt idx="438">
                  <c:v>0.45200000000000001</c:v>
                </c:pt>
                <c:pt idx="439">
                  <c:v>0.45300000000000001</c:v>
                </c:pt>
                <c:pt idx="440">
                  <c:v>0.45400000000000001</c:v>
                </c:pt>
                <c:pt idx="441">
                  <c:v>0.45500000000000002</c:v>
                </c:pt>
                <c:pt idx="442">
                  <c:v>0.45600000000000002</c:v>
                </c:pt>
                <c:pt idx="443">
                  <c:v>0.45700000000000002</c:v>
                </c:pt>
                <c:pt idx="444">
                  <c:v>0.45800000000000002</c:v>
                </c:pt>
                <c:pt idx="445">
                  <c:v>0.45900000000000002</c:v>
                </c:pt>
                <c:pt idx="446">
                  <c:v>0.46</c:v>
                </c:pt>
                <c:pt idx="447">
                  <c:v>0.46100000000000002</c:v>
                </c:pt>
                <c:pt idx="448">
                  <c:v>0.46200000000000002</c:v>
                </c:pt>
                <c:pt idx="449">
                  <c:v>0.46300000000000002</c:v>
                </c:pt>
                <c:pt idx="450">
                  <c:v>0.46400000000000002</c:v>
                </c:pt>
                <c:pt idx="451">
                  <c:v>0.46500000000000002</c:v>
                </c:pt>
                <c:pt idx="452">
                  <c:v>0.46600000000000003</c:v>
                </c:pt>
                <c:pt idx="453">
                  <c:v>0.46700000000000003</c:v>
                </c:pt>
                <c:pt idx="454">
                  <c:v>0.46800000000000003</c:v>
                </c:pt>
                <c:pt idx="455">
                  <c:v>0.46899999999999997</c:v>
                </c:pt>
                <c:pt idx="456">
                  <c:v>0.47</c:v>
                </c:pt>
                <c:pt idx="457">
                  <c:v>0.47099999999999997</c:v>
                </c:pt>
                <c:pt idx="458">
                  <c:v>0.47199999999999998</c:v>
                </c:pt>
                <c:pt idx="459">
                  <c:v>0.47299999999999998</c:v>
                </c:pt>
                <c:pt idx="460">
                  <c:v>0.47399999999999998</c:v>
                </c:pt>
                <c:pt idx="461">
                  <c:v>0.47499999999999998</c:v>
                </c:pt>
                <c:pt idx="462">
                  <c:v>0.47599999999999998</c:v>
                </c:pt>
                <c:pt idx="463">
                  <c:v>0.47699999999999998</c:v>
                </c:pt>
                <c:pt idx="464">
                  <c:v>0.47799999999999998</c:v>
                </c:pt>
                <c:pt idx="465">
                  <c:v>0.47899999999999998</c:v>
                </c:pt>
                <c:pt idx="466">
                  <c:v>0.48</c:v>
                </c:pt>
                <c:pt idx="467">
                  <c:v>0.48099999999999998</c:v>
                </c:pt>
                <c:pt idx="468">
                  <c:v>0.48199999999999998</c:v>
                </c:pt>
                <c:pt idx="469">
                  <c:v>0.48299999999999998</c:v>
                </c:pt>
                <c:pt idx="470">
                  <c:v>0.48399999999999999</c:v>
                </c:pt>
                <c:pt idx="471">
                  <c:v>0.48499999999999999</c:v>
                </c:pt>
                <c:pt idx="472">
                  <c:v>0.48599999999999999</c:v>
                </c:pt>
                <c:pt idx="473">
                  <c:v>0.48699999999999999</c:v>
                </c:pt>
                <c:pt idx="474">
                  <c:v>0.48799999999999999</c:v>
                </c:pt>
                <c:pt idx="475">
                  <c:v>0.48899999999999999</c:v>
                </c:pt>
                <c:pt idx="476">
                  <c:v>0.49</c:v>
                </c:pt>
                <c:pt idx="477">
                  <c:v>0.49099999999999999</c:v>
                </c:pt>
                <c:pt idx="478">
                  <c:v>0.49199999999999999</c:v>
                </c:pt>
                <c:pt idx="479">
                  <c:v>0.49299999999999999</c:v>
                </c:pt>
                <c:pt idx="480">
                  <c:v>0.49399999999999999</c:v>
                </c:pt>
                <c:pt idx="481">
                  <c:v>0.495</c:v>
                </c:pt>
                <c:pt idx="482">
                  <c:v>0.496</c:v>
                </c:pt>
                <c:pt idx="483">
                  <c:v>0.497</c:v>
                </c:pt>
                <c:pt idx="484">
                  <c:v>0.498</c:v>
                </c:pt>
                <c:pt idx="485">
                  <c:v>0.499</c:v>
                </c:pt>
                <c:pt idx="486">
                  <c:v>0.5</c:v>
                </c:pt>
                <c:pt idx="487">
                  <c:v>0.501</c:v>
                </c:pt>
                <c:pt idx="488">
                  <c:v>0.502</c:v>
                </c:pt>
                <c:pt idx="489">
                  <c:v>0.503</c:v>
                </c:pt>
                <c:pt idx="490">
                  <c:v>0.504</c:v>
                </c:pt>
                <c:pt idx="491">
                  <c:v>0.505</c:v>
                </c:pt>
                <c:pt idx="492">
                  <c:v>0.50600000000000001</c:v>
                </c:pt>
                <c:pt idx="493">
                  <c:v>0.50700000000000001</c:v>
                </c:pt>
                <c:pt idx="494">
                  <c:v>0.50800000000000001</c:v>
                </c:pt>
                <c:pt idx="495">
                  <c:v>0.50900000000000001</c:v>
                </c:pt>
                <c:pt idx="496">
                  <c:v>0.51</c:v>
                </c:pt>
                <c:pt idx="497">
                  <c:v>0.51100000000000001</c:v>
                </c:pt>
                <c:pt idx="498">
                  <c:v>0.51200000000000001</c:v>
                </c:pt>
                <c:pt idx="499">
                  <c:v>0.51300000000000001</c:v>
                </c:pt>
                <c:pt idx="500">
                  <c:v>0.51400000000000001</c:v>
                </c:pt>
                <c:pt idx="501">
                  <c:v>0.51500000000000001</c:v>
                </c:pt>
                <c:pt idx="502">
                  <c:v>0.51600000000000001</c:v>
                </c:pt>
                <c:pt idx="503">
                  <c:v>0.51700000000000002</c:v>
                </c:pt>
                <c:pt idx="504">
                  <c:v>0.51800000000000002</c:v>
                </c:pt>
                <c:pt idx="505">
                  <c:v>0.51900000000000002</c:v>
                </c:pt>
                <c:pt idx="506">
                  <c:v>0.52</c:v>
                </c:pt>
                <c:pt idx="507">
                  <c:v>0.52100000000000002</c:v>
                </c:pt>
                <c:pt idx="508">
                  <c:v>0.52200000000000002</c:v>
                </c:pt>
                <c:pt idx="509">
                  <c:v>0.52300000000000002</c:v>
                </c:pt>
                <c:pt idx="510">
                  <c:v>0.52400000000000002</c:v>
                </c:pt>
                <c:pt idx="511">
                  <c:v>0.52500000000000002</c:v>
                </c:pt>
                <c:pt idx="512">
                  <c:v>0.52600000000000002</c:v>
                </c:pt>
                <c:pt idx="513">
                  <c:v>0.52700000000000002</c:v>
                </c:pt>
                <c:pt idx="514">
                  <c:v>0.52800000000000002</c:v>
                </c:pt>
                <c:pt idx="515">
                  <c:v>0.52900000000000003</c:v>
                </c:pt>
                <c:pt idx="516">
                  <c:v>0.53</c:v>
                </c:pt>
                <c:pt idx="517">
                  <c:v>0.53100000000000003</c:v>
                </c:pt>
                <c:pt idx="518">
                  <c:v>0.53200000000000003</c:v>
                </c:pt>
                <c:pt idx="519">
                  <c:v>0.53300000000000003</c:v>
                </c:pt>
                <c:pt idx="520">
                  <c:v>0.53400000000000003</c:v>
                </c:pt>
                <c:pt idx="521">
                  <c:v>0.53500000000000003</c:v>
                </c:pt>
                <c:pt idx="522">
                  <c:v>0.53600000000000003</c:v>
                </c:pt>
                <c:pt idx="523">
                  <c:v>0.53700000000000003</c:v>
                </c:pt>
                <c:pt idx="524">
                  <c:v>0.53800000000000003</c:v>
                </c:pt>
                <c:pt idx="525">
                  <c:v>0.53900000000000003</c:v>
                </c:pt>
                <c:pt idx="526">
                  <c:v>0.54</c:v>
                </c:pt>
                <c:pt idx="527">
                  <c:v>0.54100000000000004</c:v>
                </c:pt>
                <c:pt idx="528">
                  <c:v>0.54200000000000004</c:v>
                </c:pt>
                <c:pt idx="529">
                  <c:v>0.54300000000000004</c:v>
                </c:pt>
                <c:pt idx="530">
                  <c:v>0.54400000000000004</c:v>
                </c:pt>
                <c:pt idx="531">
                  <c:v>0.54500000000000004</c:v>
                </c:pt>
                <c:pt idx="532">
                  <c:v>0.54600000000000004</c:v>
                </c:pt>
                <c:pt idx="533">
                  <c:v>0.54700000000000004</c:v>
                </c:pt>
                <c:pt idx="534">
                  <c:v>0.54800000000000004</c:v>
                </c:pt>
                <c:pt idx="535">
                  <c:v>0.54900000000000004</c:v>
                </c:pt>
                <c:pt idx="536">
                  <c:v>0.55000000000000004</c:v>
                </c:pt>
                <c:pt idx="537">
                  <c:v>0.55100000000000005</c:v>
                </c:pt>
                <c:pt idx="538">
                  <c:v>0.55200000000000005</c:v>
                </c:pt>
                <c:pt idx="539">
                  <c:v>0.55300000000000005</c:v>
                </c:pt>
                <c:pt idx="540">
                  <c:v>0.55400000000000005</c:v>
                </c:pt>
                <c:pt idx="541">
                  <c:v>0.55500000000000005</c:v>
                </c:pt>
                <c:pt idx="542">
                  <c:v>0.55600000000000005</c:v>
                </c:pt>
                <c:pt idx="543">
                  <c:v>0.55700000000000005</c:v>
                </c:pt>
                <c:pt idx="544">
                  <c:v>0.55800000000000005</c:v>
                </c:pt>
                <c:pt idx="545">
                  <c:v>0.55900000000000005</c:v>
                </c:pt>
                <c:pt idx="546">
                  <c:v>0.56000000000000005</c:v>
                </c:pt>
                <c:pt idx="547">
                  <c:v>0.56100000000000005</c:v>
                </c:pt>
                <c:pt idx="548">
                  <c:v>0.56200000000000006</c:v>
                </c:pt>
                <c:pt idx="549">
                  <c:v>0.56299999999999994</c:v>
                </c:pt>
                <c:pt idx="550">
                  <c:v>0.56399999999999995</c:v>
                </c:pt>
                <c:pt idx="551">
                  <c:v>0.56499999999999995</c:v>
                </c:pt>
                <c:pt idx="552">
                  <c:v>0.56599999999999995</c:v>
                </c:pt>
                <c:pt idx="553">
                  <c:v>0.56699999999999995</c:v>
                </c:pt>
                <c:pt idx="554">
                  <c:v>0.56799999999999995</c:v>
                </c:pt>
                <c:pt idx="555">
                  <c:v>0.56899999999999995</c:v>
                </c:pt>
                <c:pt idx="556">
                  <c:v>0.56999999999999995</c:v>
                </c:pt>
                <c:pt idx="557">
                  <c:v>0.57099999999999995</c:v>
                </c:pt>
                <c:pt idx="558">
                  <c:v>0.57199999999999995</c:v>
                </c:pt>
                <c:pt idx="559">
                  <c:v>0.57299999999999995</c:v>
                </c:pt>
                <c:pt idx="560">
                  <c:v>0.57399999999999995</c:v>
                </c:pt>
                <c:pt idx="561">
                  <c:v>0.57499999999999996</c:v>
                </c:pt>
                <c:pt idx="562">
                  <c:v>0.57599999999999996</c:v>
                </c:pt>
                <c:pt idx="563">
                  <c:v>0.57699999999999996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E1-4C83-AA30-B6037E661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5911920"/>
        <c:axId val="1185912336"/>
      </c:lineChart>
      <c:catAx>
        <c:axId val="118591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912336"/>
        <c:crosses val="autoZero"/>
        <c:auto val="1"/>
        <c:lblAlgn val="ctr"/>
        <c:lblOffset val="100"/>
        <c:noMultiLvlLbl val="0"/>
      </c:catAx>
      <c:valAx>
        <c:axId val="118591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91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  <cx:data id="2">
      <cx:strDim type="cat">
        <cx:f>_xlchart.v1.0</cx:f>
      </cx:strDim>
      <cx:numDim type="val">
        <cx:f>_xlchart.v1.6</cx:f>
      </cx:numDim>
    </cx:data>
    <cx:data id="3">
      <cx:strDim type="cat">
        <cx:f>_xlchart.v1.0</cx:f>
      </cx:strDim>
      <cx:numDim type="val">
        <cx:f>_xlchart.v1.8</cx:f>
      </cx:numDim>
    </cx:data>
  </cx:chartData>
  <cx:chart>
    <cx:title pos="t" align="ctr" overlay="0"/>
    <cx:plotArea>
      <cx:plotAreaRegion>
        <cx:series layoutId="boxWhisker" uniqueId="{A4B1E7F5-A209-D243-8D39-2EE455FFBD60}">
          <cx:tx>
            <cx:txData>
              <cx:f>_xlchart.v1.1</cx:f>
              <cx:v>TP_Seq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3866388B-C050-CB47-A3D4-ABF0FED20BE0}">
          <cx:tx>
            <cx:txData>
              <cx:f>_xlchart.v1.3</cx:f>
              <cx:v>FP_Seq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CB1651FC-55A5-9141-809B-32DA929DAF72}">
          <cx:tx>
            <cx:txData>
              <cx:f>_xlchart.v1.5</cx:f>
              <cx:v>FN1_Seq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70025709-5862-D346-8F03-AF6DFB7A7A4F}">
          <cx:tx>
            <cx:txData>
              <cx:f>_xlchart.v1.7</cx:f>
              <cx:v>FN2_Seq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title>
          <cx:tx>
            <cx:txData>
              <cx:v>Axis title - units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GB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Axis title - units</a:t>
              </a:r>
            </a:p>
          </cx:txPr>
        </cx:title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4</xdr:row>
          <xdr:rowOff>63500</xdr:rowOff>
        </xdr:from>
        <xdr:to>
          <xdr:col>14</xdr:col>
          <xdr:colOff>165100</xdr:colOff>
          <xdr:row>6</xdr:row>
          <xdr:rowOff>12700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LFD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215900</xdr:colOff>
          <xdr:row>7</xdr:row>
          <xdr:rowOff>50800</xdr:rowOff>
        </xdr:from>
        <xdr:to>
          <xdr:col>14</xdr:col>
          <xdr:colOff>203200</xdr:colOff>
          <xdr:row>9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635000</xdr:colOff>
          <xdr:row>3</xdr:row>
          <xdr:rowOff>127000</xdr:rowOff>
        </xdr:from>
        <xdr:to>
          <xdr:col>16</xdr:col>
          <xdr:colOff>406400</xdr:colOff>
          <xdr:row>5</xdr:row>
          <xdr:rowOff>76200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Baseline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635000</xdr:colOff>
          <xdr:row>6</xdr:row>
          <xdr:rowOff>38100</xdr:rowOff>
        </xdr:from>
        <xdr:to>
          <xdr:col>16</xdr:col>
          <xdr:colOff>419100</xdr:colOff>
          <xdr:row>7</xdr:row>
          <xdr:rowOff>177800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Worst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660400</xdr:colOff>
          <xdr:row>8</xdr:row>
          <xdr:rowOff>165100</xdr:rowOff>
        </xdr:from>
        <xdr:to>
          <xdr:col>16</xdr:col>
          <xdr:colOff>444500</xdr:colOff>
          <xdr:row>10</xdr:row>
          <xdr:rowOff>127000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278946</xdr:colOff>
      <xdr:row>0</xdr:row>
      <xdr:rowOff>163286</xdr:rowOff>
    </xdr:from>
    <xdr:to>
      <xdr:col>40</xdr:col>
      <xdr:colOff>544284</xdr:colOff>
      <xdr:row>34</xdr:row>
      <xdr:rowOff>115660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614362</xdr:colOff>
      <xdr:row>0</xdr:row>
      <xdr:rowOff>90486</xdr:rowOff>
    </xdr:from>
    <xdr:to>
      <xdr:col>13</xdr:col>
      <xdr:colOff>209550</xdr:colOff>
      <xdr:row>10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143119</xdr:rowOff>
    </xdr:from>
    <xdr:to>
      <xdr:col>13</xdr:col>
      <xdr:colOff>399307</xdr:colOff>
      <xdr:row>11</xdr:row>
      <xdr:rowOff>123692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58025" y="1190869"/>
          <a:ext cx="4933207" cy="885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177800</xdr:colOff>
          <xdr:row>2</xdr:row>
          <xdr:rowOff>38100</xdr:rowOff>
        </xdr:from>
        <xdr:to>
          <xdr:col>1</xdr:col>
          <xdr:colOff>800100</xdr:colOff>
          <xdr:row>3</xdr:row>
          <xdr:rowOff>76200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LFD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4</xdr:row>
          <xdr:rowOff>0</xdr:rowOff>
        </xdr:from>
        <xdr:to>
          <xdr:col>1</xdr:col>
          <xdr:colOff>812800</xdr:colOff>
          <xdr:row>5</xdr:row>
          <xdr:rowOff>63500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5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1016000</xdr:colOff>
          <xdr:row>3</xdr:row>
          <xdr:rowOff>101600</xdr:rowOff>
        </xdr:from>
        <xdr:to>
          <xdr:col>2</xdr:col>
          <xdr:colOff>596900</xdr:colOff>
          <xdr:row>4</xdr:row>
          <xdr:rowOff>127000</xdr:rowOff>
        </xdr:to>
        <xdr:sp macro="" textlink="">
          <xdr:nvSpPr>
            <xdr:cNvPr id="11277" name="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5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WorstCase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1003300</xdr:colOff>
          <xdr:row>2</xdr:row>
          <xdr:rowOff>12700</xdr:rowOff>
        </xdr:from>
        <xdr:to>
          <xdr:col>2</xdr:col>
          <xdr:colOff>609600</xdr:colOff>
          <xdr:row>3</xdr:row>
          <xdr:rowOff>38100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5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Baseline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482600</xdr:colOff>
          <xdr:row>13</xdr:row>
          <xdr:rowOff>127000</xdr:rowOff>
        </xdr:from>
        <xdr:to>
          <xdr:col>13</xdr:col>
          <xdr:colOff>533400</xdr:colOff>
          <xdr:row>15</xdr:row>
          <xdr:rowOff>12700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5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13</xdr:row>
          <xdr:rowOff>152400</xdr:rowOff>
        </xdr:from>
        <xdr:to>
          <xdr:col>18</xdr:col>
          <xdr:colOff>76200</xdr:colOff>
          <xdr:row>15</xdr:row>
          <xdr:rowOff>63500</xdr:rowOff>
        </xdr:to>
        <xdr:sp macro="" textlink="">
          <xdr:nvSpPr>
            <xdr:cNvPr id="11281" name="Butto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5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469900</xdr:colOff>
          <xdr:row>10</xdr:row>
          <xdr:rowOff>63500</xdr:rowOff>
        </xdr:from>
        <xdr:to>
          <xdr:col>13</xdr:col>
          <xdr:colOff>520700</xdr:colOff>
          <xdr:row>11</xdr:row>
          <xdr:rowOff>127000</xdr:rowOff>
        </xdr:to>
        <xdr:sp macro="" textlink="">
          <xdr:nvSpPr>
            <xdr:cNvPr id="11283" name="Button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5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PCR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12</xdr:row>
          <xdr:rowOff>0</xdr:rowOff>
        </xdr:from>
        <xdr:to>
          <xdr:col>13</xdr:col>
          <xdr:colOff>508000</xdr:colOff>
          <xdr:row>13</xdr:row>
          <xdr:rowOff>63500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5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12</xdr:row>
          <xdr:rowOff>12700</xdr:rowOff>
        </xdr:from>
        <xdr:to>
          <xdr:col>18</xdr:col>
          <xdr:colOff>88900</xdr:colOff>
          <xdr:row>13</xdr:row>
          <xdr:rowOff>101600</xdr:rowOff>
        </xdr:to>
        <xdr:sp macro="" textlink="">
          <xdr:nvSpPr>
            <xdr:cNvPr id="11287" name="Button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5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10</xdr:row>
          <xdr:rowOff>63500</xdr:rowOff>
        </xdr:from>
        <xdr:to>
          <xdr:col>18</xdr:col>
          <xdr:colOff>63500</xdr:colOff>
          <xdr:row>11</xdr:row>
          <xdr:rowOff>139700</xdr:rowOff>
        </xdr:to>
        <xdr:sp macro="" textlink="">
          <xdr:nvSpPr>
            <xdr:cNvPr id="11288" name="Button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5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PCR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1016000</xdr:colOff>
          <xdr:row>4</xdr:row>
          <xdr:rowOff>165100</xdr:rowOff>
        </xdr:from>
        <xdr:to>
          <xdr:col>2</xdr:col>
          <xdr:colOff>596900</xdr:colOff>
          <xdr:row>6</xdr:row>
          <xdr:rowOff>12700</xdr:rowOff>
        </xdr:to>
        <xdr:sp macro="" textlink="">
          <xdr:nvSpPr>
            <xdr:cNvPr id="11290" name="Button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5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BestCase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15</xdr:row>
          <xdr:rowOff>63500</xdr:rowOff>
        </xdr:from>
        <xdr:to>
          <xdr:col>13</xdr:col>
          <xdr:colOff>546100</xdr:colOff>
          <xdr:row>16</xdr:row>
          <xdr:rowOff>139700</xdr:rowOff>
        </xdr:to>
        <xdr:sp macro="" textlink="">
          <xdr:nvSpPr>
            <xdr:cNvPr id="11291" name="Button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5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LFD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660400</xdr:colOff>
          <xdr:row>15</xdr:row>
          <xdr:rowOff>101600</xdr:rowOff>
        </xdr:from>
        <xdr:to>
          <xdr:col>18</xdr:col>
          <xdr:colOff>76200</xdr:colOff>
          <xdr:row>16</xdr:row>
          <xdr:rowOff>165100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5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LFD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469900</xdr:colOff>
          <xdr:row>33</xdr:row>
          <xdr:rowOff>63500</xdr:rowOff>
        </xdr:from>
        <xdr:to>
          <xdr:col>3</xdr:col>
          <xdr:colOff>749300</xdr:colOff>
          <xdr:row>34</xdr:row>
          <xdr:rowOff>127000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5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TP_Seq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977900</xdr:colOff>
          <xdr:row>33</xdr:row>
          <xdr:rowOff>76200</xdr:rowOff>
        </xdr:from>
        <xdr:to>
          <xdr:col>4</xdr:col>
          <xdr:colOff>800100</xdr:colOff>
          <xdr:row>34</xdr:row>
          <xdr:rowOff>152400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5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FP1_Seq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33</xdr:row>
          <xdr:rowOff>101600</xdr:rowOff>
        </xdr:from>
        <xdr:to>
          <xdr:col>6</xdr:col>
          <xdr:colOff>622300</xdr:colOff>
          <xdr:row>34</xdr:row>
          <xdr:rowOff>177800</xdr:rowOff>
        </xdr:to>
        <xdr:sp macro="" textlink="">
          <xdr:nvSpPr>
            <xdr:cNvPr id="11296" name="Button 32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00000000-0008-0000-0500-00002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FN1_Seq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33</xdr:row>
          <xdr:rowOff>114300</xdr:rowOff>
        </xdr:from>
        <xdr:to>
          <xdr:col>8</xdr:col>
          <xdr:colOff>279400</xdr:colOff>
          <xdr:row>34</xdr:row>
          <xdr:rowOff>177800</xdr:rowOff>
        </xdr:to>
        <xdr:sp macro="" textlink="">
          <xdr:nvSpPr>
            <xdr:cNvPr id="11297" name="Button 33" hidden="1">
              <a:extLst>
                <a:ext uri="{63B3BB69-23CF-44E3-9099-C40C66FF867C}">
                  <a14:compatExt spid="_x0000_s11297"/>
                </a:ext>
                <a:ext uri="{FF2B5EF4-FFF2-40B4-BE49-F238E27FC236}">
                  <a16:creationId xmlns:a16="http://schemas.microsoft.com/office/drawing/2014/main" id="{00000000-0008-0000-0500-00002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FN2_Seq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5</xdr:row>
      <xdr:rowOff>25400</xdr:rowOff>
    </xdr:from>
    <xdr:to>
      <xdr:col>16</xdr:col>
      <xdr:colOff>520700</xdr:colOff>
      <xdr:row>21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24400" y="977900"/>
              <a:ext cx="6959600" cy="317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444500</xdr:colOff>
      <xdr:row>27</xdr:row>
      <xdr:rowOff>25400</xdr:rowOff>
    </xdr:from>
    <xdr:to>
      <xdr:col>16</xdr:col>
      <xdr:colOff>215900</xdr:colOff>
      <xdr:row>57</xdr:row>
      <xdr:rowOff>0</xdr:rowOff>
    </xdr:to>
    <xdr:pic>
      <xdr:nvPicPr>
        <xdr:cNvPr id="10" name="Picture 9" descr="ggplot2 violin plot : Quick start guide - R software and data visualization  - Easy Guides - Wiki - STHDA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5168900"/>
          <a:ext cx="6502400" cy="568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12700</xdr:colOff>
      <xdr:row>6</xdr:row>
      <xdr:rowOff>76200</xdr:rowOff>
    </xdr:from>
    <xdr:to>
      <xdr:col>32</xdr:col>
      <xdr:colOff>520700</xdr:colOff>
      <xdr:row>29</xdr:row>
      <xdr:rowOff>12700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868400" y="1219200"/>
          <a:ext cx="8585200" cy="431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21" Type="http://schemas.openxmlformats.org/officeDocument/2006/relationships/comments" Target="../comments2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S96"/>
  <sheetViews>
    <sheetView showGridLines="0" topLeftCell="A23" zoomScale="70" zoomScaleNormal="70" workbookViewId="0">
      <selection activeCell="C6" sqref="C6"/>
    </sheetView>
  </sheetViews>
  <sheetFormatPr baseColWidth="10" defaultColWidth="8.83203125" defaultRowHeight="15" x14ac:dyDescent="0.2"/>
  <cols>
    <col min="1" max="1" width="4.1640625" customWidth="1"/>
    <col min="2" max="2" width="25" customWidth="1"/>
    <col min="3" max="3" width="10.33203125" bestFit="1" customWidth="1"/>
    <col min="4" max="4" width="11.5" customWidth="1"/>
    <col min="5" max="5" width="10.33203125" bestFit="1" customWidth="1"/>
    <col min="6" max="6" width="11.5" bestFit="1" customWidth="1"/>
    <col min="7" max="7" width="9.6640625" bestFit="1" customWidth="1"/>
    <col min="8" max="8" width="12.33203125" bestFit="1" customWidth="1"/>
    <col min="9" max="9" width="12.1640625" bestFit="1" customWidth="1"/>
    <col min="10" max="10" width="9.1640625" bestFit="1" customWidth="1"/>
    <col min="11" max="11" width="11.5" customWidth="1"/>
    <col min="12" max="12" width="13.83203125" customWidth="1"/>
    <col min="13" max="13" width="10.1640625" customWidth="1"/>
    <col min="14" max="14" width="13.6640625" bestFit="1" customWidth="1"/>
    <col min="15" max="15" width="13.6640625" customWidth="1"/>
    <col min="16" max="17" width="10.1640625" bestFit="1" customWidth="1"/>
  </cols>
  <sheetData>
    <row r="2" spans="2:17" x14ac:dyDescent="0.2">
      <c r="B2" s="63" t="s">
        <v>93</v>
      </c>
      <c r="C2" s="64">
        <v>1</v>
      </c>
      <c r="D2" s="160" t="s">
        <v>131</v>
      </c>
      <c r="E2" s="161"/>
      <c r="F2" s="161"/>
      <c r="G2" s="162"/>
    </row>
    <row r="3" spans="2:17" x14ac:dyDescent="0.2">
      <c r="B3" s="63" t="s">
        <v>89</v>
      </c>
      <c r="C3" s="68">
        <v>1</v>
      </c>
      <c r="D3" s="169" t="s">
        <v>92</v>
      </c>
      <c r="E3" s="169"/>
      <c r="F3" s="169"/>
      <c r="G3" s="169"/>
    </row>
    <row r="4" spans="2:17" x14ac:dyDescent="0.2">
      <c r="L4" s="70"/>
      <c r="M4" s="69"/>
      <c r="N4" s="69"/>
      <c r="O4" s="69"/>
      <c r="P4" s="69"/>
      <c r="Q4" s="69"/>
    </row>
    <row r="5" spans="2:17" x14ac:dyDescent="0.2">
      <c r="B5" s="25" t="s">
        <v>46</v>
      </c>
      <c r="C5" s="49" t="s">
        <v>94</v>
      </c>
      <c r="H5" s="23" t="s">
        <v>26</v>
      </c>
      <c r="I5" s="23"/>
      <c r="J5" s="24" t="s">
        <v>25</v>
      </c>
      <c r="L5" s="70"/>
      <c r="M5" s="69"/>
      <c r="N5" s="69"/>
      <c r="O5" s="69"/>
      <c r="P5" s="69"/>
      <c r="Q5" s="69"/>
    </row>
    <row r="6" spans="2:17" x14ac:dyDescent="0.2">
      <c r="B6" s="4" t="s">
        <v>86</v>
      </c>
      <c r="C6" s="5">
        <v>11346</v>
      </c>
      <c r="H6" s="160" t="s">
        <v>24</v>
      </c>
      <c r="I6" s="162"/>
      <c r="J6" s="5">
        <v>16.100000000000001</v>
      </c>
      <c r="L6" s="70"/>
      <c r="M6" s="69"/>
      <c r="N6" s="69"/>
      <c r="O6" s="69"/>
      <c r="P6" s="69"/>
      <c r="Q6" s="69"/>
    </row>
    <row r="7" spans="2:17" x14ac:dyDescent="0.2">
      <c r="B7" s="30" t="s">
        <v>34</v>
      </c>
      <c r="C7" s="5">
        <f>cohort_all-(cohort_all*Prev*Symptomatic)</f>
        <v>11324.552883120001</v>
      </c>
      <c r="H7" s="170" t="s">
        <v>23</v>
      </c>
      <c r="I7" s="171"/>
      <c r="J7" s="26">
        <v>53.6</v>
      </c>
      <c r="L7" s="70"/>
      <c r="M7" s="69"/>
      <c r="N7" s="69"/>
      <c r="O7" s="69"/>
      <c r="P7" s="69"/>
      <c r="Q7" s="69"/>
    </row>
    <row r="8" spans="2:17" x14ac:dyDescent="0.2">
      <c r="B8" s="30" t="s">
        <v>40</v>
      </c>
      <c r="C8" s="136">
        <v>1.3502E-2</v>
      </c>
      <c r="H8" s="126" t="s">
        <v>22</v>
      </c>
      <c r="I8" s="126"/>
      <c r="J8" s="26">
        <f>53.6*J10</f>
        <v>214.4</v>
      </c>
      <c r="L8" s="70"/>
      <c r="M8" s="69"/>
      <c r="N8" s="69"/>
      <c r="O8" s="69"/>
      <c r="P8" s="69"/>
      <c r="Q8" s="69"/>
    </row>
    <row r="9" spans="2:17" x14ac:dyDescent="0.2">
      <c r="B9" s="30" t="s">
        <v>35</v>
      </c>
      <c r="C9" s="5">
        <f>IF(C2=1,C31,C33)</f>
        <v>0.79</v>
      </c>
      <c r="H9" s="160" t="s">
        <v>129</v>
      </c>
      <c r="I9" s="162"/>
      <c r="J9" s="5">
        <f>SUM(J7:J8)</f>
        <v>268</v>
      </c>
      <c r="L9" s="70"/>
      <c r="M9" s="69"/>
      <c r="N9" s="69"/>
      <c r="O9" s="69"/>
      <c r="P9" s="69"/>
      <c r="Q9" s="69"/>
    </row>
    <row r="10" spans="2:17" x14ac:dyDescent="0.2">
      <c r="B10" s="30" t="s">
        <v>36</v>
      </c>
      <c r="C10" s="5">
        <f>IF(C2=1,C32,C34)</f>
        <v>0.99</v>
      </c>
      <c r="H10" s="165" t="s">
        <v>20</v>
      </c>
      <c r="I10" s="165"/>
      <c r="J10" s="19">
        <v>4</v>
      </c>
      <c r="L10" s="70"/>
      <c r="M10" s="69"/>
      <c r="N10" s="69"/>
      <c r="O10" s="69"/>
      <c r="P10" s="69"/>
      <c r="Q10" s="69"/>
    </row>
    <row r="11" spans="2:17" x14ac:dyDescent="0.2">
      <c r="B11" s="30" t="s">
        <v>79</v>
      </c>
      <c r="C11" s="62">
        <f>C35</f>
        <v>0.8</v>
      </c>
      <c r="H11" s="124" t="s">
        <v>19</v>
      </c>
      <c r="I11" s="124"/>
      <c r="J11" s="125">
        <f>J7+J8</f>
        <v>268</v>
      </c>
      <c r="L11" s="70"/>
      <c r="M11" s="69"/>
      <c r="N11" s="69"/>
      <c r="O11" s="69"/>
      <c r="P11" s="69"/>
      <c r="Q11" s="69"/>
    </row>
    <row r="12" spans="2:17" x14ac:dyDescent="0.2">
      <c r="B12" s="30" t="s">
        <v>80</v>
      </c>
      <c r="C12" s="62">
        <f>C36</f>
        <v>0.99</v>
      </c>
      <c r="F12" s="100">
        <f>Prev*cohort</f>
        <v>152.90411302788624</v>
      </c>
    </row>
    <row r="13" spans="2:17" ht="14.25" customHeight="1" x14ac:dyDescent="0.2">
      <c r="B13" s="30" t="s">
        <v>39</v>
      </c>
      <c r="C13" s="5">
        <v>0</v>
      </c>
      <c r="F13" s="100">
        <f>cohort-F12</f>
        <v>11171.648770092115</v>
      </c>
    </row>
    <row r="14" spans="2:17" x14ac:dyDescent="0.2">
      <c r="B14" s="39" t="s">
        <v>54</v>
      </c>
      <c r="C14" s="26">
        <v>0.14000000000000001</v>
      </c>
    </row>
    <row r="15" spans="2:17" x14ac:dyDescent="0.2">
      <c r="B15" s="39" t="s">
        <v>138</v>
      </c>
      <c r="C15" s="26">
        <v>1</v>
      </c>
    </row>
    <row r="16" spans="2:17" x14ac:dyDescent="0.2">
      <c r="B16" s="39" t="s">
        <v>139</v>
      </c>
      <c r="C16" s="26">
        <v>1</v>
      </c>
    </row>
    <row r="18" spans="2:17" ht="57" customHeight="1" x14ac:dyDescent="0.2">
      <c r="B18" s="118" t="s">
        <v>18</v>
      </c>
      <c r="C18" s="119" t="s">
        <v>126</v>
      </c>
      <c r="D18" s="119" t="s">
        <v>16</v>
      </c>
      <c r="E18" s="119" t="s">
        <v>15</v>
      </c>
      <c r="F18" s="119" t="s">
        <v>14</v>
      </c>
      <c r="G18" s="119" t="s">
        <v>13</v>
      </c>
      <c r="H18" s="119" t="s">
        <v>12</v>
      </c>
      <c r="I18" s="119" t="s">
        <v>11</v>
      </c>
      <c r="J18" s="121" t="s">
        <v>125</v>
      </c>
      <c r="K18" s="121" t="s">
        <v>122</v>
      </c>
      <c r="L18" s="121" t="s">
        <v>123</v>
      </c>
      <c r="M18" s="121" t="s">
        <v>124</v>
      </c>
      <c r="N18" s="120" t="s">
        <v>155</v>
      </c>
      <c r="O18" s="120" t="s">
        <v>156</v>
      </c>
      <c r="P18" s="120" t="s">
        <v>130</v>
      </c>
      <c r="Q18" s="120" t="s">
        <v>42</v>
      </c>
    </row>
    <row r="19" spans="2:17" ht="16" x14ac:dyDescent="0.2">
      <c r="B19" s="53" t="s">
        <v>137</v>
      </c>
      <c r="C19" s="56">
        <f>cohort*Prev*GoldSn</f>
        <v>152.90411302788624</v>
      </c>
      <c r="D19" s="56">
        <v>0</v>
      </c>
      <c r="E19" s="56">
        <f>cohort*(1-Prev)*(1-Glod_Sp)</f>
        <v>0</v>
      </c>
      <c r="F19" s="56">
        <v>0</v>
      </c>
      <c r="G19" s="56">
        <f>cohort*Prev*(1-GoldSn)</f>
        <v>0</v>
      </c>
      <c r="H19" s="56">
        <v>0</v>
      </c>
      <c r="I19" s="56">
        <f>cohort*(1-Prev)*Glod_Sp</f>
        <v>11171.648770092115</v>
      </c>
      <c r="J19" s="36">
        <f>(C19*AbsPosSeq)+(E19*AbsPosSeq)</f>
        <v>40978.302291473512</v>
      </c>
      <c r="K19" s="36">
        <f>C19*AbsPosSeq</f>
        <v>40978.302291473512</v>
      </c>
      <c r="L19" s="37">
        <f>J19-K19</f>
        <v>0</v>
      </c>
      <c r="M19" s="37">
        <f>G19*AbsPosSeq</f>
        <v>0</v>
      </c>
      <c r="N19" s="33">
        <f>K19/J19</f>
        <v>1</v>
      </c>
      <c r="O19" s="33">
        <f>M19/(M19+K19)</f>
        <v>0</v>
      </c>
      <c r="P19" s="32">
        <f>N19-O19</f>
        <v>1</v>
      </c>
      <c r="Q19" s="34">
        <f>(Prev*Total_SnParallel)+((1-Prev)*Total_SpParallel)</f>
        <v>0.97980160579999998</v>
      </c>
    </row>
    <row r="20" spans="2:17" ht="16" x14ac:dyDescent="0.2">
      <c r="B20" s="53" t="s">
        <v>117</v>
      </c>
      <c r="C20" s="56">
        <f>cohort*Prev*SnTest2</f>
        <v>122.323290422309</v>
      </c>
      <c r="D20" s="56">
        <v>0</v>
      </c>
      <c r="E20" s="56">
        <f>cohort*(1-Prev)*(1-SpTest2)</f>
        <v>111.71648770092125</v>
      </c>
      <c r="F20" s="56">
        <v>0</v>
      </c>
      <c r="G20" s="56">
        <f>cohort*Prev*(1-SnTest2)</f>
        <v>30.580822605577239</v>
      </c>
      <c r="H20" s="56">
        <v>0</v>
      </c>
      <c r="I20" s="56">
        <f>cohort*(1-Prev)*SpTest2</f>
        <v>11059.932282391193</v>
      </c>
      <c r="J20" s="36">
        <f>(C20*AbsPosSeq)+(E20*AbsPosSeq)</f>
        <v>62722.660537025709</v>
      </c>
      <c r="K20" s="36">
        <f>C20*AbsPosSeq</f>
        <v>32782.641833178815</v>
      </c>
      <c r="L20" s="37">
        <f>J20-K20</f>
        <v>29940.018703846894</v>
      </c>
      <c r="M20" s="37">
        <f>G20*AbsPosSeq</f>
        <v>8195.6604582947002</v>
      </c>
      <c r="N20" s="33">
        <f>K20/J20</f>
        <v>0.5226602563172037</v>
      </c>
      <c r="O20" s="33">
        <f>M20/(M20+K20)</f>
        <v>0.1999999999999999</v>
      </c>
      <c r="P20" s="32">
        <f>N20-O20</f>
        <v>0.3226602563172038</v>
      </c>
      <c r="Q20" s="34">
        <f>(Prev*Total_SnParallel)+((1-Prev)*Total_SpParallel)</f>
        <v>0.97980160579999998</v>
      </c>
    </row>
    <row r="21" spans="2:17" ht="16" x14ac:dyDescent="0.2">
      <c r="B21" s="53" t="s">
        <v>52</v>
      </c>
      <c r="C21" s="56">
        <f>cohort_all*Prev*0</f>
        <v>0</v>
      </c>
      <c r="D21" s="56">
        <v>0</v>
      </c>
      <c r="E21" s="57">
        <v>0</v>
      </c>
      <c r="F21" s="56">
        <v>0</v>
      </c>
      <c r="G21" s="56">
        <f>cohort*Prev*(1-0)</f>
        <v>152.90411302788624</v>
      </c>
      <c r="H21" s="56">
        <v>0</v>
      </c>
      <c r="I21" s="56">
        <f>cohort*(1-Prev)</f>
        <v>11171.648770092115</v>
      </c>
      <c r="J21" s="36">
        <f>(C21*AbsPosSeq)+(E21*AbsPosSeq)</f>
        <v>0</v>
      </c>
      <c r="K21" s="36">
        <f>C21*AbsPosSeq</f>
        <v>0</v>
      </c>
      <c r="L21" s="37">
        <f>J21-K21</f>
        <v>0</v>
      </c>
      <c r="M21" s="37">
        <f>G21*AbsPosSeq</f>
        <v>40978.302291473512</v>
      </c>
      <c r="N21" s="33" t="e">
        <f>K21/J21</f>
        <v>#DIV/0!</v>
      </c>
      <c r="O21" s="33">
        <f>M21/(M21+K21)</f>
        <v>1</v>
      </c>
      <c r="P21" s="32" t="e">
        <f>N21-O21</f>
        <v>#DIV/0!</v>
      </c>
      <c r="Q21" s="34">
        <f>(Prev*Total_SnParallel)+((1-Prev)*Total_SpParallel)</f>
        <v>0.97980160579999998</v>
      </c>
    </row>
    <row r="22" spans="2:17" ht="11.75" customHeight="1" x14ac:dyDescent="0.2">
      <c r="B22" s="52" t="s">
        <v>3</v>
      </c>
      <c r="C22" s="58">
        <f>cohort*Prev*(SnTest1+SnTest2-(SnTest1* SnTest2)-(corr*(SnTest1*(1-SnTest1)* SnTest2*(1- SnTest2))^0.5))</f>
        <v>146.48214028071502</v>
      </c>
      <c r="D22" s="57">
        <v>0</v>
      </c>
      <c r="E22" s="57">
        <f>cohort*(1-Prev)*(1-(SpTest1*SpTest2)+corr*(SpTest1*(1-SpTest2)*SpTest2*(1-SpTest2))^0.5)</f>
        <v>222.31581052483341</v>
      </c>
      <c r="F22" s="57">
        <v>0</v>
      </c>
      <c r="G22" s="57">
        <f>cohort*Prev*(1-(SnTest1+SnTest2-(SnTest1* SnTest2)-(corr*(SnTest1*(1-SnTest1)* SnTest2*(1- SnTest2))^0.5)))</f>
        <v>6.4219727471712273</v>
      </c>
      <c r="H22" s="57">
        <v>0</v>
      </c>
      <c r="I22" s="58">
        <f>cohort*(1-Prev)*((SpTest1*SpTest2)+corr*(SpTest1*(1-SpTest2)*SpTest2*(1-SpTest2))^0.5)</f>
        <v>10949.332959567282</v>
      </c>
      <c r="J22" s="36">
        <f>(C22*$J$11)+(E22*$J$11)</f>
        <v>98837.850815886981</v>
      </c>
      <c r="K22" s="36">
        <f>C22*$J$11</f>
        <v>39257.213595231624</v>
      </c>
      <c r="L22" s="37">
        <f>J22-K22</f>
        <v>59580.637220655357</v>
      </c>
      <c r="M22" s="37">
        <f>G22*J11</f>
        <v>1721.088696241889</v>
      </c>
      <c r="N22" s="33">
        <f>K22/J22</f>
        <v>0.39718805367752397</v>
      </c>
      <c r="O22" s="33">
        <f>M22/(M22+K22)</f>
        <v>4.2000000000000037E-2</v>
      </c>
      <c r="P22" s="32">
        <f>N22-O22</f>
        <v>0.35518805367752393</v>
      </c>
      <c r="Q22" s="34">
        <f>(Prev*Total_SnParallel)+((1-Prev)*Total_SpParallel)</f>
        <v>0.97980160579999998</v>
      </c>
    </row>
    <row r="23" spans="2:17" ht="15" customHeight="1" x14ac:dyDescent="0.2">
      <c r="B23" s="53" t="s">
        <v>95</v>
      </c>
      <c r="C23" s="22">
        <f>cohort*Prev*SnTest1*((corr*(SQRT(SnTest1*(1-SnTest1)*SnTest2*(1-SnTest2)))+SnTest1*SnTest2)/SnTest1)</f>
        <v>96.63539943362413</v>
      </c>
      <c r="D23" s="59">
        <f>(1-Prev)*(1-SpTest1)*cohort</f>
        <v>111.71648770092125</v>
      </c>
      <c r="E23" s="99">
        <f>cohort*(1-Prev)*(1-SpTest1)-TNTest2</f>
        <v>1.1171648770091025</v>
      </c>
      <c r="F23" s="22">
        <f>cohort*Prev*(1-SnTest1)</f>
        <v>32.109863735856102</v>
      </c>
      <c r="G23" s="22">
        <f>(cohort*Prev*SnTest1)-TPSeq</f>
        <v>24.158849858406001</v>
      </c>
      <c r="H23" s="22">
        <f>(1-Prev)*SpTest1*cohort</f>
        <v>11059.932282391193</v>
      </c>
      <c r="I23" s="22">
        <f>cohort*(1-Prev)*(1-SpTest1)*(SpTest2-(corr*(SQRT(SpTest1*(1-SpTest1)*SpTest2*(1-SpTest2)))+SpTest2*SpTest1))/(1-SpTest1)</f>
        <v>110.59932282391215</v>
      </c>
      <c r="J23" s="22">
        <f>(TPSeq*AbsPosSeq)+(TNTest2*AbsTest1Pos)+(FPTest2*AbsPosSeq)+(FNTest2*AbsTest1Pos)</f>
        <v>28367.293815435027</v>
      </c>
      <c r="K23" s="22">
        <f>(TPSeq*AbsPosSeq)+(FNTest2*AbsTest1Pos)</f>
        <v>26287.244530931603</v>
      </c>
      <c r="L23" s="22">
        <f>(FPTest2*AbsPosSeq)+(TNTest2*AbsTest1Pos)</f>
        <v>2080.049284503425</v>
      </c>
      <c r="M23" s="22">
        <f>(FNTest1*AbsPosSeq)+(FNTest2*(AbsPosSeq-AbsTest1Pos))</f>
        <v>14691.057760541906</v>
      </c>
      <c r="N23" s="12">
        <f>K23/J23</f>
        <v>0.92667438430902982</v>
      </c>
      <c r="O23" s="12">
        <f>M23/(M23+K23)</f>
        <v>0.35850820895522373</v>
      </c>
      <c r="P23" s="13">
        <f>N23-O23</f>
        <v>0.56816617535380609</v>
      </c>
      <c r="Q23" s="31">
        <f>(Prev*Total_SnSeq)+((1-Prev)*Total_SpSeq)</f>
        <v>0.99493261420000001</v>
      </c>
    </row>
    <row r="24" spans="2:17" x14ac:dyDescent="0.2">
      <c r="B24" s="35" t="s">
        <v>2</v>
      </c>
      <c r="C24" s="57">
        <f>Cohort2ndRound*Prev2ndRound*SnTest1*((corr*(SQRT(SnTest1*(1-SnTest1)*SnTest2*(1-SnTest2)))+SnTest1*SnTest2)/SnTest1)</f>
        <v>38.903731096074289</v>
      </c>
      <c r="D24" s="57">
        <f>(1-Prev2ndRound)*(1-SpTest1)*Cohort2ndRound</f>
        <v>111.65243782264956</v>
      </c>
      <c r="E24" s="57">
        <f>(Cohort2ndRound*(1-Prev2ndRound)*(1-SpTest1))-TNTest2_2ndRound</f>
        <v>1.116524378226373</v>
      </c>
      <c r="F24" s="60">
        <f>Cohort2ndRound*Prev2ndRound*(1-SnTest1)</f>
        <v>12.926872674328479</v>
      </c>
      <c r="G24" s="60">
        <f>(Cohort2ndRound*Prev2ndRound*SnTest1)-TPs2ndRound</f>
        <v>9.7259327740185668</v>
      </c>
      <c r="H24" s="60">
        <f>(1-Prev2ndRound)*SpTest1*Cohort2ndRound</f>
        <v>11053.591344442297</v>
      </c>
      <c r="I24" s="60">
        <f>Cohort2ndRound*(1-Prev2ndRound)*(1-SpTest1)*(SpTest2-(corr*(SQRT(SpTest1*(1-SpTest1)*SpTest2*(1-SpTest2)))+SpTest2*SpTest1))/(1-SpTest1)</f>
        <v>110.53591344442319</v>
      </c>
      <c r="J24" s="37"/>
      <c r="K24" s="37"/>
      <c r="L24" s="37"/>
      <c r="M24" s="37"/>
      <c r="N24" s="33"/>
      <c r="O24" s="33"/>
      <c r="P24" s="32"/>
      <c r="Q24" s="34"/>
    </row>
    <row r="25" spans="2:17" x14ac:dyDescent="0.2">
      <c r="B25" s="35" t="s">
        <v>1</v>
      </c>
      <c r="C25" s="57">
        <f>Cohort3rdRound*Prev3rdRound*SnTest1*((corr*(SQRT(SnTest1*(1-SnTest1)*SnTest2*(1-SnTest2)))+SnTest1*SnTest2)/SnTest1)</f>
        <v>17.646561344502821</v>
      </c>
      <c r="D25" s="57">
        <f>(1-Prev3rdRound)*(1-SpTest1)*Cohort3rdRound</f>
        <v>111.58848567397094</v>
      </c>
      <c r="E25" s="57">
        <f>(Cohort3rdRound*(1-Prev3rdRound)*(1-SpTest1))-TNTest2_3rdRound</f>
        <v>1.1158848567395836</v>
      </c>
      <c r="F25" s="60">
        <f>Cohort3rdRound*Prev3rdRound*(1-SnTest1)</f>
        <v>5.8635725986480871</v>
      </c>
      <c r="G25" s="60">
        <f>(Cohort3rdRound*Prev3rdRound*SnTest1)-TPs3rdRound</f>
        <v>4.4116403361256999</v>
      </c>
      <c r="H25" s="60">
        <f>(1-Prev3rdRound)*SpTest1*Cohort3rdRound</f>
        <v>11047.260081723114</v>
      </c>
      <c r="I25" s="60">
        <f>Cohort3rdRound*(1-Prev3rdRound)*(1-SpTest1)*(SpTest2-(corr*(SQRT(SpTest1*(1-SpTest1)*SpTest2*(1-SpTest2)))+SpTest2*SpTest1))/(1-SpTest1)</f>
        <v>110.47260081723137</v>
      </c>
      <c r="J25" s="37"/>
      <c r="K25" s="37"/>
      <c r="L25" s="37"/>
      <c r="M25" s="37"/>
      <c r="N25" s="33"/>
      <c r="O25" s="33"/>
      <c r="P25" s="32"/>
      <c r="Q25" s="34"/>
    </row>
    <row r="26" spans="2:17" x14ac:dyDescent="0.2">
      <c r="B26" s="54" t="s">
        <v>0</v>
      </c>
      <c r="C26" s="57">
        <f t="shared" ref="C26:I26" si="0">SUM(C23:C25)</f>
        <v>153.18569187420124</v>
      </c>
      <c r="D26" s="57">
        <f t="shared" si="0"/>
        <v>334.95741119754172</v>
      </c>
      <c r="E26" s="57">
        <f t="shared" si="0"/>
        <v>3.3495741119750591</v>
      </c>
      <c r="F26" s="57">
        <f t="shared" si="0"/>
        <v>50.900309008832664</v>
      </c>
      <c r="G26" s="57">
        <f t="shared" si="0"/>
        <v>38.296422968550267</v>
      </c>
      <c r="H26" s="57">
        <f t="shared" si="0"/>
        <v>33160.783708556606</v>
      </c>
      <c r="I26" s="57">
        <f t="shared" si="0"/>
        <v>331.6078370855667</v>
      </c>
      <c r="J26" s="37">
        <f>(C26*AbsPosSeq)+(E26*AbsPosSeq)+(G26*AbsTest1Pos)+(I26*AbsTest1Pos)</f>
        <v>47906.909871166543</v>
      </c>
      <c r="K26" s="37">
        <f>(C26*AbsPosSeq)+(G26*AbsTest1Pos)</f>
        <v>41670.337832079596</v>
      </c>
      <c r="L26" s="37">
        <f>(E26*AbsPosSeq)+(I26*AbsTest1Pos)</f>
        <v>6236.572039086941</v>
      </c>
      <c r="M26" s="37">
        <f>(F26*AbsPosSeq)+(G26*(AbsPosSeq-AbsTest1Pos))</f>
        <v>23288.151760144967</v>
      </c>
      <c r="N26" s="33">
        <f>K26/J26</f>
        <v>0.86981894562060835</v>
      </c>
      <c r="O26" s="33">
        <f>M26/(M26+K26)</f>
        <v>0.35850820895522367</v>
      </c>
      <c r="P26" s="32">
        <f>N26-O26</f>
        <v>0.51131073666538462</v>
      </c>
      <c r="Q26" s="34">
        <f>(Prev3rdRound*Total_SnSeq)+((1-Prev3rdRound)*Total_SpSeq)</f>
        <v>0.99898173490260411</v>
      </c>
    </row>
    <row r="27" spans="2:17" x14ac:dyDescent="0.2">
      <c r="B27" s="54" t="s">
        <v>27</v>
      </c>
      <c r="C27" s="57">
        <f t="shared" ref="C27:I27" si="1">SUM(C23:C24)</f>
        <v>135.53913052969841</v>
      </c>
      <c r="D27" s="57">
        <f t="shared" si="1"/>
        <v>223.36892552357079</v>
      </c>
      <c r="E27" s="57">
        <f t="shared" si="1"/>
        <v>2.2336892552354755</v>
      </c>
      <c r="F27" s="57">
        <f t="shared" si="1"/>
        <v>45.036736410184581</v>
      </c>
      <c r="G27" s="57">
        <f t="shared" si="1"/>
        <v>33.884782632424567</v>
      </c>
      <c r="H27" s="57">
        <f t="shared" si="1"/>
        <v>22113.523626833492</v>
      </c>
      <c r="I27" s="57">
        <f t="shared" si="1"/>
        <v>221.13523626833535</v>
      </c>
      <c r="J27" s="37">
        <f>(C27*AbsPosSeq)+(E27*AbsPosSeq)+(G27*AbsTest1Pos)+(I27*AbsTest1Pos)</f>
        <v>41028.938006664524</v>
      </c>
      <c r="K27" s="37">
        <f>(C27*AbsPosSeq)+(G27*AbsTest1Pos)</f>
        <v>36870.031982341214</v>
      </c>
      <c r="L27" s="37">
        <f>(E27*AbsPosSeq)+(I27*AbsTest1Pos)</f>
        <v>4158.9060243233071</v>
      </c>
      <c r="M27" s="37">
        <f>(F27*AbsPosSeq)+(G27*(AbsPosSeq-AbsTest1Pos))</f>
        <v>20605.422103037214</v>
      </c>
      <c r="N27" s="33">
        <f>K27/J27</f>
        <v>0.8986348117602323</v>
      </c>
      <c r="O27" s="33">
        <f>M27/(M27+K27)</f>
        <v>0.35850820895522367</v>
      </c>
      <c r="P27" s="32">
        <f>N27-O27</f>
        <v>0.54012660280500868</v>
      </c>
      <c r="Q27" s="34">
        <f>(Prev2ndRound*Total_SnSeq)+((1-Prev2ndRound)*Total_SpSeq)</f>
        <v>0.99788280461470835</v>
      </c>
    </row>
    <row r="28" spans="2:17" x14ac:dyDescent="0.2">
      <c r="B28" s="55" t="s">
        <v>133</v>
      </c>
      <c r="C28" s="56">
        <f>cohort*Prev*SnTest1</f>
        <v>120.79424929203013</v>
      </c>
      <c r="D28" s="56">
        <v>0</v>
      </c>
      <c r="E28" s="56">
        <f>cohort*(1-Prev)*(1-SpTest1)</f>
        <v>111.71648770092125</v>
      </c>
      <c r="F28" s="56">
        <v>0</v>
      </c>
      <c r="G28" s="56">
        <f>cohort*Prev*(1-SnTest1)</f>
        <v>32.109863735856102</v>
      </c>
      <c r="H28" s="56">
        <v>0</v>
      </c>
      <c r="I28" s="56">
        <f>cohort*(1-Prev)*SpTest1</f>
        <v>11059.932282391193</v>
      </c>
      <c r="J28" s="36">
        <f>(C28*$J$9)+(E28*$J$9)</f>
        <v>62312.877514110965</v>
      </c>
      <c r="K28" s="37">
        <f>(C28*$J$9)</f>
        <v>32372.858810264075</v>
      </c>
      <c r="L28" s="37">
        <f>J28-K28</f>
        <v>29940.01870384689</v>
      </c>
      <c r="M28" s="37">
        <f>(G28*$J$9)</f>
        <v>8605.443481209435</v>
      </c>
      <c r="N28" s="33">
        <f>K28/J28</f>
        <v>0.51952116643839996</v>
      </c>
      <c r="O28" s="33">
        <f>M28/(M28+K28)</f>
        <v>0.20999999999999994</v>
      </c>
      <c r="P28" s="32">
        <f>N28-O28</f>
        <v>0.3095211664384</v>
      </c>
      <c r="Q28" s="34">
        <f>(Prev*Total_SnSeq)+((1-Prev)*Total_SpSeq)</f>
        <v>0.99493261420000001</v>
      </c>
    </row>
    <row r="29" spans="2:17" ht="16" thickBot="1" x14ac:dyDescent="0.25"/>
    <row r="30" spans="2:17" ht="33" thickBot="1" x14ac:dyDescent="0.25">
      <c r="B30" s="167" t="s">
        <v>87</v>
      </c>
      <c r="C30" s="167"/>
      <c r="E30" s="97" t="s">
        <v>87</v>
      </c>
      <c r="F30" s="98" t="s">
        <v>88</v>
      </c>
      <c r="G30" s="98" t="s">
        <v>90</v>
      </c>
      <c r="H30" s="98" t="s">
        <v>91</v>
      </c>
      <c r="J30" s="168" t="s">
        <v>45</v>
      </c>
      <c r="K30" s="168"/>
      <c r="M30" s="163" t="s">
        <v>47</v>
      </c>
      <c r="N30" s="164"/>
    </row>
    <row r="31" spans="2:17" ht="16" thickBot="1" x14ac:dyDescent="0.25">
      <c r="B31" s="4" t="s">
        <v>78</v>
      </c>
      <c r="C31" s="62">
        <f>IF(C3=1,F31,IF(C3=2,G31,H31))</f>
        <v>0.79</v>
      </c>
      <c r="E31" s="65" t="s">
        <v>78</v>
      </c>
      <c r="F31" s="66">
        <v>0.79</v>
      </c>
      <c r="G31" s="67">
        <v>0.73</v>
      </c>
      <c r="H31" s="67">
        <v>0.84</v>
      </c>
      <c r="J31" s="28" t="s">
        <v>44</v>
      </c>
      <c r="K31" s="4">
        <v>4.7100000000000001E-4</v>
      </c>
      <c r="M31" s="28" t="s">
        <v>48</v>
      </c>
      <c r="N31" s="4">
        <f>(SnTest1*SnTest2)+corr*(SnTest1*(1-SnTest1)*SnTest2*(1-SnTest2))^0.5</f>
        <v>0.63200000000000012</v>
      </c>
    </row>
    <row r="32" spans="2:17" ht="16" thickBot="1" x14ac:dyDescent="0.25">
      <c r="B32" s="4" t="s">
        <v>83</v>
      </c>
      <c r="C32" s="62">
        <f>IF(C3=1,F32,IF(C3=2,G32,H32))</f>
        <v>0.99</v>
      </c>
      <c r="E32" s="65" t="s">
        <v>83</v>
      </c>
      <c r="F32" s="66">
        <v>0.99</v>
      </c>
      <c r="G32" s="67">
        <v>0.99</v>
      </c>
      <c r="H32" s="67">
        <v>0.99999999999</v>
      </c>
      <c r="J32" s="29" t="s">
        <v>30</v>
      </c>
      <c r="K32" s="4">
        <f>(FN1stRound/Cohort2ndRound)+Incid</f>
        <v>5.4829991445817013E-3</v>
      </c>
      <c r="M32" s="28" t="s">
        <v>49</v>
      </c>
      <c r="N32" s="135">
        <f>(SpTest1+SpTest2-(SpTest1*SpTest2))-(corr*(SpTest1*(1-SpTest1)*SpTest2*(1- SpTest2))^0.5)</f>
        <v>0.99990000000000001</v>
      </c>
    </row>
    <row r="33" spans="2:18" ht="16" thickBot="1" x14ac:dyDescent="0.25">
      <c r="B33" s="4" t="s">
        <v>81</v>
      </c>
      <c r="C33" s="62">
        <f>IF(C3=1,F33,IF(C3=2,G33,H33))</f>
        <v>0.57499999999999996</v>
      </c>
      <c r="E33" s="65" t="s">
        <v>81</v>
      </c>
      <c r="F33" s="66">
        <v>0.57499999999999996</v>
      </c>
      <c r="G33" s="67">
        <v>0.52300000000000002</v>
      </c>
      <c r="H33" s="67">
        <v>0.626</v>
      </c>
      <c r="J33" s="29" t="s">
        <v>31</v>
      </c>
      <c r="K33" s="4">
        <f>(FN2ndRound/Cohort3rdRound)+Incid</f>
        <v>2.4959638417939019E-3</v>
      </c>
      <c r="M33" s="122" t="s">
        <v>50</v>
      </c>
      <c r="N33" s="123">
        <f>SnTest1+SnTest2-(SnTest1* SnTest2)-(corr*(SnTest1*(1-SnTest1)* SnTest2*(1- SnTest2))^0.5)</f>
        <v>0.95799999999999996</v>
      </c>
      <c r="R33" s="100"/>
    </row>
    <row r="34" spans="2:18" ht="16" thickBot="1" x14ac:dyDescent="0.25">
      <c r="B34" s="4" t="s">
        <v>82</v>
      </c>
      <c r="C34" s="62">
        <f>IF(C3=1,F34,IF(C3=2,G34,H34))</f>
        <v>0.99609999999999999</v>
      </c>
      <c r="E34" s="65" t="s">
        <v>82</v>
      </c>
      <c r="F34" s="66">
        <v>0.99609999999999999</v>
      </c>
      <c r="G34" s="67">
        <v>0.99399999999999999</v>
      </c>
      <c r="H34" s="67">
        <v>0.99739999999999995</v>
      </c>
      <c r="J34" s="28" t="s">
        <v>29</v>
      </c>
      <c r="K34" s="4">
        <f>cohort1stRound-((cohort1stRound*prev1stRound*SnTest1*((corr*(SQRT(SnTest1*(1-SnTest1)*SnTest2*(1-SnTest2)))+SnTest1*SnTest2)/SnTest1)) + (cohort1stRound*(1-prev1stRound)*(1-SpTest1)* (1-(SpTest2-(corr*(SQRT(SpTest1*(1-SpTest1)*SpTest2*(1-SpTest2)))+SpTest2*SpTest1))/(1-SpTest1))))</f>
        <v>11226.800318809368</v>
      </c>
      <c r="M34" s="122" t="s">
        <v>51</v>
      </c>
      <c r="N34" s="123">
        <f>(SpTest1*SpTest2)+(corr*(SpTest1*(1-SpTest2)*SpTest2*(1-SpTest2))^0.5)</f>
        <v>0.98009999999999997</v>
      </c>
    </row>
    <row r="35" spans="2:18" ht="16" thickBot="1" x14ac:dyDescent="0.25">
      <c r="B35" s="61" t="s">
        <v>84</v>
      </c>
      <c r="C35" s="62">
        <f>IF(C3=1,F35,IF(C3=2,G35,H35))</f>
        <v>0.8</v>
      </c>
      <c r="E35" s="65" t="s">
        <v>84</v>
      </c>
      <c r="F35" s="66">
        <v>0.8</v>
      </c>
      <c r="G35" s="67">
        <v>0.8</v>
      </c>
      <c r="H35" s="67">
        <v>0.9</v>
      </c>
      <c r="J35" s="29" t="s">
        <v>43</v>
      </c>
      <c r="K35" s="4">
        <f>Cohort2ndRound-((Cohort2ndRound*Prev2ndRound*SnTest1*((corr*(SQRT(SnTest1*(1-SnTest1)*SnTest2*(1-SnTest2)))+SnTest1*SnTest2)/SnTest1)) + (cohort1stRound*(1-Prev2ndRound)*(1-SpTest1)* (1-(SpTest2-(corr*(SQRT(SpTest1*(1-SpTest1)*SpTest2*(1-SpTest2)))+SpTest2*SpTest1))/(1-SpTest1))))</f>
        <v>11186.77034167636</v>
      </c>
    </row>
    <row r="36" spans="2:18" ht="16" thickBot="1" x14ac:dyDescent="0.25">
      <c r="B36" s="61" t="s">
        <v>85</v>
      </c>
      <c r="C36" s="62">
        <f>IF(C3=1,F36,IF(C3=2,G36,H36))</f>
        <v>0.99</v>
      </c>
      <c r="E36" s="65" t="s">
        <v>85</v>
      </c>
      <c r="F36" s="66">
        <v>0.99</v>
      </c>
      <c r="G36" s="67">
        <v>0.99</v>
      </c>
      <c r="H36" s="67">
        <v>0.99999999999989997</v>
      </c>
      <c r="J36" s="28" t="s">
        <v>32</v>
      </c>
      <c r="K36" s="4">
        <f>(prev1stRound*(1-(SnTest1* SnTest2)+corr*(SnTest1*(1-SnTest1)*SnTest2*(1- SnTest2))^0.5))*cohort1stRound</f>
        <v>56.268713594262124</v>
      </c>
    </row>
    <row r="37" spans="2:18" ht="16" thickBot="1" x14ac:dyDescent="0.25">
      <c r="J37" s="139" t="s">
        <v>33</v>
      </c>
      <c r="K37" s="140">
        <f>(Prev2ndRound*(1-(SnTest1* SnTest2)+corr*(SnTest1*(1-SnTest1)*SnTest2*(1- SnTest2))^0.5))*Cohort2ndRound</f>
        <v>22.652805448347042</v>
      </c>
    </row>
    <row r="38" spans="2:18" ht="23.75" customHeight="1" x14ac:dyDescent="0.25">
      <c r="B38" s="172" t="s">
        <v>115</v>
      </c>
      <c r="C38" s="173"/>
      <c r="D38" s="173"/>
      <c r="E38" s="173"/>
      <c r="F38" s="173"/>
      <c r="G38" s="173"/>
      <c r="H38" s="173"/>
      <c r="I38" s="173"/>
      <c r="J38" s="173"/>
      <c r="K38" s="173"/>
      <c r="L38" s="173"/>
      <c r="M38" s="173"/>
      <c r="N38" s="173"/>
      <c r="O38" s="173"/>
      <c r="P38" s="173"/>
      <c r="Q38" s="174"/>
    </row>
    <row r="39" spans="2:18" ht="40" x14ac:dyDescent="0.2">
      <c r="B39" s="141" t="s">
        <v>18</v>
      </c>
      <c r="C39" s="142" t="s">
        <v>157</v>
      </c>
      <c r="D39" s="142" t="s">
        <v>158</v>
      </c>
      <c r="E39" s="144" t="s">
        <v>159</v>
      </c>
      <c r="F39" s="142" t="s">
        <v>160</v>
      </c>
      <c r="G39" s="142" t="s">
        <v>166</v>
      </c>
      <c r="H39" s="142" t="s">
        <v>167</v>
      </c>
      <c r="I39" s="142" t="s">
        <v>168</v>
      </c>
      <c r="J39" s="142" t="s">
        <v>169</v>
      </c>
      <c r="K39" s="142" t="s">
        <v>170</v>
      </c>
      <c r="L39" s="145" t="s">
        <v>163</v>
      </c>
      <c r="M39" s="142" t="s">
        <v>164</v>
      </c>
      <c r="N39" s="145" t="s">
        <v>161</v>
      </c>
      <c r="O39" s="142" t="s">
        <v>162</v>
      </c>
      <c r="P39" s="146" t="s">
        <v>165</v>
      </c>
      <c r="Q39" s="143" t="s">
        <v>130</v>
      </c>
    </row>
    <row r="40" spans="2:18" s="70" customFormat="1" x14ac:dyDescent="0.2">
      <c r="B40" s="134" t="s">
        <v>135</v>
      </c>
      <c r="C40" s="88">
        <f>C19</f>
        <v>152.90411302788624</v>
      </c>
      <c r="D40" s="88">
        <f>E19</f>
        <v>0</v>
      </c>
      <c r="E40" s="88">
        <f>G19</f>
        <v>0</v>
      </c>
      <c r="F40" s="88">
        <f t="shared" ref="F40:I42" si="2">I19</f>
        <v>11171.648770092115</v>
      </c>
      <c r="G40" s="96">
        <f t="shared" si="2"/>
        <v>40978.302291473512</v>
      </c>
      <c r="H40" s="96">
        <f t="shared" si="2"/>
        <v>40978.302291473512</v>
      </c>
      <c r="I40" s="96">
        <f t="shared" si="2"/>
        <v>0</v>
      </c>
      <c r="J40" s="127">
        <f>I19*$J$7</f>
        <v>598800.37407693744</v>
      </c>
      <c r="K40" s="96">
        <f>M19</f>
        <v>0</v>
      </c>
      <c r="L40" s="48">
        <f>D40/(C40+D40+E40+F40)</f>
        <v>0</v>
      </c>
      <c r="M40" s="48">
        <f>E40/(C40+D40+E40+F40)</f>
        <v>0</v>
      </c>
      <c r="N40" s="138">
        <f>I40/G40</f>
        <v>0</v>
      </c>
      <c r="O40" s="138">
        <f>K40/(K40+J40)</f>
        <v>0</v>
      </c>
      <c r="P40" s="147">
        <f>(C40+D40)*contact</f>
        <v>611.61645211154496</v>
      </c>
      <c r="Q40" s="128">
        <f>P19</f>
        <v>1</v>
      </c>
    </row>
    <row r="41" spans="2:18" x14ac:dyDescent="0.2">
      <c r="B41" s="132" t="s">
        <v>53</v>
      </c>
      <c r="C41" s="88">
        <f>C20</f>
        <v>122.323290422309</v>
      </c>
      <c r="D41" s="88">
        <f>E20</f>
        <v>111.71648770092125</v>
      </c>
      <c r="E41" s="88">
        <f>G20</f>
        <v>30.580822605577239</v>
      </c>
      <c r="F41" s="88">
        <f t="shared" si="2"/>
        <v>11059.932282391193</v>
      </c>
      <c r="G41" s="96">
        <f t="shared" si="2"/>
        <v>62722.660537025709</v>
      </c>
      <c r="H41" s="96">
        <f t="shared" si="2"/>
        <v>32782.641833178815</v>
      </c>
      <c r="I41" s="96">
        <f t="shared" si="2"/>
        <v>29940.018703846894</v>
      </c>
      <c r="J41" s="93">
        <f>I20*$J$7</f>
        <v>592812.37033616798</v>
      </c>
      <c r="K41" s="94">
        <f>M20</f>
        <v>8195.6604582947002</v>
      </c>
      <c r="L41" s="48">
        <f>D41/(C41+D41+E41+F41)</f>
        <v>9.8649800000000093E-3</v>
      </c>
      <c r="M41" s="48">
        <f>E41/(C41+D41+E41+F41)</f>
        <v>2.7003999999999991E-3</v>
      </c>
      <c r="N41" s="138">
        <f>I41/G41</f>
        <v>0.4773397436827963</v>
      </c>
      <c r="O41" s="138">
        <f>K41/(K41+J41)</f>
        <v>1.363652403689347E-2</v>
      </c>
      <c r="P41" s="147">
        <f>(C41+D41)*contact</f>
        <v>936.15911249292094</v>
      </c>
      <c r="Q41" s="95">
        <f>P20</f>
        <v>0.3226602563172038</v>
      </c>
    </row>
    <row r="42" spans="2:18" x14ac:dyDescent="0.2">
      <c r="B42" s="132" t="s">
        <v>52</v>
      </c>
      <c r="C42" s="88">
        <f>C21</f>
        <v>0</v>
      </c>
      <c r="D42" s="88">
        <f>E21</f>
        <v>0</v>
      </c>
      <c r="E42" s="88">
        <f>G21</f>
        <v>152.90411302788624</v>
      </c>
      <c r="F42" s="88">
        <f t="shared" si="2"/>
        <v>11171.648770092115</v>
      </c>
      <c r="G42" s="96">
        <f t="shared" si="2"/>
        <v>0</v>
      </c>
      <c r="H42" s="96">
        <f t="shared" si="2"/>
        <v>0</v>
      </c>
      <c r="I42" s="96">
        <f t="shared" si="2"/>
        <v>0</v>
      </c>
      <c r="J42" s="93">
        <f>I21*$J$7</f>
        <v>598800.37407693744</v>
      </c>
      <c r="K42" s="94">
        <f>M21</f>
        <v>40978.302291473512</v>
      </c>
      <c r="L42" s="48">
        <f>D42/(C42+D42+E42+F42)</f>
        <v>0</v>
      </c>
      <c r="M42" s="48">
        <f>E42/(C42+D42+E42+F42)</f>
        <v>1.3501999999999998E-2</v>
      </c>
      <c r="N42" s="138" t="e">
        <f>I42/G42</f>
        <v>#DIV/0!</v>
      </c>
      <c r="O42" s="138">
        <f>K42/(K42+J42)</f>
        <v>6.4050747242905159E-2</v>
      </c>
      <c r="P42" s="147">
        <f>(C42+D42)*contact</f>
        <v>0</v>
      </c>
      <c r="Q42" s="95" t="e">
        <f>P21</f>
        <v>#DIV/0!</v>
      </c>
    </row>
    <row r="43" spans="2:18" x14ac:dyDescent="0.2">
      <c r="B43" s="134" t="s">
        <v>133</v>
      </c>
      <c r="C43" s="88">
        <f>C28</f>
        <v>120.79424929203013</v>
      </c>
      <c r="D43" s="88">
        <f>E28</f>
        <v>111.71648770092125</v>
      </c>
      <c r="E43" s="88">
        <f>G28</f>
        <v>32.109863735856102</v>
      </c>
      <c r="F43" s="88">
        <f>I28</f>
        <v>11059.932282391193</v>
      </c>
      <c r="G43" s="92">
        <f>J28</f>
        <v>62312.877514110965</v>
      </c>
      <c r="H43" s="92">
        <f>K28</f>
        <v>32372.858810264075</v>
      </c>
      <c r="I43" s="92">
        <f>L28</f>
        <v>29940.01870384689</v>
      </c>
      <c r="J43" s="93">
        <f>I28*$J$7</f>
        <v>592812.37033616798</v>
      </c>
      <c r="K43" s="94">
        <f>M28</f>
        <v>8605.443481209435</v>
      </c>
      <c r="L43" s="48">
        <f>D43/(C43+D43+E43+F43)</f>
        <v>9.8649800000000093E-3</v>
      </c>
      <c r="M43" s="48">
        <f>E43/(C43+D43+E43+F43)</f>
        <v>2.8354199999999991E-3</v>
      </c>
      <c r="N43" s="138">
        <f>I43/G43</f>
        <v>0.48047883356159998</v>
      </c>
      <c r="O43" s="138">
        <f>K43/(K43+J43)</f>
        <v>1.4308594264257206E-2</v>
      </c>
      <c r="P43" s="147">
        <f>(C43+D43)*contact</f>
        <v>930.04294797180546</v>
      </c>
      <c r="Q43" s="95">
        <f>P28</f>
        <v>0.3095211664384</v>
      </c>
    </row>
    <row r="44" spans="2:18" ht="16" thickBot="1" x14ac:dyDescent="0.25">
      <c r="B44" s="137" t="s">
        <v>154</v>
      </c>
      <c r="C44" s="148">
        <f>TPSeq</f>
        <v>96.63539943362413</v>
      </c>
      <c r="D44" s="148">
        <f>FPTest2</f>
        <v>1.1171648770091025</v>
      </c>
      <c r="E44" s="148">
        <f>FNTest1+FNTest2</f>
        <v>56.268713594262103</v>
      </c>
      <c r="F44" s="148">
        <f>TNTest1+TNTest2</f>
        <v>11170.531605215105</v>
      </c>
      <c r="G44" s="148">
        <f>Absenteeism</f>
        <v>28367.293815435027</v>
      </c>
      <c r="H44" s="148">
        <f>Appropriate</f>
        <v>26287.244530931603</v>
      </c>
      <c r="I44" s="149">
        <f>Inappropriate</f>
        <v>2080.049284503425</v>
      </c>
      <c r="J44" s="150">
        <f>(TNTest1+TNTest2)*$J$7</f>
        <v>598740.49403952959</v>
      </c>
      <c r="K44" s="151">
        <f>M23</f>
        <v>14691.057760541906</v>
      </c>
      <c r="L44" s="153">
        <f>D44/(C44+D44+E44+F44)</f>
        <v>9.8649799999990376E-5</v>
      </c>
      <c r="M44" s="153">
        <f>E44/(C44+D44+E44+F44)</f>
        <v>4.968735999999997E-3</v>
      </c>
      <c r="N44" s="154">
        <f>I44/G44</f>
        <v>7.3325615690970222E-2</v>
      </c>
      <c r="O44" s="154">
        <f>K44/(K44+J44)</f>
        <v>2.3948976405651187E-2</v>
      </c>
      <c r="P44" s="155">
        <f>(C44+D44)*contact</f>
        <v>391.01025724253293</v>
      </c>
      <c r="Q44" s="152">
        <f>P23</f>
        <v>0.56816617535380609</v>
      </c>
    </row>
    <row r="53" spans="2:19" x14ac:dyDescent="0.2">
      <c r="B53" s="166" t="s">
        <v>114</v>
      </c>
      <c r="C53" s="166"/>
      <c r="D53" s="166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</row>
    <row r="54" spans="2:19" x14ac:dyDescent="0.2">
      <c r="B54" s="166"/>
      <c r="C54" s="166"/>
      <c r="D54" s="166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</row>
    <row r="57" spans="2:19" x14ac:dyDescent="0.2">
      <c r="H57">
        <f>cohort*Prev*SnTest1*((corr*(SQRT(SnTest1*(1-SnTest1)*SnTest2*(1-SnTest2)))+SnTest1*SnTest2)/SnTest1)</f>
        <v>96.63539943362413</v>
      </c>
      <c r="I57">
        <f>Total_SnSeq*Prev*cohort</f>
        <v>96.63539943362413</v>
      </c>
      <c r="J57" t="s">
        <v>113</v>
      </c>
    </row>
    <row r="90" spans="2:6" x14ac:dyDescent="0.2">
      <c r="B90" t="s">
        <v>153</v>
      </c>
      <c r="C90" t="s">
        <v>149</v>
      </c>
      <c r="D90" t="s">
        <v>150</v>
      </c>
      <c r="E90" t="s">
        <v>151</v>
      </c>
      <c r="F90" t="s">
        <v>152</v>
      </c>
    </row>
    <row r="91" spans="2:6" x14ac:dyDescent="0.2">
      <c r="B91" s="129" t="s">
        <v>135</v>
      </c>
      <c r="C91">
        <v>2</v>
      </c>
      <c r="D91">
        <v>1</v>
      </c>
      <c r="F91">
        <v>1</v>
      </c>
    </row>
    <row r="92" spans="2:6" x14ac:dyDescent="0.2">
      <c r="B92" s="130" t="s">
        <v>53</v>
      </c>
      <c r="C92">
        <v>3</v>
      </c>
      <c r="D92">
        <v>3</v>
      </c>
      <c r="F92">
        <v>2</v>
      </c>
    </row>
    <row r="93" spans="2:6" x14ac:dyDescent="0.2">
      <c r="B93" s="130" t="s">
        <v>52</v>
      </c>
      <c r="C93">
        <v>4</v>
      </c>
      <c r="D93">
        <v>4</v>
      </c>
      <c r="F93">
        <v>3</v>
      </c>
    </row>
    <row r="94" spans="2:6" x14ac:dyDescent="0.2">
      <c r="B94" s="130" t="s">
        <v>132</v>
      </c>
      <c r="C94">
        <v>1</v>
      </c>
      <c r="D94">
        <v>5</v>
      </c>
      <c r="F94">
        <v>4</v>
      </c>
    </row>
    <row r="95" spans="2:6" x14ac:dyDescent="0.2">
      <c r="B95" s="130" t="s">
        <v>112</v>
      </c>
      <c r="C95">
        <v>2</v>
      </c>
      <c r="D95">
        <v>6</v>
      </c>
      <c r="F95">
        <v>5</v>
      </c>
    </row>
    <row r="96" spans="2:6" x14ac:dyDescent="0.2">
      <c r="B96" s="131" t="s">
        <v>77</v>
      </c>
      <c r="C96">
        <v>3</v>
      </c>
      <c r="D96">
        <v>5</v>
      </c>
      <c r="F96">
        <v>6</v>
      </c>
    </row>
  </sheetData>
  <mergeCells count="11">
    <mergeCell ref="D2:G2"/>
    <mergeCell ref="M30:N30"/>
    <mergeCell ref="H10:I10"/>
    <mergeCell ref="H9:I9"/>
    <mergeCell ref="B53:S54"/>
    <mergeCell ref="B30:C30"/>
    <mergeCell ref="J30:K30"/>
    <mergeCell ref="D3:G3"/>
    <mergeCell ref="H6:I6"/>
    <mergeCell ref="H7:I7"/>
    <mergeCell ref="B38:Q38"/>
  </mergeCells>
  <pageMargins left="0.7" right="0.7" top="0.75" bottom="0.75" header="0.3" footer="0.3"/>
  <pageSetup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4" name="Button 18">
              <controlPr defaultSize="0" print="0" autoFill="0" autoPict="0" macro="[0]!SwitchTestLFA">
                <anchor moveWithCells="1" sizeWithCells="1">
                  <from>
                    <xdr:col>12</xdr:col>
                    <xdr:colOff>177800</xdr:colOff>
                    <xdr:row>4</xdr:row>
                    <xdr:rowOff>63500</xdr:rowOff>
                  </from>
                  <to>
                    <xdr:col>14</xdr:col>
                    <xdr:colOff>165100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5" name="Button 19">
              <controlPr defaultSize="0" print="0" autoFill="0" autoPict="0" macro="[0]!SwitchLAMP">
                <anchor moveWithCells="1" sizeWithCells="1">
                  <from>
                    <xdr:col>12</xdr:col>
                    <xdr:colOff>215900</xdr:colOff>
                    <xdr:row>7</xdr:row>
                    <xdr:rowOff>50800</xdr:rowOff>
                  </from>
                  <to>
                    <xdr:col>14</xdr:col>
                    <xdr:colOff>203200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6" name="Button 20">
              <controlPr defaultSize="0" print="0" autoFill="0" autoPict="0" macro="[0]!BaselineScenario">
                <anchor moveWithCells="1" sizeWithCells="1">
                  <from>
                    <xdr:col>14</xdr:col>
                    <xdr:colOff>635000</xdr:colOff>
                    <xdr:row>3</xdr:row>
                    <xdr:rowOff>127000</xdr:rowOff>
                  </from>
                  <to>
                    <xdr:col>16</xdr:col>
                    <xdr:colOff>406400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7" name="Button 21">
              <controlPr defaultSize="0" print="0" autoFill="0" autoPict="0" macro="[0]!WorstCaseScenario">
                <anchor moveWithCells="1" sizeWithCells="1">
                  <from>
                    <xdr:col>14</xdr:col>
                    <xdr:colOff>635000</xdr:colOff>
                    <xdr:row>6</xdr:row>
                    <xdr:rowOff>38100</xdr:rowOff>
                  </from>
                  <to>
                    <xdr:col>16</xdr:col>
                    <xdr:colOff>419100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8" name="Button 22">
              <controlPr defaultSize="0" print="0" autoFill="0" autoPict="0" macro="[0]!BestCaseScenario">
                <anchor moveWithCells="1" sizeWithCells="1">
                  <from>
                    <xdr:col>14</xdr:col>
                    <xdr:colOff>660400</xdr:colOff>
                    <xdr:row>8</xdr:row>
                    <xdr:rowOff>165100</xdr:rowOff>
                  </from>
                  <to>
                    <xdr:col>16</xdr:col>
                    <xdr:colOff>444500</xdr:colOff>
                    <xdr:row>10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X220"/>
  <sheetViews>
    <sheetView zoomScale="70" zoomScaleNormal="70" workbookViewId="0">
      <selection activeCell="I35" sqref="I35"/>
    </sheetView>
  </sheetViews>
  <sheetFormatPr baseColWidth="10" defaultColWidth="8.83203125" defaultRowHeight="15" x14ac:dyDescent="0.2"/>
  <cols>
    <col min="2" max="2" width="11.5" customWidth="1"/>
    <col min="3" max="3" width="11" customWidth="1"/>
    <col min="5" max="5" width="13.6640625" customWidth="1"/>
    <col min="6" max="6" width="10.6640625" customWidth="1"/>
    <col min="7" max="7" width="16" customWidth="1"/>
    <col min="8" max="8" width="2" customWidth="1"/>
    <col min="9" max="9" width="22.5" customWidth="1"/>
    <col min="17" max="17" width="9.1640625" bestFit="1" customWidth="1"/>
    <col min="18" max="18" width="11.1640625" bestFit="1" customWidth="1"/>
    <col min="22" max="22" width="11" customWidth="1"/>
    <col min="23" max="24" width="10.1640625" bestFit="1" customWidth="1"/>
  </cols>
  <sheetData>
    <row r="3" spans="2:22" x14ac:dyDescent="0.2">
      <c r="I3" s="1" t="s">
        <v>34</v>
      </c>
      <c r="J3" s="5">
        <v>11346</v>
      </c>
    </row>
    <row r="4" spans="2:22" x14ac:dyDescent="0.2">
      <c r="B4" t="s">
        <v>41</v>
      </c>
      <c r="I4" s="1" t="s">
        <v>40</v>
      </c>
      <c r="J4" s="5">
        <v>1.4999999999999999E-2</v>
      </c>
    </row>
    <row r="5" spans="2:22" x14ac:dyDescent="0.2">
      <c r="I5" s="1" t="s">
        <v>35</v>
      </c>
      <c r="J5" s="5">
        <v>0.82299999999999995</v>
      </c>
    </row>
    <row r="6" spans="2:22" x14ac:dyDescent="0.2">
      <c r="I6" s="1" t="s">
        <v>36</v>
      </c>
      <c r="J6" s="5">
        <v>0.995</v>
      </c>
    </row>
    <row r="7" spans="2:22" x14ac:dyDescent="0.2">
      <c r="I7" s="1" t="s">
        <v>37</v>
      </c>
      <c r="J7" s="5">
        <v>0.8</v>
      </c>
      <c r="P7" s="6"/>
      <c r="Q7" s="6"/>
    </row>
    <row r="8" spans="2:22" x14ac:dyDescent="0.2">
      <c r="I8" s="1" t="s">
        <v>38</v>
      </c>
      <c r="J8" s="5">
        <v>0.99</v>
      </c>
      <c r="P8" s="3"/>
      <c r="Q8" s="3"/>
    </row>
    <row r="9" spans="2:22" x14ac:dyDescent="0.2">
      <c r="I9" s="1" t="s">
        <v>39</v>
      </c>
      <c r="J9" s="5">
        <v>0</v>
      </c>
      <c r="P9" s="3"/>
      <c r="Q9" s="3"/>
    </row>
    <row r="10" spans="2:22" x14ac:dyDescent="0.2">
      <c r="P10" s="3"/>
      <c r="Q10" s="3"/>
    </row>
    <row r="11" spans="2:22" x14ac:dyDescent="0.2">
      <c r="B11" s="14" t="s">
        <v>24</v>
      </c>
      <c r="C11" s="14" t="s">
        <v>23</v>
      </c>
      <c r="D11" s="14" t="s">
        <v>22</v>
      </c>
      <c r="E11" s="18" t="s">
        <v>21</v>
      </c>
      <c r="F11" s="18" t="s">
        <v>19</v>
      </c>
      <c r="I11" s="17" t="s">
        <v>26</v>
      </c>
      <c r="J11" s="7" t="s">
        <v>25</v>
      </c>
      <c r="P11" s="3"/>
      <c r="Q11" s="3"/>
      <c r="R11" s="3"/>
      <c r="S11" s="3"/>
      <c r="T11" s="3"/>
      <c r="U11" s="3"/>
      <c r="V11" s="3"/>
    </row>
    <row r="12" spans="2:22" x14ac:dyDescent="0.2">
      <c r="B12" s="5">
        <v>15</v>
      </c>
      <c r="C12" s="5">
        <v>53.6</v>
      </c>
      <c r="D12" s="5">
        <f t="shared" ref="D12:D43" si="0">75*X21</f>
        <v>0</v>
      </c>
      <c r="E12" s="5">
        <f>$B$12+$C$12+D12</f>
        <v>68.599999999999994</v>
      </c>
      <c r="F12" s="5">
        <f>$C$12+D12</f>
        <v>53.6</v>
      </c>
      <c r="I12" s="14" t="s">
        <v>24</v>
      </c>
      <c r="P12" s="3"/>
      <c r="Q12" s="3"/>
      <c r="R12" s="3"/>
      <c r="S12" s="3"/>
      <c r="T12" s="3"/>
      <c r="U12" s="3"/>
      <c r="V12" s="3"/>
    </row>
    <row r="13" spans="2:22" x14ac:dyDescent="0.2">
      <c r="D13" s="5">
        <f t="shared" si="0"/>
        <v>7.5</v>
      </c>
      <c r="E13" s="5">
        <f t="shared" ref="E13:E76" si="1">$B$12+$C$12+D13</f>
        <v>76.099999999999994</v>
      </c>
      <c r="F13" s="5">
        <f t="shared" ref="F13:F76" si="2">$C$12+D13</f>
        <v>61.1</v>
      </c>
    </row>
    <row r="14" spans="2:22" x14ac:dyDescent="0.2">
      <c r="D14" s="5">
        <f t="shared" si="0"/>
        <v>15</v>
      </c>
      <c r="E14" s="5">
        <f t="shared" si="1"/>
        <v>83.6</v>
      </c>
      <c r="F14" s="5">
        <f t="shared" si="2"/>
        <v>68.599999999999994</v>
      </c>
    </row>
    <row r="15" spans="2:22" x14ac:dyDescent="0.2">
      <c r="D15" s="5">
        <f t="shared" si="0"/>
        <v>22.5</v>
      </c>
      <c r="E15" s="5">
        <f t="shared" si="1"/>
        <v>91.1</v>
      </c>
      <c r="F15" s="5">
        <f t="shared" si="2"/>
        <v>76.099999999999994</v>
      </c>
    </row>
    <row r="16" spans="2:22" x14ac:dyDescent="0.2">
      <c r="D16" s="5">
        <f t="shared" si="0"/>
        <v>30</v>
      </c>
      <c r="E16" s="5">
        <f t="shared" si="1"/>
        <v>98.6</v>
      </c>
      <c r="F16" s="5">
        <f t="shared" si="2"/>
        <v>83.6</v>
      </c>
    </row>
    <row r="17" spans="4:24" x14ac:dyDescent="0.2">
      <c r="D17" s="5">
        <f t="shared" si="0"/>
        <v>37.5</v>
      </c>
      <c r="E17" s="5">
        <f t="shared" si="1"/>
        <v>106.1</v>
      </c>
      <c r="F17" s="5">
        <f t="shared" si="2"/>
        <v>91.1</v>
      </c>
      <c r="P17" s="3"/>
      <c r="V17" s="3"/>
    </row>
    <row r="18" spans="4:24" x14ac:dyDescent="0.2">
      <c r="D18" s="5">
        <f t="shared" si="0"/>
        <v>45</v>
      </c>
      <c r="E18" s="5">
        <f t="shared" si="1"/>
        <v>113.6</v>
      </c>
      <c r="F18" s="5">
        <f t="shared" si="2"/>
        <v>98.6</v>
      </c>
    </row>
    <row r="19" spans="4:24" ht="57" customHeight="1" x14ac:dyDescent="0.2">
      <c r="D19" s="5">
        <f t="shared" si="0"/>
        <v>52.5</v>
      </c>
      <c r="E19" s="5">
        <f t="shared" si="1"/>
        <v>121.1</v>
      </c>
      <c r="F19" s="5">
        <f t="shared" si="2"/>
        <v>106.1</v>
      </c>
      <c r="I19" s="178" t="s">
        <v>18</v>
      </c>
      <c r="J19" s="176" t="s">
        <v>17</v>
      </c>
      <c r="K19" s="176" t="s">
        <v>16</v>
      </c>
      <c r="L19" s="175" t="s">
        <v>15</v>
      </c>
      <c r="M19" s="175" t="s">
        <v>14</v>
      </c>
      <c r="N19" s="175" t="s">
        <v>13</v>
      </c>
      <c r="O19" s="175" t="s">
        <v>12</v>
      </c>
      <c r="P19" s="175" t="s">
        <v>11</v>
      </c>
      <c r="Q19" s="175" t="s">
        <v>10</v>
      </c>
      <c r="R19" s="175" t="s">
        <v>9</v>
      </c>
      <c r="S19" s="175" t="s">
        <v>8</v>
      </c>
      <c r="T19" s="175" t="s">
        <v>7</v>
      </c>
      <c r="U19" s="180" t="s">
        <v>6</v>
      </c>
      <c r="V19" s="180" t="s">
        <v>5</v>
      </c>
      <c r="W19" s="180" t="s">
        <v>4</v>
      </c>
      <c r="X19" s="180" t="s">
        <v>20</v>
      </c>
    </row>
    <row r="20" spans="4:24" x14ac:dyDescent="0.2">
      <c r="D20" s="5">
        <f t="shared" si="0"/>
        <v>60</v>
      </c>
      <c r="E20" s="5">
        <f t="shared" si="1"/>
        <v>128.6</v>
      </c>
      <c r="F20" s="5">
        <f t="shared" si="2"/>
        <v>113.6</v>
      </c>
      <c r="I20" s="179"/>
      <c r="J20" s="177"/>
      <c r="K20" s="177"/>
      <c r="L20" s="175"/>
      <c r="M20" s="175"/>
      <c r="N20" s="175"/>
      <c r="O20" s="175"/>
      <c r="P20" s="175"/>
      <c r="Q20" s="175"/>
      <c r="R20" s="175"/>
      <c r="S20" s="175"/>
      <c r="T20" s="175"/>
      <c r="U20" s="180"/>
      <c r="V20" s="180"/>
      <c r="W20" s="180"/>
      <c r="X20" s="180"/>
    </row>
    <row r="21" spans="4:24" ht="16" x14ac:dyDescent="0.2">
      <c r="D21" s="5">
        <f t="shared" si="0"/>
        <v>67.5</v>
      </c>
      <c r="E21" s="5">
        <f t="shared" si="1"/>
        <v>136.1</v>
      </c>
      <c r="F21" s="5">
        <f t="shared" si="2"/>
        <v>121.1</v>
      </c>
      <c r="I21" s="11" t="s">
        <v>28</v>
      </c>
      <c r="J21" s="12">
        <f>cohort*prev*SnTest1*((corr*(SQRT(SnTest1*(1-SnTest1)*SnTest2*(1-SnTest2)))+SnTest1*SnTest2)/SnTest1)</f>
        <v>112.05309599999998</v>
      </c>
      <c r="K21" s="13">
        <f>(1-prev)*(1-SpTest1)*cohort</f>
        <v>55.879050000000049</v>
      </c>
      <c r="L21" s="12">
        <f>(cohort*(1-prev)*(1-SpTest1))-TNTest2</f>
        <v>0.55879049999994379</v>
      </c>
      <c r="M21" s="12">
        <f>cohort*prev*(1-SnTest1)</f>
        <v>30.123630000000009</v>
      </c>
      <c r="N21" s="12">
        <f>(cohort*prev*SnTest1)-TPSeq</f>
        <v>28.013273999999996</v>
      </c>
      <c r="O21" s="12">
        <f>(1-prev)*SpTest1*cohort</f>
        <v>11119.93095</v>
      </c>
      <c r="P21" s="12">
        <f>cohort*(1-prev)*(1-SpTest1)*(SpTest2-(corr*(SQRT(SpTest1*(1-SpTest1)*SpTest2*(1-SpTest2)))+SpTest2*SpTest1))/(1-SpTest1)</f>
        <v>55.320259500000105</v>
      </c>
      <c r="Q21" s="12">
        <f>($J$21*E12)+($L$21*E12)+($N$21*$B$12)+($P$21*$B$12)</f>
        <v>8975.1784163999946</v>
      </c>
      <c r="R21" s="12">
        <f>($J$21*E12)</f>
        <v>7686.8423855999981</v>
      </c>
      <c r="S21" s="12">
        <f>Q21-R21</f>
        <v>1288.3360307999965</v>
      </c>
      <c r="T21" s="12">
        <f>($M$21*$B$12)+($N$21*E12)</f>
        <v>2373.5650463999996</v>
      </c>
      <c r="U21" s="12">
        <f>R21/Q21</f>
        <v>0.85645566349456959</v>
      </c>
      <c r="V21" s="12">
        <f>T21/(T21+R21)</f>
        <v>0.23593130421837571</v>
      </c>
      <c r="W21" s="13">
        <f>U21-V21</f>
        <v>0.62052435927619387</v>
      </c>
      <c r="X21" s="16">
        <v>0</v>
      </c>
    </row>
    <row r="22" spans="4:24" x14ac:dyDescent="0.2">
      <c r="D22" s="5">
        <f t="shared" si="0"/>
        <v>75</v>
      </c>
      <c r="E22" s="5">
        <f t="shared" si="1"/>
        <v>143.6</v>
      </c>
      <c r="F22" s="5">
        <f t="shared" si="2"/>
        <v>128.6</v>
      </c>
      <c r="I22" s="1"/>
      <c r="J22" s="12"/>
      <c r="K22" s="13"/>
      <c r="L22" s="12"/>
      <c r="M22" s="12"/>
      <c r="N22" s="12"/>
      <c r="O22" s="12"/>
      <c r="P22" s="12"/>
      <c r="Q22" s="12">
        <f>($J$21*E13)+($L$21*E13)+($N$21*$B$12)+($P$21*$B$12)</f>
        <v>9819.7675651499958</v>
      </c>
      <c r="R22" s="12">
        <f t="shared" ref="R22:R85" si="3">($J$21*E13)</f>
        <v>8527.2406055999982</v>
      </c>
      <c r="S22" s="12">
        <f>Q22-R22</f>
        <v>1292.5269595499976</v>
      </c>
      <c r="T22" s="12">
        <f>($M$21*$B$12)+($N$21*E13)</f>
        <v>2583.6646013999998</v>
      </c>
      <c r="U22" s="12">
        <f t="shared" ref="U22:U85" si="4">R22/Q22</f>
        <v>0.86837499452256595</v>
      </c>
      <c r="V22" s="12">
        <f t="shared" ref="V22:V85" si="5">T22/(T22+R22)</f>
        <v>0.23253412330187656</v>
      </c>
      <c r="W22" s="13">
        <f t="shared" ref="W22:W85" si="6">U22-V22</f>
        <v>0.63584087122068933</v>
      </c>
      <c r="X22" s="16">
        <v>0.1</v>
      </c>
    </row>
    <row r="23" spans="4:24" x14ac:dyDescent="0.2">
      <c r="D23" s="5">
        <f t="shared" si="0"/>
        <v>82.5</v>
      </c>
      <c r="E23" s="5">
        <f t="shared" si="1"/>
        <v>151.1</v>
      </c>
      <c r="F23" s="5">
        <f t="shared" si="2"/>
        <v>136.1</v>
      </c>
      <c r="I23" s="2"/>
      <c r="J23" s="12"/>
      <c r="K23" s="13"/>
      <c r="L23" s="12"/>
      <c r="M23" s="12"/>
      <c r="N23" s="12"/>
      <c r="O23" s="12"/>
      <c r="P23" s="12"/>
      <c r="Q23" s="12">
        <f t="shared" ref="Q23:Q38" si="7">($J$21*E14)+($L$21*E14)+($N$21*$B$12)+($P$21*$B$12)</f>
        <v>10664.356713899993</v>
      </c>
      <c r="R23" s="12">
        <f t="shared" si="3"/>
        <v>9367.6388255999973</v>
      </c>
      <c r="S23" s="12">
        <f t="shared" ref="S23:S86" si="8">Q23-R23</f>
        <v>1296.717888299996</v>
      </c>
      <c r="T23" s="12">
        <f t="shared" ref="T23:T86" si="9">($M$21*$B$12)+($N$21*E14)</f>
        <v>2793.7641563999996</v>
      </c>
      <c r="U23" s="12">
        <f t="shared" si="4"/>
        <v>0.87840636588891996</v>
      </c>
      <c r="V23" s="12">
        <f t="shared" si="5"/>
        <v>0.22972383700589724</v>
      </c>
      <c r="W23" s="13">
        <f t="shared" si="6"/>
        <v>0.64868252888302269</v>
      </c>
      <c r="X23" s="16">
        <v>0.2</v>
      </c>
    </row>
    <row r="24" spans="4:24" ht="20.25" customHeight="1" x14ac:dyDescent="0.2">
      <c r="D24" s="5">
        <f t="shared" si="0"/>
        <v>90</v>
      </c>
      <c r="E24" s="5">
        <f t="shared" si="1"/>
        <v>158.6</v>
      </c>
      <c r="F24" s="5">
        <f t="shared" si="2"/>
        <v>143.6</v>
      </c>
      <c r="J24" s="12"/>
      <c r="K24" s="13"/>
      <c r="L24" s="12"/>
      <c r="M24" s="12"/>
      <c r="N24" s="12"/>
      <c r="O24" s="12"/>
      <c r="P24" s="12"/>
      <c r="Q24" s="12">
        <f t="shared" si="7"/>
        <v>11508.945862649995</v>
      </c>
      <c r="R24" s="12">
        <f t="shared" si="3"/>
        <v>10208.037045599998</v>
      </c>
      <c r="S24" s="12">
        <f t="shared" si="8"/>
        <v>1300.9088170499963</v>
      </c>
      <c r="T24" s="12">
        <f t="shared" si="9"/>
        <v>3003.8637113999998</v>
      </c>
      <c r="U24" s="12">
        <f t="shared" si="4"/>
        <v>0.88696542389065902</v>
      </c>
      <c r="V24" s="12">
        <f t="shared" si="5"/>
        <v>0.22736045075183275</v>
      </c>
      <c r="W24" s="13">
        <f t="shared" si="6"/>
        <v>0.65960497313882627</v>
      </c>
      <c r="X24" s="16">
        <v>0.3</v>
      </c>
    </row>
    <row r="25" spans="4:24" x14ac:dyDescent="0.2">
      <c r="D25" s="5">
        <f t="shared" si="0"/>
        <v>97.5</v>
      </c>
      <c r="E25" s="5">
        <f t="shared" si="1"/>
        <v>166.1</v>
      </c>
      <c r="F25" s="5">
        <f t="shared" si="2"/>
        <v>151.1</v>
      </c>
      <c r="I25" s="1"/>
      <c r="J25" s="12"/>
      <c r="K25" s="13"/>
      <c r="L25" s="12"/>
      <c r="M25" s="12"/>
      <c r="N25" s="12"/>
      <c r="O25" s="12"/>
      <c r="P25" s="12"/>
      <c r="Q25" s="12">
        <f t="shared" si="7"/>
        <v>12353.535011399994</v>
      </c>
      <c r="R25" s="12">
        <f t="shared" si="3"/>
        <v>11048.435265599997</v>
      </c>
      <c r="S25" s="12">
        <f t="shared" si="8"/>
        <v>1305.0997457999965</v>
      </c>
      <c r="T25" s="12">
        <f t="shared" si="9"/>
        <v>3213.9632663999996</v>
      </c>
      <c r="U25" s="12">
        <f t="shared" si="4"/>
        <v>0.8943541468417231</v>
      </c>
      <c r="V25" s="12">
        <f t="shared" si="5"/>
        <v>0.22534521519567366</v>
      </c>
      <c r="W25" s="13">
        <f t="shared" si="6"/>
        <v>0.66900893164604947</v>
      </c>
      <c r="X25" s="16">
        <v>0.4</v>
      </c>
    </row>
    <row r="26" spans="4:24" x14ac:dyDescent="0.2">
      <c r="D26" s="5">
        <f t="shared" si="0"/>
        <v>105</v>
      </c>
      <c r="E26" s="5">
        <f t="shared" si="1"/>
        <v>173.6</v>
      </c>
      <c r="F26" s="5">
        <f t="shared" si="2"/>
        <v>158.6</v>
      </c>
      <c r="I26" s="1"/>
      <c r="J26" s="12"/>
      <c r="K26" s="13"/>
      <c r="L26" s="12"/>
      <c r="M26" s="12"/>
      <c r="N26" s="12"/>
      <c r="O26" s="12"/>
      <c r="P26" s="12"/>
      <c r="Q26" s="12">
        <f t="shared" si="7"/>
        <v>13198.124160149993</v>
      </c>
      <c r="R26" s="12">
        <f t="shared" si="3"/>
        <v>11888.833485599998</v>
      </c>
      <c r="S26" s="12">
        <f t="shared" si="8"/>
        <v>1309.2906745499949</v>
      </c>
      <c r="T26" s="12">
        <f t="shared" si="9"/>
        <v>3424.0628213999998</v>
      </c>
      <c r="U26" s="12">
        <f t="shared" si="4"/>
        <v>0.90079721491761489</v>
      </c>
      <c r="V26" s="12">
        <f t="shared" si="5"/>
        <v>0.22360647866692304</v>
      </c>
      <c r="W26" s="13">
        <f t="shared" si="6"/>
        <v>0.67719073625069182</v>
      </c>
      <c r="X26" s="16">
        <v>0.5</v>
      </c>
    </row>
    <row r="27" spans="4:24" x14ac:dyDescent="0.2">
      <c r="D27" s="5">
        <f t="shared" si="0"/>
        <v>112.5</v>
      </c>
      <c r="E27" s="5">
        <f t="shared" si="1"/>
        <v>181.1</v>
      </c>
      <c r="F27" s="5">
        <f t="shared" si="2"/>
        <v>166.1</v>
      </c>
      <c r="I27" s="1"/>
      <c r="J27" s="12"/>
      <c r="K27" s="13"/>
      <c r="L27" s="12"/>
      <c r="M27" s="12"/>
      <c r="N27" s="12"/>
      <c r="O27" s="12"/>
      <c r="P27" s="12"/>
      <c r="Q27" s="12">
        <f t="shared" si="7"/>
        <v>14042.713308899993</v>
      </c>
      <c r="R27" s="12">
        <f t="shared" si="3"/>
        <v>12729.231705599997</v>
      </c>
      <c r="S27" s="12">
        <f t="shared" si="8"/>
        <v>1313.4816032999952</v>
      </c>
      <c r="T27" s="12">
        <f t="shared" si="9"/>
        <v>3634.1623763999996</v>
      </c>
      <c r="U27" s="12">
        <f t="shared" si="4"/>
        <v>0.9064652553671706</v>
      </c>
      <c r="V27" s="12">
        <f t="shared" si="5"/>
        <v>0.22209098908139346</v>
      </c>
      <c r="W27" s="13">
        <f t="shared" si="6"/>
        <v>0.68437426628577713</v>
      </c>
      <c r="X27" s="16">
        <v>0.6</v>
      </c>
    </row>
    <row r="28" spans="4:24" x14ac:dyDescent="0.2">
      <c r="D28" s="5">
        <f t="shared" si="0"/>
        <v>120</v>
      </c>
      <c r="E28" s="5">
        <f t="shared" si="1"/>
        <v>188.6</v>
      </c>
      <c r="F28" s="5">
        <f t="shared" si="2"/>
        <v>173.6</v>
      </c>
      <c r="I28" s="10"/>
      <c r="J28" s="12"/>
      <c r="K28" s="13"/>
      <c r="L28" s="12"/>
      <c r="M28" s="12"/>
      <c r="N28" s="12"/>
      <c r="O28" s="12"/>
      <c r="P28" s="12"/>
      <c r="Q28" s="12">
        <f t="shared" si="7"/>
        <v>14887.302457649992</v>
      </c>
      <c r="R28" s="12">
        <f t="shared" si="3"/>
        <v>13569.629925599997</v>
      </c>
      <c r="S28" s="12">
        <f t="shared" si="8"/>
        <v>1317.6725320499954</v>
      </c>
      <c r="T28" s="12">
        <f t="shared" si="9"/>
        <v>3844.2619313999994</v>
      </c>
      <c r="U28" s="12">
        <f t="shared" si="4"/>
        <v>0.91149017521485931</v>
      </c>
      <c r="V28" s="12">
        <f t="shared" si="5"/>
        <v>0.22075834414089876</v>
      </c>
      <c r="W28" s="13">
        <f t="shared" si="6"/>
        <v>0.69073183107396052</v>
      </c>
      <c r="X28" s="16">
        <v>0.7</v>
      </c>
    </row>
    <row r="29" spans="4:24" ht="16.25" customHeight="1" x14ac:dyDescent="0.2">
      <c r="D29" s="5">
        <f t="shared" si="0"/>
        <v>127.5</v>
      </c>
      <c r="E29" s="5">
        <f t="shared" si="1"/>
        <v>196.1</v>
      </c>
      <c r="F29" s="5">
        <f t="shared" si="2"/>
        <v>181.1</v>
      </c>
      <c r="I29" s="2"/>
      <c r="J29" s="12"/>
      <c r="K29" s="13"/>
      <c r="L29" s="12"/>
      <c r="M29" s="12"/>
      <c r="N29" s="12"/>
      <c r="O29" s="12"/>
      <c r="P29" s="12"/>
      <c r="Q29" s="12">
        <f t="shared" si="7"/>
        <v>15731.891606399991</v>
      </c>
      <c r="R29" s="12">
        <f t="shared" si="3"/>
        <v>14410.028145599998</v>
      </c>
      <c r="S29" s="12">
        <f t="shared" si="8"/>
        <v>1321.8634607999938</v>
      </c>
      <c r="T29" s="12">
        <f t="shared" si="9"/>
        <v>4054.3614863999996</v>
      </c>
      <c r="U29" s="12">
        <f t="shared" si="4"/>
        <v>0.91597555501448802</v>
      </c>
      <c r="V29" s="12">
        <f t="shared" si="5"/>
        <v>0.21957733600755072</v>
      </c>
      <c r="W29" s="13">
        <f t="shared" si="6"/>
        <v>0.69639821900693732</v>
      </c>
      <c r="X29" s="16">
        <v>0.8</v>
      </c>
    </row>
    <row r="30" spans="4:24" x14ac:dyDescent="0.2">
      <c r="D30" s="5">
        <f t="shared" si="0"/>
        <v>135</v>
      </c>
      <c r="E30" s="5">
        <f t="shared" si="1"/>
        <v>203.6</v>
      </c>
      <c r="F30" s="5">
        <f t="shared" si="2"/>
        <v>188.6</v>
      </c>
      <c r="Q30" s="12">
        <f t="shared" si="7"/>
        <v>16576.480755149991</v>
      </c>
      <c r="R30" s="12">
        <f t="shared" si="3"/>
        <v>15250.426365599997</v>
      </c>
      <c r="S30" s="12">
        <f t="shared" si="8"/>
        <v>1326.0543895499941</v>
      </c>
      <c r="T30" s="12">
        <f t="shared" si="9"/>
        <v>4264.461041399999</v>
      </c>
      <c r="U30" s="12">
        <f t="shared" si="4"/>
        <v>0.92000386516673538</v>
      </c>
      <c r="V30" s="12">
        <f t="shared" si="5"/>
        <v>0.21852347658794771</v>
      </c>
      <c r="W30" s="13">
        <f t="shared" si="6"/>
        <v>0.70148038857878769</v>
      </c>
      <c r="X30" s="16">
        <v>0.9</v>
      </c>
    </row>
    <row r="31" spans="4:24" x14ac:dyDescent="0.2">
      <c r="D31" s="5">
        <f t="shared" si="0"/>
        <v>142.5</v>
      </c>
      <c r="E31" s="5">
        <f t="shared" si="1"/>
        <v>211.1</v>
      </c>
      <c r="F31" s="5">
        <f t="shared" si="2"/>
        <v>196.1</v>
      </c>
      <c r="Q31" s="12">
        <f t="shared" si="7"/>
        <v>17421.069903899988</v>
      </c>
      <c r="R31" s="12">
        <f t="shared" si="3"/>
        <v>16090.824585599998</v>
      </c>
      <c r="S31" s="12">
        <f t="shared" si="8"/>
        <v>1330.2453182999907</v>
      </c>
      <c r="T31" s="12">
        <f t="shared" si="9"/>
        <v>4474.5605963999997</v>
      </c>
      <c r="U31" s="12">
        <f t="shared" si="4"/>
        <v>0.92364158311527156</v>
      </c>
      <c r="V31" s="12">
        <f t="shared" si="5"/>
        <v>0.2175772812811885</v>
      </c>
      <c r="W31" s="13">
        <f t="shared" si="6"/>
        <v>0.70606430183408309</v>
      </c>
      <c r="X31" s="16">
        <v>1</v>
      </c>
    </row>
    <row r="32" spans="4:24" x14ac:dyDescent="0.2">
      <c r="D32" s="5">
        <f t="shared" si="0"/>
        <v>150</v>
      </c>
      <c r="E32" s="5">
        <f t="shared" si="1"/>
        <v>218.6</v>
      </c>
      <c r="F32" s="5">
        <f t="shared" si="2"/>
        <v>203.6</v>
      </c>
      <c r="Q32" s="12">
        <f t="shared" si="7"/>
        <v>18265.659052649989</v>
      </c>
      <c r="R32" s="12">
        <f t="shared" si="3"/>
        <v>16931.222805599995</v>
      </c>
      <c r="S32" s="12">
        <f t="shared" si="8"/>
        <v>1334.4362470499946</v>
      </c>
      <c r="T32" s="12">
        <f t="shared" si="9"/>
        <v>4684.6601513999985</v>
      </c>
      <c r="U32" s="12">
        <f t="shared" si="4"/>
        <v>0.92694289085307358</v>
      </c>
      <c r="V32" s="12">
        <f t="shared" si="5"/>
        <v>0.21672305316970356</v>
      </c>
      <c r="W32" s="13">
        <f t="shared" si="6"/>
        <v>0.71021983768337005</v>
      </c>
      <c r="X32" s="16">
        <v>1.1000000000000001</v>
      </c>
    </row>
    <row r="33" spans="4:24" x14ac:dyDescent="0.2">
      <c r="D33" s="5">
        <f t="shared" si="0"/>
        <v>157.5</v>
      </c>
      <c r="E33" s="5">
        <f t="shared" si="1"/>
        <v>226.1</v>
      </c>
      <c r="F33" s="5">
        <f t="shared" si="2"/>
        <v>211.1</v>
      </c>
      <c r="Q33" s="12">
        <f t="shared" si="7"/>
        <v>19110.248201399991</v>
      </c>
      <c r="R33" s="12">
        <f t="shared" si="3"/>
        <v>17771.621025599998</v>
      </c>
      <c r="S33" s="12">
        <f t="shared" si="8"/>
        <v>1338.627175799993</v>
      </c>
      <c r="T33" s="12">
        <f t="shared" si="9"/>
        <v>4894.7597063999992</v>
      </c>
      <c r="U33" s="12">
        <f t="shared" si="4"/>
        <v>0.92995239194737789</v>
      </c>
      <c r="V33" s="12">
        <f t="shared" si="5"/>
        <v>0.21594800529798142</v>
      </c>
      <c r="W33" s="13">
        <f t="shared" si="6"/>
        <v>0.71400438664939647</v>
      </c>
      <c r="X33" s="16">
        <v>1.2</v>
      </c>
    </row>
    <row r="34" spans="4:24" x14ac:dyDescent="0.2">
      <c r="D34" s="5">
        <f t="shared" si="0"/>
        <v>165</v>
      </c>
      <c r="E34" s="5">
        <f t="shared" si="1"/>
        <v>233.6</v>
      </c>
      <c r="F34" s="5">
        <f t="shared" si="2"/>
        <v>218.6</v>
      </c>
      <c r="Q34" s="12">
        <f t="shared" si="7"/>
        <v>19954.837350149988</v>
      </c>
      <c r="R34" s="12">
        <f t="shared" si="3"/>
        <v>18612.019245599997</v>
      </c>
      <c r="S34" s="12">
        <f t="shared" si="8"/>
        <v>1342.8181045499914</v>
      </c>
      <c r="T34" s="12">
        <f t="shared" si="9"/>
        <v>5104.859261399999</v>
      </c>
      <c r="U34" s="12">
        <f t="shared" si="4"/>
        <v>0.93270713857560461</v>
      </c>
      <c r="V34" s="12">
        <f t="shared" si="5"/>
        <v>0.21524161621409449</v>
      </c>
      <c r="W34" s="13">
        <f t="shared" si="6"/>
        <v>0.71746552236151007</v>
      </c>
      <c r="X34" s="16">
        <v>1.3</v>
      </c>
    </row>
    <row r="35" spans="4:24" x14ac:dyDescent="0.2">
      <c r="D35" s="5">
        <f t="shared" si="0"/>
        <v>172.5</v>
      </c>
      <c r="E35" s="5">
        <f t="shared" si="1"/>
        <v>241.1</v>
      </c>
      <c r="F35" s="5">
        <f t="shared" si="2"/>
        <v>226.1</v>
      </c>
      <c r="Q35" s="12">
        <f t="shared" si="7"/>
        <v>20799.426498899989</v>
      </c>
      <c r="R35" s="12">
        <f t="shared" si="3"/>
        <v>19452.417465599996</v>
      </c>
      <c r="S35" s="12">
        <f t="shared" si="8"/>
        <v>1347.0090332999935</v>
      </c>
      <c r="T35" s="12">
        <f t="shared" si="9"/>
        <v>5314.9588163999988</v>
      </c>
      <c r="U35" s="12">
        <f t="shared" si="4"/>
        <v>0.93523816469789534</v>
      </c>
      <c r="V35" s="12">
        <f t="shared" si="5"/>
        <v>0.2145951495178241</v>
      </c>
      <c r="W35" s="13">
        <f t="shared" si="6"/>
        <v>0.72064301518007123</v>
      </c>
      <c r="X35" s="16">
        <v>1.4</v>
      </c>
    </row>
    <row r="36" spans="4:24" x14ac:dyDescent="0.2">
      <c r="D36" s="5">
        <f t="shared" si="0"/>
        <v>180</v>
      </c>
      <c r="E36" s="5">
        <f t="shared" si="1"/>
        <v>248.6</v>
      </c>
      <c r="F36" s="5">
        <f t="shared" si="2"/>
        <v>233.6</v>
      </c>
      <c r="Q36" s="12">
        <f t="shared" si="7"/>
        <v>21644.015647649987</v>
      </c>
      <c r="R36" s="12">
        <f t="shared" si="3"/>
        <v>20292.815685599995</v>
      </c>
      <c r="S36" s="12">
        <f t="shared" si="8"/>
        <v>1351.1999620499919</v>
      </c>
      <c r="T36" s="12">
        <f t="shared" si="9"/>
        <v>5525.0583713999986</v>
      </c>
      <c r="U36" s="12">
        <f t="shared" si="4"/>
        <v>0.93757166026643957</v>
      </c>
      <c r="V36" s="12">
        <f t="shared" si="5"/>
        <v>0.21400129070278701</v>
      </c>
      <c r="W36" s="13">
        <f t="shared" si="6"/>
        <v>0.72357036956365262</v>
      </c>
      <c r="X36" s="16">
        <v>1.5</v>
      </c>
    </row>
    <row r="37" spans="4:24" x14ac:dyDescent="0.2">
      <c r="D37" s="5">
        <f t="shared" si="0"/>
        <v>187.5</v>
      </c>
      <c r="E37" s="5">
        <f t="shared" si="1"/>
        <v>256.10000000000002</v>
      </c>
      <c r="F37" s="5">
        <f t="shared" si="2"/>
        <v>241.1</v>
      </c>
      <c r="Q37" s="12">
        <f t="shared" si="7"/>
        <v>22488.604796399988</v>
      </c>
      <c r="R37" s="12">
        <f t="shared" si="3"/>
        <v>21133.213905599998</v>
      </c>
      <c r="S37" s="12">
        <f t="shared" si="8"/>
        <v>1355.3908907999903</v>
      </c>
      <c r="T37" s="12">
        <f t="shared" si="9"/>
        <v>5735.1579263999993</v>
      </c>
      <c r="U37" s="12">
        <f t="shared" si="4"/>
        <v>0.939729880840942</v>
      </c>
      <c r="V37" s="12">
        <f t="shared" si="5"/>
        <v>0.21345386919089293</v>
      </c>
      <c r="W37" s="13">
        <f t="shared" si="6"/>
        <v>0.72627601165004907</v>
      </c>
      <c r="X37" s="16">
        <v>1.6</v>
      </c>
    </row>
    <row r="38" spans="4:24" x14ac:dyDescent="0.2">
      <c r="D38" s="5">
        <f t="shared" si="0"/>
        <v>195</v>
      </c>
      <c r="E38" s="5">
        <f t="shared" si="1"/>
        <v>263.60000000000002</v>
      </c>
      <c r="F38" s="5">
        <f t="shared" si="2"/>
        <v>248.6</v>
      </c>
      <c r="Q38" s="12">
        <f t="shared" si="7"/>
        <v>23333.193945149986</v>
      </c>
      <c r="R38" s="12">
        <f t="shared" si="3"/>
        <v>21973.612125599997</v>
      </c>
      <c r="S38" s="12">
        <f t="shared" si="8"/>
        <v>1359.5818195499887</v>
      </c>
      <c r="T38" s="12">
        <f t="shared" si="9"/>
        <v>5945.2574813999991</v>
      </c>
      <c r="U38" s="12">
        <f t="shared" si="4"/>
        <v>0.94173185965256201</v>
      </c>
      <c r="V38" s="12">
        <f t="shared" si="5"/>
        <v>0.21294764312052827</v>
      </c>
      <c r="W38" s="13">
        <f t="shared" si="6"/>
        <v>0.72878421653203374</v>
      </c>
      <c r="X38" s="16">
        <v>1.7</v>
      </c>
    </row>
    <row r="39" spans="4:24" x14ac:dyDescent="0.2">
      <c r="D39" s="5">
        <f t="shared" si="0"/>
        <v>202.5</v>
      </c>
      <c r="E39" s="5">
        <f t="shared" si="1"/>
        <v>271.10000000000002</v>
      </c>
      <c r="F39" s="5">
        <f t="shared" si="2"/>
        <v>256.10000000000002</v>
      </c>
      <c r="Q39" s="12">
        <f>($J$21*E30)+($L$21*E30)+($N$21*$B$12)+($P$21*$B$12)</f>
        <v>24177.783093899987</v>
      </c>
      <c r="R39" s="12">
        <f t="shared" si="3"/>
        <v>22814.010345599996</v>
      </c>
      <c r="S39" s="12">
        <f t="shared" si="8"/>
        <v>1363.7727482999908</v>
      </c>
      <c r="T39" s="12">
        <f t="shared" si="9"/>
        <v>6155.3570363999988</v>
      </c>
      <c r="U39" s="12">
        <f t="shared" si="4"/>
        <v>0.94359397042303406</v>
      </c>
      <c r="V39" s="12">
        <f t="shared" si="5"/>
        <v>0.21247813095927687</v>
      </c>
      <c r="W39" s="13">
        <f t="shared" si="6"/>
        <v>0.73111583946375713</v>
      </c>
      <c r="X39" s="16">
        <v>1.8</v>
      </c>
    </row>
    <row r="40" spans="4:24" x14ac:dyDescent="0.2">
      <c r="D40" s="5">
        <f t="shared" si="0"/>
        <v>210</v>
      </c>
      <c r="E40" s="5">
        <f t="shared" si="1"/>
        <v>278.60000000000002</v>
      </c>
      <c r="F40" s="5">
        <f t="shared" si="2"/>
        <v>263.60000000000002</v>
      </c>
      <c r="Q40" s="12">
        <f>($J$21*E31)+($L$21*E31)+($N$21*$B$12)+($P$21*$B$12)</f>
        <v>25022.372242649984</v>
      </c>
      <c r="R40" s="12">
        <f t="shared" si="3"/>
        <v>23654.408565599995</v>
      </c>
      <c r="S40" s="12">
        <f t="shared" si="8"/>
        <v>1367.9636770499892</v>
      </c>
      <c r="T40" s="12">
        <f t="shared" si="9"/>
        <v>6365.4565913999986</v>
      </c>
      <c r="U40" s="12">
        <f t="shared" si="4"/>
        <v>0.94533037620156846</v>
      </c>
      <c r="V40" s="12">
        <f t="shared" si="5"/>
        <v>0.21204147847132185</v>
      </c>
      <c r="W40" s="13">
        <f t="shared" si="6"/>
        <v>0.73328889773024664</v>
      </c>
      <c r="X40" s="16">
        <v>1.9</v>
      </c>
    </row>
    <row r="41" spans="4:24" x14ac:dyDescent="0.2">
      <c r="D41" s="5">
        <f t="shared" si="0"/>
        <v>217.5</v>
      </c>
      <c r="E41" s="5">
        <f t="shared" si="1"/>
        <v>286.10000000000002</v>
      </c>
      <c r="F41" s="5">
        <f t="shared" si="2"/>
        <v>271.10000000000002</v>
      </c>
      <c r="Q41" s="12">
        <f t="shared" ref="Q41:Q104" si="10">($J$21*E32)+($L$21*E32)+($N$21*$B$12)+($P$21*$B$12)</f>
        <v>25866.961391399982</v>
      </c>
      <c r="R41" s="12">
        <f t="shared" si="3"/>
        <v>24494.806785599994</v>
      </c>
      <c r="S41" s="12">
        <f t="shared" si="8"/>
        <v>1372.1546057999876</v>
      </c>
      <c r="T41" s="12">
        <f t="shared" si="9"/>
        <v>6575.5561463999984</v>
      </c>
      <c r="U41" s="12">
        <f t="shared" si="4"/>
        <v>0.94695339027118242</v>
      </c>
      <c r="V41" s="12">
        <f t="shared" si="5"/>
        <v>0.21163435267206682</v>
      </c>
      <c r="W41" s="13">
        <f t="shared" si="6"/>
        <v>0.73531903759911565</v>
      </c>
      <c r="X41" s="16">
        <v>2</v>
      </c>
    </row>
    <row r="42" spans="4:24" x14ac:dyDescent="0.2">
      <c r="D42" s="5">
        <f t="shared" si="0"/>
        <v>225</v>
      </c>
      <c r="E42" s="5">
        <f t="shared" si="1"/>
        <v>293.60000000000002</v>
      </c>
      <c r="F42" s="5">
        <f t="shared" si="2"/>
        <v>278.60000000000002</v>
      </c>
      <c r="Q42" s="12">
        <f t="shared" si="10"/>
        <v>26711.550540149987</v>
      </c>
      <c r="R42" s="12">
        <f t="shared" si="3"/>
        <v>25335.205005599997</v>
      </c>
      <c r="S42" s="12">
        <f t="shared" si="8"/>
        <v>1376.3455345499897</v>
      </c>
      <c r="T42" s="12">
        <f t="shared" si="9"/>
        <v>6785.6557013999991</v>
      </c>
      <c r="U42" s="12">
        <f t="shared" si="4"/>
        <v>0.94847376858631949</v>
      </c>
      <c r="V42" s="12">
        <f t="shared" si="5"/>
        <v>0.21125385659174514</v>
      </c>
      <c r="W42" s="13">
        <f t="shared" si="6"/>
        <v>0.73721991199457437</v>
      </c>
      <c r="X42" s="16">
        <v>2.1</v>
      </c>
    </row>
    <row r="43" spans="4:24" x14ac:dyDescent="0.2">
      <c r="D43" s="5">
        <f t="shared" si="0"/>
        <v>232.5</v>
      </c>
      <c r="E43" s="5">
        <f t="shared" si="1"/>
        <v>301.10000000000002</v>
      </c>
      <c r="F43" s="5">
        <f t="shared" si="2"/>
        <v>286.10000000000002</v>
      </c>
      <c r="Q43" s="12">
        <f t="shared" si="10"/>
        <v>27556.139688899984</v>
      </c>
      <c r="R43" s="12">
        <f t="shared" si="3"/>
        <v>26175.603225599996</v>
      </c>
      <c r="S43" s="12">
        <f t="shared" si="8"/>
        <v>1380.5364632999881</v>
      </c>
      <c r="T43" s="12">
        <f t="shared" si="9"/>
        <v>6995.7552563999989</v>
      </c>
      <c r="U43" s="12">
        <f t="shared" si="4"/>
        <v>0.94990094843160888</v>
      </c>
      <c r="V43" s="12">
        <f t="shared" si="5"/>
        <v>0.21089746023504446</v>
      </c>
      <c r="W43" s="13">
        <f t="shared" si="6"/>
        <v>0.73900348819656436</v>
      </c>
      <c r="X43" s="16">
        <v>2.2000000000000002</v>
      </c>
    </row>
    <row r="44" spans="4:24" x14ac:dyDescent="0.2">
      <c r="D44" s="5">
        <f t="shared" ref="D44:D75" si="11">75*X53</f>
        <v>240</v>
      </c>
      <c r="E44" s="5">
        <f t="shared" si="1"/>
        <v>308.60000000000002</v>
      </c>
      <c r="F44" s="5">
        <f t="shared" si="2"/>
        <v>293.60000000000002</v>
      </c>
      <c r="Q44" s="12">
        <f t="shared" si="10"/>
        <v>28400.728837649982</v>
      </c>
      <c r="R44" s="12">
        <f t="shared" si="3"/>
        <v>27016.001445599995</v>
      </c>
      <c r="S44" s="12">
        <f t="shared" si="8"/>
        <v>1384.7273920499865</v>
      </c>
      <c r="T44" s="12">
        <f t="shared" si="9"/>
        <v>7205.8548113999987</v>
      </c>
      <c r="U44" s="12">
        <f t="shared" si="4"/>
        <v>0.95124324449679987</v>
      </c>
      <c r="V44" s="12">
        <f t="shared" si="5"/>
        <v>0.21056294425659799</v>
      </c>
      <c r="W44" s="13">
        <f t="shared" si="6"/>
        <v>0.74068030024020182</v>
      </c>
      <c r="X44" s="16">
        <v>2.2999999999999998</v>
      </c>
    </row>
    <row r="45" spans="4:24" x14ac:dyDescent="0.2">
      <c r="D45" s="5">
        <f t="shared" si="11"/>
        <v>247.5</v>
      </c>
      <c r="E45" s="5">
        <f t="shared" si="1"/>
        <v>316.10000000000002</v>
      </c>
      <c r="F45" s="5">
        <f t="shared" si="2"/>
        <v>301.10000000000002</v>
      </c>
      <c r="Q45" s="12">
        <f t="shared" si="10"/>
        <v>29245.317986399983</v>
      </c>
      <c r="R45" s="12">
        <f t="shared" si="3"/>
        <v>27856.399665599994</v>
      </c>
      <c r="S45" s="12">
        <f t="shared" si="8"/>
        <v>1388.9183207999886</v>
      </c>
      <c r="T45" s="12">
        <f t="shared" si="9"/>
        <v>7415.9543663999984</v>
      </c>
      <c r="U45" s="12">
        <f t="shared" si="4"/>
        <v>0.95250801097646187</v>
      </c>
      <c r="V45" s="12">
        <f t="shared" si="5"/>
        <v>0.21024835370137337</v>
      </c>
      <c r="W45" s="13">
        <f t="shared" si="6"/>
        <v>0.74225965727508847</v>
      </c>
      <c r="X45" s="16">
        <v>2.4</v>
      </c>
    </row>
    <row r="46" spans="4:24" x14ac:dyDescent="0.2">
      <c r="D46" s="5">
        <f t="shared" si="11"/>
        <v>255</v>
      </c>
      <c r="E46" s="5">
        <f t="shared" si="1"/>
        <v>323.60000000000002</v>
      </c>
      <c r="F46" s="5">
        <f t="shared" si="2"/>
        <v>308.60000000000002</v>
      </c>
      <c r="Q46" s="12">
        <f t="shared" si="10"/>
        <v>30089.907135149984</v>
      </c>
      <c r="R46" s="12">
        <f t="shared" si="3"/>
        <v>28696.797885599997</v>
      </c>
      <c r="S46" s="12">
        <f t="shared" si="8"/>
        <v>1393.109249549987</v>
      </c>
      <c r="T46" s="12">
        <f t="shared" si="9"/>
        <v>7626.0539213999991</v>
      </c>
      <c r="U46" s="12">
        <f t="shared" si="4"/>
        <v>0.95370177636997078</v>
      </c>
      <c r="V46" s="12">
        <f t="shared" si="5"/>
        <v>0.20995195977234188</v>
      </c>
      <c r="W46" s="13">
        <f t="shared" si="6"/>
        <v>0.74374981659762884</v>
      </c>
      <c r="X46" s="16">
        <v>2.5</v>
      </c>
    </row>
    <row r="47" spans="4:24" x14ac:dyDescent="0.2">
      <c r="D47" s="5">
        <f t="shared" si="11"/>
        <v>262.5</v>
      </c>
      <c r="E47" s="5">
        <f t="shared" si="1"/>
        <v>331.1</v>
      </c>
      <c r="F47" s="5">
        <f t="shared" si="2"/>
        <v>316.10000000000002</v>
      </c>
      <c r="Q47" s="12">
        <f t="shared" si="10"/>
        <v>30934.496283899982</v>
      </c>
      <c r="R47" s="12">
        <f t="shared" si="3"/>
        <v>29537.196105599996</v>
      </c>
      <c r="S47" s="12">
        <f t="shared" si="8"/>
        <v>1397.3001782999854</v>
      </c>
      <c r="T47" s="12">
        <f t="shared" si="9"/>
        <v>7836.1534763999989</v>
      </c>
      <c r="U47" s="12">
        <f t="shared" si="4"/>
        <v>0.95483035619923062</v>
      </c>
      <c r="V47" s="12">
        <f t="shared" si="5"/>
        <v>0.20967222804600047</v>
      </c>
      <c r="W47" s="13">
        <f t="shared" si="6"/>
        <v>0.74515812815323013</v>
      </c>
      <c r="X47" s="16">
        <v>2.6</v>
      </c>
    </row>
    <row r="48" spans="4:24" x14ac:dyDescent="0.2">
      <c r="D48" s="5">
        <f t="shared" si="11"/>
        <v>270</v>
      </c>
      <c r="E48" s="5">
        <f t="shared" si="1"/>
        <v>338.6</v>
      </c>
      <c r="F48" s="5">
        <f t="shared" si="2"/>
        <v>323.60000000000002</v>
      </c>
      <c r="Q48" s="12">
        <f t="shared" si="10"/>
        <v>31779.085432649987</v>
      </c>
      <c r="R48" s="12">
        <f t="shared" si="3"/>
        <v>30377.594325599999</v>
      </c>
      <c r="S48" s="12">
        <f t="shared" si="8"/>
        <v>1401.4911070499875</v>
      </c>
      <c r="T48" s="12">
        <f t="shared" si="9"/>
        <v>8046.2530313999996</v>
      </c>
      <c r="U48" s="12">
        <f t="shared" si="4"/>
        <v>0.95589894775228212</v>
      </c>
      <c r="V48" s="12">
        <f t="shared" si="5"/>
        <v>0.2094077919017692</v>
      </c>
      <c r="W48" s="13">
        <f t="shared" si="6"/>
        <v>0.74649115585051296</v>
      </c>
      <c r="X48" s="16">
        <v>2.7</v>
      </c>
    </row>
    <row r="49" spans="4:24" x14ac:dyDescent="0.2">
      <c r="D49" s="5">
        <f t="shared" si="11"/>
        <v>277.5</v>
      </c>
      <c r="E49" s="5">
        <f t="shared" si="1"/>
        <v>346.1</v>
      </c>
      <c r="F49" s="5">
        <f t="shared" si="2"/>
        <v>331.1</v>
      </c>
      <c r="Q49" s="12">
        <f t="shared" si="10"/>
        <v>32623.674581399984</v>
      </c>
      <c r="R49" s="12">
        <f t="shared" si="3"/>
        <v>31217.992545599998</v>
      </c>
      <c r="S49" s="12">
        <f t="shared" si="8"/>
        <v>1405.6820357999859</v>
      </c>
      <c r="T49" s="12">
        <f t="shared" si="9"/>
        <v>8256.3525864000003</v>
      </c>
      <c r="U49" s="12">
        <f t="shared" si="4"/>
        <v>0.95691221011009531</v>
      </c>
      <c r="V49" s="12">
        <f t="shared" si="5"/>
        <v>0.2091574301939961</v>
      </c>
      <c r="W49" s="13">
        <f t="shared" si="6"/>
        <v>0.74775477991609918</v>
      </c>
      <c r="X49" s="16">
        <v>2.8</v>
      </c>
    </row>
    <row r="50" spans="4:24" x14ac:dyDescent="0.2">
      <c r="D50" s="5">
        <f t="shared" si="11"/>
        <v>285</v>
      </c>
      <c r="E50" s="5">
        <f t="shared" si="1"/>
        <v>353.6</v>
      </c>
      <c r="F50" s="5">
        <f t="shared" si="2"/>
        <v>338.6</v>
      </c>
      <c r="Q50" s="12">
        <f t="shared" si="10"/>
        <v>33468.263730149985</v>
      </c>
      <c r="R50" s="12">
        <f t="shared" si="3"/>
        <v>32058.390765599997</v>
      </c>
      <c r="S50" s="12">
        <f t="shared" si="8"/>
        <v>1409.872964549988</v>
      </c>
      <c r="T50" s="12">
        <f t="shared" si="9"/>
        <v>8466.4521413999992</v>
      </c>
      <c r="U50" s="12">
        <f t="shared" si="4"/>
        <v>0.95787433205625483</v>
      </c>
      <c r="V50" s="12">
        <f t="shared" si="5"/>
        <v>0.20892004839672207</v>
      </c>
      <c r="W50" s="13">
        <f t="shared" si="6"/>
        <v>0.74895428365953276</v>
      </c>
      <c r="X50" s="16">
        <v>2.9</v>
      </c>
    </row>
    <row r="51" spans="4:24" x14ac:dyDescent="0.2">
      <c r="D51" s="5">
        <f t="shared" si="11"/>
        <v>292.5</v>
      </c>
      <c r="E51" s="5">
        <f t="shared" si="1"/>
        <v>361.1</v>
      </c>
      <c r="F51" s="5">
        <f t="shared" si="2"/>
        <v>346.1</v>
      </c>
      <c r="Q51" s="12">
        <f t="shared" si="10"/>
        <v>34312.852878899983</v>
      </c>
      <c r="R51" s="12">
        <f t="shared" si="3"/>
        <v>32898.788985599997</v>
      </c>
      <c r="S51" s="12">
        <f t="shared" si="8"/>
        <v>1414.0638932999864</v>
      </c>
      <c r="T51" s="12">
        <f t="shared" si="9"/>
        <v>8676.5516963999999</v>
      </c>
      <c r="U51" s="12">
        <f t="shared" si="4"/>
        <v>0.95878908995732215</v>
      </c>
      <c r="V51" s="12">
        <f t="shared" si="5"/>
        <v>0.20869466260697425</v>
      </c>
      <c r="W51" s="13">
        <f t="shared" si="6"/>
        <v>0.75009442735034793</v>
      </c>
      <c r="X51" s="16">
        <v>3</v>
      </c>
    </row>
    <row r="52" spans="4:24" x14ac:dyDescent="0.2">
      <c r="D52" s="5">
        <f t="shared" si="11"/>
        <v>300</v>
      </c>
      <c r="E52" s="5">
        <f t="shared" si="1"/>
        <v>368.6</v>
      </c>
      <c r="F52" s="5">
        <f t="shared" si="2"/>
        <v>353.6</v>
      </c>
      <c r="Q52" s="12">
        <f t="shared" si="10"/>
        <v>35157.44202764998</v>
      </c>
      <c r="R52" s="12">
        <f t="shared" si="3"/>
        <v>33739.187205599999</v>
      </c>
      <c r="S52" s="12">
        <f t="shared" si="8"/>
        <v>1418.2548220499812</v>
      </c>
      <c r="T52" s="12">
        <f t="shared" si="9"/>
        <v>8886.6512514000005</v>
      </c>
      <c r="U52" s="12">
        <f t="shared" si="4"/>
        <v>0.95965989730041856</v>
      </c>
      <c r="V52" s="12">
        <f t="shared" si="5"/>
        <v>0.20848038591345616</v>
      </c>
      <c r="W52" s="13">
        <f t="shared" si="6"/>
        <v>0.75117951138696237</v>
      </c>
      <c r="X52" s="16">
        <v>3.1</v>
      </c>
    </row>
    <row r="53" spans="4:24" x14ac:dyDescent="0.2">
      <c r="D53" s="5">
        <f t="shared" si="11"/>
        <v>307.5</v>
      </c>
      <c r="E53" s="5">
        <f t="shared" si="1"/>
        <v>376.1</v>
      </c>
      <c r="F53" s="5">
        <f t="shared" si="2"/>
        <v>361.1</v>
      </c>
      <c r="Q53" s="12">
        <f t="shared" si="10"/>
        <v>36002.031176399978</v>
      </c>
      <c r="R53" s="12">
        <f t="shared" si="3"/>
        <v>34579.585425599995</v>
      </c>
      <c r="S53" s="12">
        <f t="shared" si="8"/>
        <v>1422.4457507999832</v>
      </c>
      <c r="T53" s="12">
        <f t="shared" si="9"/>
        <v>9096.7508063999994</v>
      </c>
      <c r="U53" s="12">
        <f t="shared" si="4"/>
        <v>0.96048984725805076</v>
      </c>
      <c r="V53" s="12">
        <f t="shared" si="5"/>
        <v>0.20827641673238964</v>
      </c>
      <c r="W53" s="13">
        <f t="shared" si="6"/>
        <v>0.75221343052566114</v>
      </c>
      <c r="X53" s="16">
        <v>3.2</v>
      </c>
    </row>
    <row r="54" spans="4:24" x14ac:dyDescent="0.2">
      <c r="D54" s="5">
        <f t="shared" si="11"/>
        <v>315</v>
      </c>
      <c r="E54" s="5">
        <f t="shared" si="1"/>
        <v>383.6</v>
      </c>
      <c r="F54" s="5">
        <f t="shared" si="2"/>
        <v>368.6</v>
      </c>
      <c r="Q54" s="12">
        <f t="shared" si="10"/>
        <v>36846.620325149983</v>
      </c>
      <c r="R54" s="12">
        <f t="shared" si="3"/>
        <v>35419.983645599998</v>
      </c>
      <c r="S54" s="12">
        <f t="shared" si="8"/>
        <v>1426.6366795499853</v>
      </c>
      <c r="T54" s="12">
        <f t="shared" si="9"/>
        <v>9306.8503614000001</v>
      </c>
      <c r="U54" s="12">
        <f t="shared" si="4"/>
        <v>0.96128174939897482</v>
      </c>
      <c r="V54" s="12">
        <f t="shared" si="5"/>
        <v>0.20808202878709067</v>
      </c>
      <c r="W54" s="13">
        <f t="shared" si="6"/>
        <v>0.75319972061188412</v>
      </c>
      <c r="X54" s="16">
        <v>3.3</v>
      </c>
    </row>
    <row r="55" spans="4:24" x14ac:dyDescent="0.2">
      <c r="D55" s="5">
        <f t="shared" si="11"/>
        <v>322.5</v>
      </c>
      <c r="E55" s="5">
        <f t="shared" si="1"/>
        <v>391.1</v>
      </c>
      <c r="F55" s="5">
        <f t="shared" si="2"/>
        <v>376.1</v>
      </c>
      <c r="Q55" s="12">
        <f t="shared" si="10"/>
        <v>37691.20947389998</v>
      </c>
      <c r="R55" s="12">
        <f t="shared" si="3"/>
        <v>36260.3818656</v>
      </c>
      <c r="S55" s="12">
        <f t="shared" si="8"/>
        <v>1430.8276082999801</v>
      </c>
      <c r="T55" s="12">
        <f t="shared" si="9"/>
        <v>9516.9499164000008</v>
      </c>
      <c r="U55" s="12">
        <f t="shared" si="4"/>
        <v>0.96203816146333043</v>
      </c>
      <c r="V55" s="12">
        <f t="shared" si="5"/>
        <v>0.20789656246723709</v>
      </c>
      <c r="W55" s="13">
        <f t="shared" si="6"/>
        <v>0.75414159899609334</v>
      </c>
      <c r="X55" s="16">
        <v>3.4</v>
      </c>
    </row>
    <row r="56" spans="4:24" x14ac:dyDescent="0.2">
      <c r="D56" s="5">
        <f t="shared" si="11"/>
        <v>330</v>
      </c>
      <c r="E56" s="5">
        <f t="shared" si="1"/>
        <v>398.6</v>
      </c>
      <c r="F56" s="5">
        <f t="shared" si="2"/>
        <v>383.6</v>
      </c>
      <c r="Q56" s="12">
        <f t="shared" si="10"/>
        <v>38535.798622649978</v>
      </c>
      <c r="R56" s="12">
        <f t="shared" si="3"/>
        <v>37100.780085599996</v>
      </c>
      <c r="S56" s="12">
        <f t="shared" si="8"/>
        <v>1435.0185370499821</v>
      </c>
      <c r="T56" s="12">
        <f t="shared" si="9"/>
        <v>9727.0494713999997</v>
      </c>
      <c r="U56" s="12">
        <f t="shared" si="4"/>
        <v>0.96276141695928086</v>
      </c>
      <c r="V56" s="12">
        <f t="shared" si="5"/>
        <v>0.20771941735117136</v>
      </c>
      <c r="W56" s="13">
        <f t="shared" si="6"/>
        <v>0.75504199960810947</v>
      </c>
      <c r="X56" s="16">
        <v>3.5</v>
      </c>
    </row>
    <row r="57" spans="4:24" x14ac:dyDescent="0.2">
      <c r="D57" s="5">
        <f t="shared" si="11"/>
        <v>337.5</v>
      </c>
      <c r="E57" s="5">
        <f t="shared" si="1"/>
        <v>406.1</v>
      </c>
      <c r="F57" s="5">
        <f t="shared" si="2"/>
        <v>391.1</v>
      </c>
      <c r="Q57" s="12">
        <f t="shared" si="10"/>
        <v>39380.387771399983</v>
      </c>
      <c r="R57" s="12">
        <f t="shared" si="3"/>
        <v>37941.178305599999</v>
      </c>
      <c r="S57" s="12">
        <f t="shared" si="8"/>
        <v>1439.2094657999842</v>
      </c>
      <c r="T57" s="12">
        <f t="shared" si="9"/>
        <v>9937.1490264000004</v>
      </c>
      <c r="U57" s="12">
        <f t="shared" si="4"/>
        <v>0.96345364920847198</v>
      </c>
      <c r="V57" s="12">
        <f t="shared" si="5"/>
        <v>0.20755004571261199</v>
      </c>
      <c r="W57" s="13">
        <f t="shared" si="6"/>
        <v>0.75590360349585994</v>
      </c>
      <c r="X57" s="16">
        <v>3.6</v>
      </c>
    </row>
    <row r="58" spans="4:24" x14ac:dyDescent="0.2">
      <c r="D58" s="5">
        <f t="shared" si="11"/>
        <v>345</v>
      </c>
      <c r="E58" s="5">
        <f t="shared" si="1"/>
        <v>413.6</v>
      </c>
      <c r="F58" s="5">
        <f t="shared" si="2"/>
        <v>398.6</v>
      </c>
      <c r="Q58" s="12">
        <f t="shared" si="10"/>
        <v>40224.976920149973</v>
      </c>
      <c r="R58" s="12">
        <f t="shared" si="3"/>
        <v>38781.576525599994</v>
      </c>
      <c r="S58" s="12">
        <f t="shared" si="8"/>
        <v>1443.400394549979</v>
      </c>
      <c r="T58" s="12">
        <f t="shared" si="9"/>
        <v>10147.248581399999</v>
      </c>
      <c r="U58" s="12">
        <f t="shared" si="4"/>
        <v>0.96411681236224811</v>
      </c>
      <c r="V58" s="12">
        <f t="shared" si="5"/>
        <v>0.207387946863827</v>
      </c>
      <c r="W58" s="13">
        <f t="shared" si="6"/>
        <v>0.75672886549842111</v>
      </c>
      <c r="X58" s="16">
        <v>3.7</v>
      </c>
    </row>
    <row r="59" spans="4:24" x14ac:dyDescent="0.2">
      <c r="D59" s="5">
        <f t="shared" si="11"/>
        <v>352.5</v>
      </c>
      <c r="E59" s="5">
        <f t="shared" si="1"/>
        <v>421.1</v>
      </c>
      <c r="F59" s="5">
        <f t="shared" si="2"/>
        <v>406.1</v>
      </c>
      <c r="Q59" s="12">
        <f t="shared" si="10"/>
        <v>41069.566068899978</v>
      </c>
      <c r="R59" s="12">
        <f t="shared" si="3"/>
        <v>39621.974745599997</v>
      </c>
      <c r="S59" s="12">
        <f t="shared" si="8"/>
        <v>1447.591323299981</v>
      </c>
      <c r="T59" s="12">
        <f t="shared" si="9"/>
        <v>10357.3481364</v>
      </c>
      <c r="U59" s="12">
        <f t="shared" si="4"/>
        <v>0.96475269982469636</v>
      </c>
      <c r="V59" s="12">
        <f t="shared" si="5"/>
        <v>0.20723266221220035</v>
      </c>
      <c r="W59" s="13">
        <f t="shared" si="6"/>
        <v>0.75752003761249598</v>
      </c>
      <c r="X59" s="16">
        <v>3.8</v>
      </c>
    </row>
    <row r="60" spans="4:24" x14ac:dyDescent="0.2">
      <c r="D60" s="5">
        <f t="shared" si="11"/>
        <v>360</v>
      </c>
      <c r="E60" s="5">
        <f t="shared" si="1"/>
        <v>428.6</v>
      </c>
      <c r="F60" s="5">
        <f t="shared" si="2"/>
        <v>413.6</v>
      </c>
      <c r="Q60" s="12">
        <f t="shared" si="10"/>
        <v>41914.155217649983</v>
      </c>
      <c r="R60" s="12">
        <f t="shared" si="3"/>
        <v>40462.3729656</v>
      </c>
      <c r="S60" s="12">
        <f t="shared" si="8"/>
        <v>1451.7822520499831</v>
      </c>
      <c r="T60" s="12">
        <f t="shared" si="9"/>
        <v>10567.447691400001</v>
      </c>
      <c r="U60" s="12">
        <f t="shared" si="4"/>
        <v>0.9653629604482965</v>
      </c>
      <c r="V60" s="12">
        <f t="shared" si="5"/>
        <v>0.20708377092739033</v>
      </c>
      <c r="W60" s="13">
        <f t="shared" si="6"/>
        <v>0.75827918952090623</v>
      </c>
      <c r="X60" s="16">
        <v>3.9</v>
      </c>
    </row>
    <row r="61" spans="4:24" x14ac:dyDescent="0.2">
      <c r="D61" s="5">
        <f t="shared" si="11"/>
        <v>367.5</v>
      </c>
      <c r="E61" s="5">
        <f t="shared" si="1"/>
        <v>436.1</v>
      </c>
      <c r="F61" s="5">
        <f t="shared" si="2"/>
        <v>421.1</v>
      </c>
      <c r="Q61" s="12">
        <f t="shared" si="10"/>
        <v>42758.744366399973</v>
      </c>
      <c r="R61" s="12">
        <f t="shared" si="3"/>
        <v>41302.771185599995</v>
      </c>
      <c r="S61" s="12">
        <f t="shared" si="8"/>
        <v>1455.9731807999779</v>
      </c>
      <c r="T61" s="12">
        <f t="shared" si="9"/>
        <v>10777.547246399999</v>
      </c>
      <c r="U61" s="12">
        <f t="shared" si="4"/>
        <v>0.96594911281014861</v>
      </c>
      <c r="V61" s="12">
        <f t="shared" si="5"/>
        <v>0.20694088613286765</v>
      </c>
      <c r="W61" s="13">
        <f t="shared" si="6"/>
        <v>0.75900822667728096</v>
      </c>
      <c r="X61" s="16">
        <v>4</v>
      </c>
    </row>
    <row r="62" spans="4:24" x14ac:dyDescent="0.2">
      <c r="D62" s="5">
        <f t="shared" si="11"/>
        <v>375</v>
      </c>
      <c r="E62" s="5">
        <f t="shared" si="1"/>
        <v>443.6</v>
      </c>
      <c r="F62" s="5">
        <f t="shared" si="2"/>
        <v>428.6</v>
      </c>
      <c r="Q62" s="12">
        <f t="shared" si="10"/>
        <v>43603.333515149978</v>
      </c>
      <c r="R62" s="12">
        <f t="shared" si="3"/>
        <v>42143.169405599998</v>
      </c>
      <c r="S62" s="12">
        <f t="shared" si="8"/>
        <v>1460.1641095499799</v>
      </c>
      <c r="T62" s="12">
        <f t="shared" si="9"/>
        <v>10987.6468014</v>
      </c>
      <c r="U62" s="12">
        <f t="shared" si="4"/>
        <v>0.96651255782903278</v>
      </c>
      <c r="V62" s="12">
        <f t="shared" si="5"/>
        <v>0.20680365154925617</v>
      </c>
      <c r="W62" s="13">
        <f t="shared" si="6"/>
        <v>0.75970890627977661</v>
      </c>
      <c r="X62" s="16">
        <v>4.0999999999999996</v>
      </c>
    </row>
    <row r="63" spans="4:24" x14ac:dyDescent="0.2">
      <c r="D63" s="5">
        <f t="shared" si="11"/>
        <v>382.5</v>
      </c>
      <c r="E63" s="5">
        <f t="shared" si="1"/>
        <v>451.1</v>
      </c>
      <c r="F63" s="5">
        <f t="shared" si="2"/>
        <v>436.1</v>
      </c>
      <c r="Q63" s="12">
        <f t="shared" si="10"/>
        <v>44447.922663899975</v>
      </c>
      <c r="R63" s="12">
        <f t="shared" si="3"/>
        <v>42983.567625599993</v>
      </c>
      <c r="S63" s="12">
        <f t="shared" si="8"/>
        <v>1464.355038299982</v>
      </c>
      <c r="T63" s="12">
        <f t="shared" si="9"/>
        <v>11197.746356399999</v>
      </c>
      <c r="U63" s="12">
        <f t="shared" si="4"/>
        <v>0.96705458994399052</v>
      </c>
      <c r="V63" s="12">
        <f t="shared" si="5"/>
        <v>0.2066717385281592</v>
      </c>
      <c r="W63" s="13">
        <f t="shared" si="6"/>
        <v>0.76038285141583128</v>
      </c>
      <c r="X63" s="16">
        <v>4.2</v>
      </c>
    </row>
    <row r="64" spans="4:24" x14ac:dyDescent="0.2">
      <c r="D64" s="5">
        <f t="shared" si="11"/>
        <v>390</v>
      </c>
      <c r="E64" s="5">
        <f t="shared" si="1"/>
        <v>458.6</v>
      </c>
      <c r="F64" s="5">
        <f t="shared" si="2"/>
        <v>443.6</v>
      </c>
      <c r="Q64" s="12">
        <f t="shared" si="10"/>
        <v>45292.511812649973</v>
      </c>
      <c r="R64" s="12">
        <f t="shared" si="3"/>
        <v>43823.965845599996</v>
      </c>
      <c r="S64" s="12">
        <f t="shared" si="8"/>
        <v>1468.5459670499768</v>
      </c>
      <c r="T64" s="12">
        <f t="shared" si="9"/>
        <v>11407.8459114</v>
      </c>
      <c r="U64" s="12">
        <f t="shared" si="4"/>
        <v>0.96757640704219416</v>
      </c>
      <c r="V64" s="12">
        <f t="shared" si="5"/>
        <v>0.20654484342448148</v>
      </c>
      <c r="W64" s="13">
        <f t="shared" si="6"/>
        <v>0.76103156361771274</v>
      </c>
      <c r="X64" s="16">
        <v>4.3</v>
      </c>
    </row>
    <row r="65" spans="4:24" x14ac:dyDescent="0.2">
      <c r="D65" s="5">
        <f t="shared" si="11"/>
        <v>397.5</v>
      </c>
      <c r="E65" s="5">
        <f t="shared" si="1"/>
        <v>466.1</v>
      </c>
      <c r="F65" s="5">
        <f t="shared" si="2"/>
        <v>451.1</v>
      </c>
      <c r="Q65" s="12">
        <f t="shared" si="10"/>
        <v>46137.100961399978</v>
      </c>
      <c r="R65" s="12">
        <f t="shared" si="3"/>
        <v>44664.364065599999</v>
      </c>
      <c r="S65" s="12">
        <f t="shared" si="8"/>
        <v>1472.7368957999788</v>
      </c>
      <c r="T65" s="12">
        <f t="shared" si="9"/>
        <v>11617.9454664</v>
      </c>
      <c r="U65" s="12">
        <f t="shared" si="4"/>
        <v>0.96807911929637436</v>
      </c>
      <c r="V65" s="12">
        <f t="shared" si="5"/>
        <v>0.20642268526302168</v>
      </c>
      <c r="W65" s="13">
        <f t="shared" si="6"/>
        <v>0.7616564340333527</v>
      </c>
      <c r="X65" s="16">
        <v>4.4000000000000004</v>
      </c>
    </row>
    <row r="66" spans="4:24" x14ac:dyDescent="0.2">
      <c r="D66" s="5">
        <f t="shared" si="11"/>
        <v>405</v>
      </c>
      <c r="E66" s="5">
        <f t="shared" si="1"/>
        <v>473.6</v>
      </c>
      <c r="F66" s="5">
        <f t="shared" si="2"/>
        <v>458.6</v>
      </c>
      <c r="Q66" s="12">
        <f t="shared" si="10"/>
        <v>46981.690110149975</v>
      </c>
      <c r="R66" s="12">
        <f t="shared" si="3"/>
        <v>45504.762285599994</v>
      </c>
      <c r="S66" s="12">
        <f t="shared" si="8"/>
        <v>1476.9278245499809</v>
      </c>
      <c r="T66" s="12">
        <f t="shared" si="9"/>
        <v>11828.045021399999</v>
      </c>
      <c r="U66" s="12">
        <f t="shared" si="4"/>
        <v>0.96856375704902742</v>
      </c>
      <c r="V66" s="12">
        <f t="shared" si="5"/>
        <v>0.2063050036615923</v>
      </c>
      <c r="W66" s="13">
        <f t="shared" si="6"/>
        <v>0.7622587533874351</v>
      </c>
      <c r="X66" s="16">
        <v>4.5</v>
      </c>
    </row>
    <row r="67" spans="4:24" x14ac:dyDescent="0.2">
      <c r="D67" s="5">
        <f t="shared" si="11"/>
        <v>412.5</v>
      </c>
      <c r="E67" s="5">
        <f t="shared" si="1"/>
        <v>481.1</v>
      </c>
      <c r="F67" s="5">
        <f t="shared" si="2"/>
        <v>466.1</v>
      </c>
      <c r="Q67" s="12">
        <f t="shared" si="10"/>
        <v>47826.279258899973</v>
      </c>
      <c r="R67" s="12">
        <f t="shared" si="3"/>
        <v>46345.160505599997</v>
      </c>
      <c r="S67" s="12">
        <f t="shared" si="8"/>
        <v>1481.1187532999757</v>
      </c>
      <c r="T67" s="12">
        <f t="shared" si="9"/>
        <v>12038.1445764</v>
      </c>
      <c r="U67" s="12">
        <f t="shared" si="4"/>
        <v>0.96903127786123244</v>
      </c>
      <c r="V67" s="12">
        <f t="shared" si="5"/>
        <v>0.20619155697835695</v>
      </c>
      <c r="W67" s="13">
        <f t="shared" si="6"/>
        <v>0.76283972088287544</v>
      </c>
      <c r="X67" s="16">
        <v>4.5999999999999996</v>
      </c>
    </row>
    <row r="68" spans="4:24" x14ac:dyDescent="0.2">
      <c r="D68" s="5">
        <f t="shared" si="11"/>
        <v>420</v>
      </c>
      <c r="E68" s="5">
        <f t="shared" si="1"/>
        <v>488.6</v>
      </c>
      <c r="F68" s="5">
        <f t="shared" si="2"/>
        <v>473.6</v>
      </c>
      <c r="Q68" s="12">
        <f t="shared" si="10"/>
        <v>48670.86840764997</v>
      </c>
      <c r="R68" s="12">
        <f t="shared" si="3"/>
        <v>47185.558725599993</v>
      </c>
      <c r="S68" s="12">
        <f t="shared" si="8"/>
        <v>1485.3096820499777</v>
      </c>
      <c r="T68" s="12">
        <f t="shared" si="9"/>
        <v>12248.244131399999</v>
      </c>
      <c r="U68" s="12">
        <f t="shared" si="4"/>
        <v>0.96948257282755779</v>
      </c>
      <c r="V68" s="12">
        <f t="shared" si="5"/>
        <v>0.20608212065564346</v>
      </c>
      <c r="W68" s="13">
        <f t="shared" si="6"/>
        <v>0.76340045217191432</v>
      </c>
      <c r="X68" s="16">
        <v>4.7</v>
      </c>
    </row>
    <row r="69" spans="4:24" x14ac:dyDescent="0.2">
      <c r="D69" s="5">
        <f t="shared" si="11"/>
        <v>427.5</v>
      </c>
      <c r="E69" s="5">
        <f t="shared" si="1"/>
        <v>496.1</v>
      </c>
      <c r="F69" s="5">
        <f t="shared" si="2"/>
        <v>481.1</v>
      </c>
      <c r="Q69" s="12">
        <f t="shared" si="10"/>
        <v>49515.457556399975</v>
      </c>
      <c r="R69" s="12">
        <f t="shared" si="3"/>
        <v>48025.956945599995</v>
      </c>
      <c r="S69" s="12">
        <f t="shared" si="8"/>
        <v>1489.5006107999798</v>
      </c>
      <c r="T69" s="12">
        <f t="shared" si="9"/>
        <v>12458.3436864</v>
      </c>
      <c r="U69" s="12">
        <f t="shared" si="4"/>
        <v>0.96991847224468475</v>
      </c>
      <c r="V69" s="12">
        <f t="shared" si="5"/>
        <v>0.2059764857363458</v>
      </c>
      <c r="W69" s="13">
        <f t="shared" si="6"/>
        <v>0.763941986508339</v>
      </c>
      <c r="X69" s="16">
        <v>4.8</v>
      </c>
    </row>
    <row r="70" spans="4:24" x14ac:dyDescent="0.2">
      <c r="D70" s="5">
        <f t="shared" si="11"/>
        <v>435</v>
      </c>
      <c r="E70" s="5">
        <f t="shared" si="1"/>
        <v>503.6</v>
      </c>
      <c r="F70" s="5">
        <f t="shared" si="2"/>
        <v>488.6</v>
      </c>
      <c r="Q70" s="12">
        <f t="shared" si="10"/>
        <v>50360.046705149973</v>
      </c>
      <c r="R70" s="12">
        <f t="shared" si="3"/>
        <v>48866.355165599998</v>
      </c>
      <c r="S70" s="12">
        <f t="shared" si="8"/>
        <v>1493.6915395499746</v>
      </c>
      <c r="T70" s="12">
        <f t="shared" si="9"/>
        <v>12668.4432414</v>
      </c>
      <c r="U70" s="12">
        <f t="shared" si="4"/>
        <v>0.97033975070961909</v>
      </c>
      <c r="V70" s="12">
        <f t="shared" si="5"/>
        <v>0.20587445753229086</v>
      </c>
      <c r="W70" s="13">
        <f t="shared" si="6"/>
        <v>0.76446529317732825</v>
      </c>
      <c r="X70" s="16">
        <v>4.9000000000000004</v>
      </c>
    </row>
    <row r="71" spans="4:24" x14ac:dyDescent="0.2">
      <c r="D71" s="5">
        <f t="shared" si="11"/>
        <v>442.5</v>
      </c>
      <c r="E71" s="5">
        <f t="shared" si="1"/>
        <v>511.1</v>
      </c>
      <c r="F71" s="5">
        <f t="shared" si="2"/>
        <v>496.1</v>
      </c>
      <c r="Q71" s="12">
        <f t="shared" si="10"/>
        <v>51204.63585389997</v>
      </c>
      <c r="R71" s="12">
        <f t="shared" si="3"/>
        <v>49706.753385599994</v>
      </c>
      <c r="S71" s="12">
        <f t="shared" si="8"/>
        <v>1497.8824682999766</v>
      </c>
      <c r="T71" s="12">
        <f t="shared" si="9"/>
        <v>12878.542796399999</v>
      </c>
      <c r="U71" s="12">
        <f t="shared" si="4"/>
        <v>0.9707471317133507</v>
      </c>
      <c r="V71" s="12">
        <f t="shared" si="5"/>
        <v>0.20577585442671384</v>
      </c>
      <c r="W71" s="13">
        <f t="shared" si="6"/>
        <v>0.76497127728663683</v>
      </c>
      <c r="X71" s="16">
        <v>5</v>
      </c>
    </row>
    <row r="72" spans="4:24" x14ac:dyDescent="0.2">
      <c r="D72" s="5">
        <f t="shared" si="11"/>
        <v>450</v>
      </c>
      <c r="E72" s="5">
        <f t="shared" si="1"/>
        <v>518.6</v>
      </c>
      <c r="F72" s="5">
        <f t="shared" si="2"/>
        <v>503.6</v>
      </c>
      <c r="Q72" s="12">
        <f t="shared" si="10"/>
        <v>52049.225002649975</v>
      </c>
      <c r="R72" s="12">
        <f t="shared" si="3"/>
        <v>50547.151605599996</v>
      </c>
      <c r="S72" s="12">
        <f t="shared" si="8"/>
        <v>1502.0733970499787</v>
      </c>
      <c r="T72" s="12">
        <f t="shared" si="9"/>
        <v>13088.6423514</v>
      </c>
      <c r="U72" s="12">
        <f t="shared" si="4"/>
        <v>0.97114129178727437</v>
      </c>
      <c r="V72" s="12">
        <f t="shared" si="5"/>
        <v>0.20568050679534639</v>
      </c>
      <c r="W72" s="13">
        <f t="shared" si="6"/>
        <v>0.76546078499192793</v>
      </c>
      <c r="X72" s="16">
        <v>5.0999999999999996</v>
      </c>
    </row>
    <row r="73" spans="4:24" x14ac:dyDescent="0.2">
      <c r="D73" s="5">
        <f t="shared" si="11"/>
        <v>457.5</v>
      </c>
      <c r="E73" s="5">
        <f t="shared" si="1"/>
        <v>526.1</v>
      </c>
      <c r="F73" s="5">
        <f t="shared" si="2"/>
        <v>511.1</v>
      </c>
      <c r="Q73" s="12">
        <f t="shared" si="10"/>
        <v>52893.814151399965</v>
      </c>
      <c r="R73" s="12">
        <f t="shared" si="3"/>
        <v>51387.549825599992</v>
      </c>
      <c r="S73" s="12">
        <f t="shared" si="8"/>
        <v>1506.2643257999734</v>
      </c>
      <c r="T73" s="12">
        <f t="shared" si="9"/>
        <v>13298.741906399999</v>
      </c>
      <c r="U73" s="12">
        <f t="shared" si="4"/>
        <v>0.97152286425235779</v>
      </c>
      <c r="V73" s="12">
        <f t="shared" si="5"/>
        <v>0.20558825603263289</v>
      </c>
      <c r="W73" s="13">
        <f t="shared" si="6"/>
        <v>0.76593460821972492</v>
      </c>
      <c r="X73" s="16">
        <v>5.2</v>
      </c>
    </row>
    <row r="74" spans="4:24" x14ac:dyDescent="0.2">
      <c r="D74" s="5">
        <f t="shared" si="11"/>
        <v>465</v>
      </c>
      <c r="E74" s="5">
        <f t="shared" si="1"/>
        <v>533.6</v>
      </c>
      <c r="F74" s="5">
        <f t="shared" si="2"/>
        <v>518.6</v>
      </c>
      <c r="Q74" s="12">
        <f t="shared" si="10"/>
        <v>53738.40330014997</v>
      </c>
      <c r="R74" s="12">
        <f t="shared" si="3"/>
        <v>52227.948045599995</v>
      </c>
      <c r="S74" s="12">
        <f t="shared" si="8"/>
        <v>1510.4552545499755</v>
      </c>
      <c r="T74" s="12">
        <f t="shared" si="9"/>
        <v>13508.841461399999</v>
      </c>
      <c r="U74" s="12">
        <f t="shared" si="4"/>
        <v>0.97189244261476293</v>
      </c>
      <c r="V74" s="12">
        <f t="shared" si="5"/>
        <v>0.20549895367131532</v>
      </c>
      <c r="W74" s="13">
        <f t="shared" si="6"/>
        <v>0.76639348894344761</v>
      </c>
      <c r="X74" s="16">
        <v>5.3</v>
      </c>
    </row>
    <row r="75" spans="4:24" x14ac:dyDescent="0.2">
      <c r="D75" s="5">
        <f t="shared" si="11"/>
        <v>472.5</v>
      </c>
      <c r="E75" s="5">
        <f t="shared" si="1"/>
        <v>541.1</v>
      </c>
      <c r="F75" s="5">
        <f t="shared" si="2"/>
        <v>526.1</v>
      </c>
      <c r="Q75" s="12">
        <f t="shared" si="10"/>
        <v>54582.992448899975</v>
      </c>
      <c r="R75" s="12">
        <f t="shared" si="3"/>
        <v>53068.346265599997</v>
      </c>
      <c r="S75" s="12">
        <f t="shared" si="8"/>
        <v>1514.6461832999776</v>
      </c>
      <c r="T75" s="12">
        <f t="shared" si="9"/>
        <v>13718.9410164</v>
      </c>
      <c r="U75" s="12">
        <f t="shared" si="4"/>
        <v>0.97225058364621597</v>
      </c>
      <c r="V75" s="12">
        <f t="shared" si="5"/>
        <v>0.20541246058510634</v>
      </c>
      <c r="W75" s="13">
        <f t="shared" si="6"/>
        <v>0.76683812306110966</v>
      </c>
      <c r="X75" s="16">
        <v>5.4</v>
      </c>
    </row>
    <row r="76" spans="4:24" x14ac:dyDescent="0.2">
      <c r="D76" s="5">
        <f t="shared" ref="D76:D107" si="12">75*X85</f>
        <v>480</v>
      </c>
      <c r="E76" s="5">
        <f t="shared" si="1"/>
        <v>548.6</v>
      </c>
      <c r="F76" s="5">
        <f t="shared" si="2"/>
        <v>533.6</v>
      </c>
      <c r="Q76" s="12">
        <f t="shared" si="10"/>
        <v>55427.581597649965</v>
      </c>
      <c r="R76" s="12">
        <f t="shared" si="3"/>
        <v>53908.744485599993</v>
      </c>
      <c r="S76" s="12">
        <f t="shared" si="8"/>
        <v>1518.8371120499723</v>
      </c>
      <c r="T76" s="12">
        <f t="shared" si="9"/>
        <v>13929.040571399999</v>
      </c>
      <c r="U76" s="12">
        <f t="shared" si="4"/>
        <v>0.97259781018274905</v>
      </c>
      <c r="V76" s="12">
        <f t="shared" si="5"/>
        <v>0.20532864626544439</v>
      </c>
      <c r="W76" s="13">
        <f t="shared" si="6"/>
        <v>0.7672691639173046</v>
      </c>
      <c r="X76" s="16">
        <v>5.5</v>
      </c>
    </row>
    <row r="77" spans="4:24" x14ac:dyDescent="0.2">
      <c r="D77" s="5">
        <f t="shared" si="12"/>
        <v>487.5</v>
      </c>
      <c r="E77" s="5">
        <f t="shared" ref="E77:E140" si="13">$B$12+$C$12+D77</f>
        <v>556.1</v>
      </c>
      <c r="F77" s="5">
        <f t="shared" ref="F77:F140" si="14">$C$12+D77</f>
        <v>541.1</v>
      </c>
      <c r="Q77" s="12">
        <f t="shared" si="10"/>
        <v>56272.17074639997</v>
      </c>
      <c r="R77" s="12">
        <f t="shared" si="3"/>
        <v>54749.142705599996</v>
      </c>
      <c r="S77" s="12">
        <f t="shared" si="8"/>
        <v>1523.0280407999744</v>
      </c>
      <c r="T77" s="12">
        <f t="shared" si="9"/>
        <v>14139.1401264</v>
      </c>
      <c r="U77" s="12">
        <f t="shared" si="4"/>
        <v>0.9729346136714051</v>
      </c>
      <c r="V77" s="12">
        <f t="shared" si="5"/>
        <v>0.20524738816442212</v>
      </c>
      <c r="W77" s="13">
        <f t="shared" si="6"/>
        <v>0.76768722550698298</v>
      </c>
      <c r="X77" s="16">
        <v>5.6</v>
      </c>
    </row>
    <row r="78" spans="4:24" x14ac:dyDescent="0.2">
      <c r="D78" s="5">
        <f t="shared" si="12"/>
        <v>495</v>
      </c>
      <c r="E78" s="5">
        <f t="shared" si="13"/>
        <v>563.6</v>
      </c>
      <c r="F78" s="5">
        <f t="shared" si="14"/>
        <v>548.6</v>
      </c>
      <c r="Q78" s="12">
        <f t="shared" si="10"/>
        <v>57116.759895149968</v>
      </c>
      <c r="R78" s="12">
        <f t="shared" si="3"/>
        <v>55589.540925599991</v>
      </c>
      <c r="S78" s="12">
        <f t="shared" si="8"/>
        <v>1527.2189695499765</v>
      </c>
      <c r="T78" s="12">
        <f t="shared" si="9"/>
        <v>14349.239681399999</v>
      </c>
      <c r="U78" s="12">
        <f t="shared" si="4"/>
        <v>0.97326145649099294</v>
      </c>
      <c r="V78" s="12">
        <f t="shared" si="5"/>
        <v>0.20516857109693187</v>
      </c>
      <c r="W78" s="13">
        <f t="shared" si="6"/>
        <v>0.76809288539406106</v>
      </c>
      <c r="X78" s="16">
        <v>5.7</v>
      </c>
    </row>
    <row r="79" spans="4:24" x14ac:dyDescent="0.2">
      <c r="D79" s="5">
        <f t="shared" si="12"/>
        <v>502.5</v>
      </c>
      <c r="E79" s="5">
        <f t="shared" si="13"/>
        <v>571.1</v>
      </c>
      <c r="F79" s="5">
        <f t="shared" si="14"/>
        <v>556.1</v>
      </c>
      <c r="Q79" s="12">
        <f t="shared" si="10"/>
        <v>57961.349043899965</v>
      </c>
      <c r="R79" s="12">
        <f t="shared" si="3"/>
        <v>56429.939145599994</v>
      </c>
      <c r="S79" s="12">
        <f t="shared" si="8"/>
        <v>1531.4098982999712</v>
      </c>
      <c r="T79" s="12">
        <f t="shared" si="9"/>
        <v>14559.339236399999</v>
      </c>
      <c r="U79" s="12">
        <f t="shared" si="4"/>
        <v>0.97357877406993965</v>
      </c>
      <c r="V79" s="12">
        <f t="shared" si="5"/>
        <v>0.20509208669589266</v>
      </c>
      <c r="W79" s="13">
        <f t="shared" si="6"/>
        <v>0.76848668737404702</v>
      </c>
      <c r="X79" s="16">
        <v>5.8</v>
      </c>
    </row>
    <row r="80" spans="4:24" x14ac:dyDescent="0.2">
      <c r="D80" s="5">
        <f t="shared" si="12"/>
        <v>510</v>
      </c>
      <c r="E80" s="5">
        <f t="shared" si="13"/>
        <v>578.6</v>
      </c>
      <c r="F80" s="5">
        <f t="shared" si="14"/>
        <v>563.6</v>
      </c>
      <c r="Q80" s="12">
        <f t="shared" si="10"/>
        <v>58805.93819264997</v>
      </c>
      <c r="R80" s="12">
        <f t="shared" si="3"/>
        <v>57270.337365599997</v>
      </c>
      <c r="S80" s="12">
        <f t="shared" si="8"/>
        <v>1535.6008270499733</v>
      </c>
      <c r="T80" s="12">
        <f t="shared" si="9"/>
        <v>14769.4387914</v>
      </c>
      <c r="U80" s="12">
        <f t="shared" si="4"/>
        <v>0.97388697682163827</v>
      </c>
      <c r="V80" s="12">
        <f t="shared" si="5"/>
        <v>0.20501783291514122</v>
      </c>
      <c r="W80" s="13">
        <f t="shared" si="6"/>
        <v>0.76886914390649708</v>
      </c>
      <c r="X80" s="16">
        <v>5.9</v>
      </c>
    </row>
    <row r="81" spans="4:24" x14ac:dyDescent="0.2">
      <c r="D81" s="5">
        <f t="shared" si="12"/>
        <v>517.5</v>
      </c>
      <c r="E81" s="5">
        <f t="shared" si="13"/>
        <v>586.1</v>
      </c>
      <c r="F81" s="5">
        <f t="shared" si="14"/>
        <v>571.1</v>
      </c>
      <c r="Q81" s="12">
        <f t="shared" si="10"/>
        <v>59650.527341399968</v>
      </c>
      <c r="R81" s="12">
        <f t="shared" si="3"/>
        <v>58110.735585599992</v>
      </c>
      <c r="S81" s="12">
        <f t="shared" si="8"/>
        <v>1539.7917557999754</v>
      </c>
      <c r="T81" s="12">
        <f t="shared" si="9"/>
        <v>14979.538346399999</v>
      </c>
      <c r="U81" s="12">
        <f t="shared" si="4"/>
        <v>0.97418645191538322</v>
      </c>
      <c r="V81" s="12">
        <f t="shared" si="5"/>
        <v>0.20494571357519206</v>
      </c>
      <c r="W81" s="13">
        <f t="shared" si="6"/>
        <v>0.76924073834019113</v>
      </c>
      <c r="X81" s="16">
        <v>6</v>
      </c>
    </row>
    <row r="82" spans="4:24" x14ac:dyDescent="0.2">
      <c r="D82" s="5">
        <f t="shared" si="12"/>
        <v>525</v>
      </c>
      <c r="E82" s="5">
        <f t="shared" si="13"/>
        <v>593.6</v>
      </c>
      <c r="F82" s="5">
        <f t="shared" si="14"/>
        <v>578.6</v>
      </c>
      <c r="Q82" s="12">
        <f t="shared" si="10"/>
        <v>60495.116490149965</v>
      </c>
      <c r="R82" s="12">
        <f t="shared" si="3"/>
        <v>58951.133805599995</v>
      </c>
      <c r="S82" s="12">
        <f t="shared" si="8"/>
        <v>1543.9826845499701</v>
      </c>
      <c r="T82" s="12">
        <f t="shared" si="9"/>
        <v>15189.637901399999</v>
      </c>
      <c r="U82" s="12">
        <f t="shared" si="4"/>
        <v>0.97447756489895565</v>
      </c>
      <c r="V82" s="12">
        <f t="shared" si="5"/>
        <v>0.20487563794761354</v>
      </c>
      <c r="W82" s="13">
        <f t="shared" si="6"/>
        <v>0.76960192695134211</v>
      </c>
      <c r="X82" s="16">
        <v>6.1</v>
      </c>
    </row>
    <row r="83" spans="4:24" x14ac:dyDescent="0.2">
      <c r="D83" s="5">
        <f t="shared" si="12"/>
        <v>532.5</v>
      </c>
      <c r="E83" s="5">
        <f t="shared" si="13"/>
        <v>601.1</v>
      </c>
      <c r="F83" s="5">
        <f t="shared" si="14"/>
        <v>586.1</v>
      </c>
      <c r="Q83" s="12">
        <f t="shared" si="10"/>
        <v>61339.705638899963</v>
      </c>
      <c r="R83" s="12">
        <f t="shared" si="3"/>
        <v>59791.53202559999</v>
      </c>
      <c r="S83" s="12">
        <f t="shared" si="8"/>
        <v>1548.1736132999722</v>
      </c>
      <c r="T83" s="12">
        <f t="shared" si="9"/>
        <v>15399.737456399998</v>
      </c>
      <c r="U83" s="12">
        <f t="shared" si="4"/>
        <v>0.97476066118716154</v>
      </c>
      <c r="V83" s="12">
        <f t="shared" si="5"/>
        <v>0.20480752037424418</v>
      </c>
      <c r="W83" s="13">
        <f t="shared" si="6"/>
        <v>0.76995314081291732</v>
      </c>
      <c r="X83" s="16">
        <v>6.2</v>
      </c>
    </row>
    <row r="84" spans="4:24" x14ac:dyDescent="0.2">
      <c r="D84" s="5">
        <f t="shared" si="12"/>
        <v>540</v>
      </c>
      <c r="E84" s="5">
        <f t="shared" si="13"/>
        <v>608.6</v>
      </c>
      <c r="F84" s="5">
        <f t="shared" si="14"/>
        <v>593.6</v>
      </c>
      <c r="Q84" s="12">
        <f t="shared" si="10"/>
        <v>62184.294787649967</v>
      </c>
      <c r="R84" s="12">
        <f t="shared" si="3"/>
        <v>60631.930245599993</v>
      </c>
      <c r="S84" s="12">
        <f t="shared" si="8"/>
        <v>1552.3645420499743</v>
      </c>
      <c r="T84" s="12">
        <f t="shared" si="9"/>
        <v>15609.837011399999</v>
      </c>
      <c r="U84" s="12">
        <f t="shared" si="4"/>
        <v>0.97503606742906601</v>
      </c>
      <c r="V84" s="12">
        <f t="shared" si="5"/>
        <v>0.20474127991788924</v>
      </c>
      <c r="W84" s="13">
        <f t="shared" si="6"/>
        <v>0.77029478751117675</v>
      </c>
      <c r="X84" s="16">
        <v>6.3</v>
      </c>
    </row>
    <row r="85" spans="4:24" x14ac:dyDescent="0.2">
      <c r="D85" s="5">
        <f t="shared" si="12"/>
        <v>547.5</v>
      </c>
      <c r="E85" s="5">
        <f t="shared" si="13"/>
        <v>616.1</v>
      </c>
      <c r="F85" s="5">
        <f t="shared" si="14"/>
        <v>601.1</v>
      </c>
      <c r="Q85" s="12">
        <f t="shared" si="10"/>
        <v>63028.883936399965</v>
      </c>
      <c r="R85" s="12">
        <f t="shared" si="3"/>
        <v>61472.328465599996</v>
      </c>
      <c r="S85" s="12">
        <f t="shared" si="8"/>
        <v>1556.555470799969</v>
      </c>
      <c r="T85" s="12">
        <f t="shared" si="9"/>
        <v>15819.9365664</v>
      </c>
      <c r="U85" s="12">
        <f t="shared" si="4"/>
        <v>0.97530409276530061</v>
      </c>
      <c r="V85" s="12">
        <f t="shared" si="5"/>
        <v>0.20467684004150147</v>
      </c>
      <c r="W85" s="13">
        <f t="shared" si="6"/>
        <v>0.77062725272379917</v>
      </c>
      <c r="X85" s="16">
        <v>6.4</v>
      </c>
    </row>
    <row r="86" spans="4:24" x14ac:dyDescent="0.2">
      <c r="D86" s="5">
        <f t="shared" si="12"/>
        <v>555</v>
      </c>
      <c r="E86" s="5">
        <f t="shared" si="13"/>
        <v>623.6</v>
      </c>
      <c r="F86" s="5">
        <f t="shared" si="14"/>
        <v>608.6</v>
      </c>
      <c r="Q86" s="12">
        <f t="shared" si="10"/>
        <v>63873.473085149963</v>
      </c>
      <c r="R86" s="12">
        <f t="shared" ref="R86:R149" si="15">($J$21*E77)</f>
        <v>62312.726685599991</v>
      </c>
      <c r="S86" s="12">
        <f t="shared" si="8"/>
        <v>1560.7463995499711</v>
      </c>
      <c r="T86" s="12">
        <f t="shared" si="9"/>
        <v>16030.036121399999</v>
      </c>
      <c r="U86" s="12">
        <f t="shared" ref="U86:U149" si="16">R86/Q86</f>
        <v>0.97556502998561967</v>
      </c>
      <c r="V86" s="12">
        <f t="shared" ref="V86:V149" si="17">T86/(T86+R86)</f>
        <v>0.20461412831317333</v>
      </c>
      <c r="W86" s="13">
        <f t="shared" ref="W86:W149" si="18">U86-V86</f>
        <v>0.77095090167244629</v>
      </c>
      <c r="X86" s="16">
        <v>6.5</v>
      </c>
    </row>
    <row r="87" spans="4:24" x14ac:dyDescent="0.2">
      <c r="D87" s="5">
        <f t="shared" si="12"/>
        <v>562.5</v>
      </c>
      <c r="E87" s="5">
        <f t="shared" si="13"/>
        <v>631.1</v>
      </c>
      <c r="F87" s="5">
        <f t="shared" si="14"/>
        <v>616.1</v>
      </c>
      <c r="Q87" s="12">
        <f t="shared" si="10"/>
        <v>64718.062233899967</v>
      </c>
      <c r="R87" s="12">
        <f t="shared" si="15"/>
        <v>63153.124905599994</v>
      </c>
      <c r="S87" s="12">
        <f t="shared" ref="S87:S150" si="19">Q87-R87</f>
        <v>1564.9373282999732</v>
      </c>
      <c r="T87" s="12">
        <f t="shared" ref="T87:T150" si="20">($M$21*$B$12)+($N$21*E78)</f>
        <v>16240.135676399999</v>
      </c>
      <c r="U87" s="12">
        <f t="shared" si="16"/>
        <v>0.97581915659581908</v>
      </c>
      <c r="V87" s="12">
        <f t="shared" si="17"/>
        <v>0.20455307613454984</v>
      </c>
      <c r="W87" s="13">
        <f t="shared" si="18"/>
        <v>0.77126608046126921</v>
      </c>
      <c r="X87" s="16">
        <v>6.6</v>
      </c>
    </row>
    <row r="88" spans="4:24" x14ac:dyDescent="0.2">
      <c r="D88" s="5">
        <f t="shared" si="12"/>
        <v>570</v>
      </c>
      <c r="E88" s="5">
        <f t="shared" si="13"/>
        <v>638.6</v>
      </c>
      <c r="F88" s="5">
        <f t="shared" si="14"/>
        <v>623.6</v>
      </c>
      <c r="Q88" s="12">
        <f t="shared" si="10"/>
        <v>65562.651382649958</v>
      </c>
      <c r="R88" s="12">
        <f t="shared" si="15"/>
        <v>63993.52312559999</v>
      </c>
      <c r="S88" s="12">
        <f t="shared" si="19"/>
        <v>1569.1282570499679</v>
      </c>
      <c r="T88" s="12">
        <f t="shared" si="20"/>
        <v>16450.235231399998</v>
      </c>
      <c r="U88" s="12">
        <f t="shared" si="16"/>
        <v>0.97606673580218861</v>
      </c>
      <c r="V88" s="12">
        <f t="shared" si="17"/>
        <v>0.20449361849052078</v>
      </c>
      <c r="W88" s="13">
        <f t="shared" si="18"/>
        <v>0.77157311731166778</v>
      </c>
      <c r="X88" s="16">
        <v>6.7</v>
      </c>
    </row>
    <row r="89" spans="4:24" x14ac:dyDescent="0.2">
      <c r="D89" s="5">
        <f t="shared" si="12"/>
        <v>577.5</v>
      </c>
      <c r="E89" s="5">
        <f t="shared" si="13"/>
        <v>646.1</v>
      </c>
      <c r="F89" s="5">
        <f t="shared" si="14"/>
        <v>631.1</v>
      </c>
      <c r="Q89" s="12">
        <f t="shared" si="10"/>
        <v>66407.240531399962</v>
      </c>
      <c r="R89" s="12">
        <f t="shared" si="15"/>
        <v>64833.921345599992</v>
      </c>
      <c r="S89" s="12">
        <f t="shared" si="19"/>
        <v>1573.31918579997</v>
      </c>
      <c r="T89" s="12">
        <f t="shared" si="20"/>
        <v>16660.334786399999</v>
      </c>
      <c r="U89" s="12">
        <f t="shared" si="16"/>
        <v>0.97630801742084072</v>
      </c>
      <c r="V89" s="12">
        <f t="shared" si="17"/>
        <v>0.20443569371827247</v>
      </c>
      <c r="W89" s="13">
        <f t="shared" si="18"/>
        <v>0.7718723237025682</v>
      </c>
      <c r="X89" s="16">
        <v>6.8</v>
      </c>
    </row>
    <row r="90" spans="4:24" x14ac:dyDescent="0.2">
      <c r="D90" s="5">
        <f t="shared" si="12"/>
        <v>585</v>
      </c>
      <c r="E90" s="5">
        <f t="shared" si="13"/>
        <v>653.6</v>
      </c>
      <c r="F90" s="5">
        <f t="shared" si="14"/>
        <v>638.6</v>
      </c>
      <c r="Q90" s="12">
        <f t="shared" si="10"/>
        <v>67251.829680149953</v>
      </c>
      <c r="R90" s="12">
        <f t="shared" si="15"/>
        <v>65674.319565599988</v>
      </c>
      <c r="S90" s="12">
        <f t="shared" si="19"/>
        <v>1577.5101145499648</v>
      </c>
      <c r="T90" s="12">
        <f t="shared" si="20"/>
        <v>16870.434341399996</v>
      </c>
      <c r="U90" s="12">
        <f t="shared" si="16"/>
        <v>0.976543238718521</v>
      </c>
      <c r="V90" s="12">
        <f t="shared" si="17"/>
        <v>0.20437924329397444</v>
      </c>
      <c r="W90" s="13">
        <f t="shared" si="18"/>
        <v>0.7721639954245465</v>
      </c>
      <c r="X90" s="16">
        <v>6.9</v>
      </c>
    </row>
    <row r="91" spans="4:24" x14ac:dyDescent="0.2">
      <c r="D91" s="5">
        <f t="shared" si="12"/>
        <v>592.5</v>
      </c>
      <c r="E91" s="5">
        <f t="shared" si="13"/>
        <v>661.1</v>
      </c>
      <c r="F91" s="5">
        <f t="shared" si="14"/>
        <v>646.1</v>
      </c>
      <c r="Q91" s="12">
        <f t="shared" si="10"/>
        <v>68096.418828899958</v>
      </c>
      <c r="R91" s="12">
        <f t="shared" si="15"/>
        <v>66514.717785599991</v>
      </c>
      <c r="S91" s="12">
        <f t="shared" si="19"/>
        <v>1581.7010432999668</v>
      </c>
      <c r="T91" s="12">
        <f t="shared" si="20"/>
        <v>17080.533896399997</v>
      </c>
      <c r="U91" s="12">
        <f t="shared" si="16"/>
        <v>0.9767726251908464</v>
      </c>
      <c r="V91" s="12">
        <f t="shared" si="17"/>
        <v>0.20432421163554956</v>
      </c>
      <c r="W91" s="13">
        <f t="shared" si="18"/>
        <v>0.77244841355529681</v>
      </c>
      <c r="X91" s="16">
        <v>7</v>
      </c>
    </row>
    <row r="92" spans="4:24" x14ac:dyDescent="0.2">
      <c r="D92" s="5">
        <f t="shared" si="12"/>
        <v>600</v>
      </c>
      <c r="E92" s="5">
        <f t="shared" si="13"/>
        <v>668.6</v>
      </c>
      <c r="F92" s="5">
        <f t="shared" si="14"/>
        <v>653.6</v>
      </c>
      <c r="Q92" s="12">
        <f t="shared" si="10"/>
        <v>68941.007977649962</v>
      </c>
      <c r="R92" s="12">
        <f t="shared" si="15"/>
        <v>67355.116005599994</v>
      </c>
      <c r="S92" s="12">
        <f t="shared" si="19"/>
        <v>1585.8919720499689</v>
      </c>
      <c r="T92" s="12">
        <f t="shared" si="20"/>
        <v>17290.633451399997</v>
      </c>
      <c r="U92" s="12">
        <f t="shared" si="16"/>
        <v>0.97699639128334037</v>
      </c>
      <c r="V92" s="12">
        <f t="shared" si="17"/>
        <v>0.20427054592013072</v>
      </c>
      <c r="W92" s="13">
        <f t="shared" si="18"/>
        <v>0.77272584536320965</v>
      </c>
      <c r="X92" s="16">
        <v>7.1</v>
      </c>
    </row>
    <row r="93" spans="4:24" x14ac:dyDescent="0.2">
      <c r="D93" s="5">
        <f t="shared" si="12"/>
        <v>607.5</v>
      </c>
      <c r="E93" s="5">
        <f t="shared" si="13"/>
        <v>676.1</v>
      </c>
      <c r="F93" s="5">
        <f t="shared" si="14"/>
        <v>661.1</v>
      </c>
      <c r="Q93" s="12">
        <f t="shared" si="10"/>
        <v>69785.597126399967</v>
      </c>
      <c r="R93" s="12">
        <f t="shared" si="15"/>
        <v>68195.514225599996</v>
      </c>
      <c r="S93" s="12">
        <f t="shared" si="19"/>
        <v>1590.082900799971</v>
      </c>
      <c r="T93" s="12">
        <f t="shared" si="20"/>
        <v>17500.733006399998</v>
      </c>
      <c r="U93" s="12">
        <f t="shared" si="16"/>
        <v>0.97721474106010853</v>
      </c>
      <c r="V93" s="12">
        <f t="shared" si="17"/>
        <v>0.20421819591494336</v>
      </c>
      <c r="W93" s="13">
        <f t="shared" si="18"/>
        <v>0.77299654514516514</v>
      </c>
      <c r="X93" s="16">
        <v>7.2</v>
      </c>
    </row>
    <row r="94" spans="4:24" x14ac:dyDescent="0.2">
      <c r="D94" s="5">
        <f t="shared" si="12"/>
        <v>615</v>
      </c>
      <c r="E94" s="5">
        <f t="shared" si="13"/>
        <v>683.6</v>
      </c>
      <c r="F94" s="5">
        <f t="shared" si="14"/>
        <v>668.6</v>
      </c>
      <c r="Q94" s="12">
        <f t="shared" si="10"/>
        <v>70630.186275149958</v>
      </c>
      <c r="R94" s="12">
        <f t="shared" si="15"/>
        <v>69035.912445599984</v>
      </c>
      <c r="S94" s="12">
        <f t="shared" si="19"/>
        <v>1594.273829549973</v>
      </c>
      <c r="T94" s="12">
        <f t="shared" si="20"/>
        <v>17710.832561399995</v>
      </c>
      <c r="U94" s="12">
        <f t="shared" si="16"/>
        <v>0.97742786882453836</v>
      </c>
      <c r="V94" s="12">
        <f t="shared" si="17"/>
        <v>0.20416711382047625</v>
      </c>
      <c r="W94" s="13">
        <f t="shared" si="18"/>
        <v>0.77326075500406211</v>
      </c>
      <c r="X94" s="16">
        <v>7.3</v>
      </c>
    </row>
    <row r="95" spans="4:24" x14ac:dyDescent="0.2">
      <c r="D95" s="5">
        <f t="shared" si="12"/>
        <v>622.5</v>
      </c>
      <c r="E95" s="5">
        <f t="shared" si="13"/>
        <v>691.1</v>
      </c>
      <c r="F95" s="5">
        <f t="shared" si="14"/>
        <v>676.1</v>
      </c>
      <c r="Q95" s="12">
        <f t="shared" si="10"/>
        <v>71474.775423899948</v>
      </c>
      <c r="R95" s="12">
        <f t="shared" si="15"/>
        <v>69876.310665599987</v>
      </c>
      <c r="S95" s="12">
        <f t="shared" si="19"/>
        <v>1598.4647582999605</v>
      </c>
      <c r="T95" s="12">
        <f t="shared" si="20"/>
        <v>17920.932116399996</v>
      </c>
      <c r="U95" s="12">
        <f t="shared" si="16"/>
        <v>0.97763595969599282</v>
      </c>
      <c r="V95" s="12">
        <f t="shared" si="17"/>
        <v>0.20411725412491097</v>
      </c>
      <c r="W95" s="13">
        <f t="shared" si="18"/>
        <v>0.77351870557108182</v>
      </c>
      <c r="X95" s="16">
        <v>7.4</v>
      </c>
    </row>
    <row r="96" spans="4:24" x14ac:dyDescent="0.2">
      <c r="D96" s="5">
        <f t="shared" si="12"/>
        <v>630</v>
      </c>
      <c r="E96" s="5">
        <f t="shared" si="13"/>
        <v>698.6</v>
      </c>
      <c r="F96" s="5">
        <f t="shared" si="14"/>
        <v>683.6</v>
      </c>
      <c r="Q96" s="12">
        <f t="shared" si="10"/>
        <v>72319.364572649953</v>
      </c>
      <c r="R96" s="12">
        <f t="shared" si="15"/>
        <v>70716.70888559999</v>
      </c>
      <c r="S96" s="12">
        <f t="shared" si="19"/>
        <v>1602.6556870499626</v>
      </c>
      <c r="T96" s="12">
        <f t="shared" si="20"/>
        <v>18131.031671399996</v>
      </c>
      <c r="U96" s="12">
        <f t="shared" si="16"/>
        <v>0.97783919014609177</v>
      </c>
      <c r="V96" s="12">
        <f t="shared" si="17"/>
        <v>0.20406857346887838</v>
      </c>
      <c r="W96" s="13">
        <f t="shared" si="18"/>
        <v>0.77377061667721336</v>
      </c>
      <c r="X96" s="16">
        <v>7.5</v>
      </c>
    </row>
    <row r="97" spans="4:24" x14ac:dyDescent="0.2">
      <c r="D97" s="5">
        <f t="shared" si="12"/>
        <v>637.5</v>
      </c>
      <c r="E97" s="5">
        <f t="shared" si="13"/>
        <v>706.1</v>
      </c>
      <c r="F97" s="5">
        <f t="shared" si="14"/>
        <v>691.1</v>
      </c>
      <c r="Q97" s="12">
        <f t="shared" si="10"/>
        <v>73163.953721399957</v>
      </c>
      <c r="R97" s="12">
        <f t="shared" si="15"/>
        <v>71557.107105599993</v>
      </c>
      <c r="S97" s="12">
        <f t="shared" si="19"/>
        <v>1606.8466157999646</v>
      </c>
      <c r="T97" s="12">
        <f t="shared" si="20"/>
        <v>18341.131226399997</v>
      </c>
      <c r="U97" s="12">
        <f t="shared" si="16"/>
        <v>0.9780377284978522</v>
      </c>
      <c r="V97" s="12">
        <f t="shared" si="17"/>
        <v>0.20402103051969736</v>
      </c>
      <c r="W97" s="13">
        <f t="shared" si="18"/>
        <v>0.77401669797815487</v>
      </c>
      <c r="X97" s="16">
        <v>7.6</v>
      </c>
    </row>
    <row r="98" spans="4:24" x14ac:dyDescent="0.2">
      <c r="D98" s="5">
        <f t="shared" si="12"/>
        <v>645</v>
      </c>
      <c r="E98" s="5">
        <f t="shared" si="13"/>
        <v>713.6</v>
      </c>
      <c r="F98" s="5">
        <f t="shared" si="14"/>
        <v>698.6</v>
      </c>
      <c r="Q98" s="12">
        <f t="shared" si="10"/>
        <v>74008.542870149962</v>
      </c>
      <c r="R98" s="12">
        <f t="shared" si="15"/>
        <v>72397.505325599996</v>
      </c>
      <c r="S98" s="12">
        <f t="shared" si="19"/>
        <v>1611.0375445499667</v>
      </c>
      <c r="T98" s="12">
        <f t="shared" si="20"/>
        <v>18551.230781399998</v>
      </c>
      <c r="U98" s="12">
        <f t="shared" si="16"/>
        <v>0.97823173539064834</v>
      </c>
      <c r="V98" s="12">
        <f t="shared" si="17"/>
        <v>0.20397458585432918</v>
      </c>
      <c r="W98" s="13">
        <f t="shared" si="18"/>
        <v>0.77425714953631919</v>
      </c>
      <c r="X98" s="16">
        <v>7.7</v>
      </c>
    </row>
    <row r="99" spans="4:24" x14ac:dyDescent="0.2">
      <c r="D99" s="5">
        <f t="shared" si="12"/>
        <v>652.5</v>
      </c>
      <c r="E99" s="5">
        <f t="shared" si="13"/>
        <v>721.1</v>
      </c>
      <c r="F99" s="5">
        <f t="shared" si="14"/>
        <v>706.1</v>
      </c>
      <c r="Q99" s="12">
        <f t="shared" si="10"/>
        <v>74853.132018899953</v>
      </c>
      <c r="R99" s="12">
        <f t="shared" si="15"/>
        <v>73237.903545599984</v>
      </c>
      <c r="S99" s="12">
        <f t="shared" si="19"/>
        <v>1615.2284732999688</v>
      </c>
      <c r="T99" s="12">
        <f t="shared" si="20"/>
        <v>18761.330336399995</v>
      </c>
      <c r="U99" s="12">
        <f t="shared" si="16"/>
        <v>0.97842136421369608</v>
      </c>
      <c r="V99" s="12">
        <f t="shared" si="17"/>
        <v>0.20392920185035068</v>
      </c>
      <c r="W99" s="13">
        <f t="shared" si="18"/>
        <v>0.77449216236334539</v>
      </c>
      <c r="X99" s="16">
        <v>7.8</v>
      </c>
    </row>
    <row r="100" spans="4:24" x14ac:dyDescent="0.2">
      <c r="D100" s="5">
        <f t="shared" si="12"/>
        <v>660</v>
      </c>
      <c r="E100" s="5">
        <f t="shared" si="13"/>
        <v>728.6</v>
      </c>
      <c r="F100" s="5">
        <f t="shared" si="14"/>
        <v>713.6</v>
      </c>
      <c r="Q100" s="12">
        <f t="shared" si="10"/>
        <v>75697.721167649957</v>
      </c>
      <c r="R100" s="12">
        <f t="shared" si="15"/>
        <v>74078.301765599987</v>
      </c>
      <c r="S100" s="12">
        <f t="shared" si="19"/>
        <v>1619.4194020499708</v>
      </c>
      <c r="T100" s="12">
        <f t="shared" si="20"/>
        <v>18971.429891399996</v>
      </c>
      <c r="U100" s="12">
        <f t="shared" si="16"/>
        <v>0.9786067615105164</v>
      </c>
      <c r="V100" s="12">
        <f t="shared" si="17"/>
        <v>0.20388484258431289</v>
      </c>
      <c r="W100" s="13">
        <f t="shared" si="18"/>
        <v>0.77472191892620357</v>
      </c>
      <c r="X100" s="16">
        <v>7.9</v>
      </c>
    </row>
    <row r="101" spans="4:24" x14ac:dyDescent="0.2">
      <c r="D101" s="5">
        <f t="shared" si="12"/>
        <v>667.5</v>
      </c>
      <c r="E101" s="5">
        <f t="shared" si="13"/>
        <v>736.1</v>
      </c>
      <c r="F101" s="5">
        <f t="shared" si="14"/>
        <v>721.1</v>
      </c>
      <c r="Q101" s="12">
        <f t="shared" si="10"/>
        <v>76542.310316399948</v>
      </c>
      <c r="R101" s="12">
        <f t="shared" si="15"/>
        <v>74918.699985599989</v>
      </c>
      <c r="S101" s="12">
        <f t="shared" si="19"/>
        <v>1623.6103307999583</v>
      </c>
      <c r="T101" s="12">
        <f t="shared" si="20"/>
        <v>19181.529446399996</v>
      </c>
      <c r="U101" s="12">
        <f t="shared" si="16"/>
        <v>0.97878806735662272</v>
      </c>
      <c r="V101" s="12">
        <f t="shared" si="17"/>
        <v>0.2038414737369075</v>
      </c>
      <c r="W101" s="13">
        <f t="shared" si="18"/>
        <v>0.77494659361971518</v>
      </c>
      <c r="X101" s="16">
        <v>8</v>
      </c>
    </row>
    <row r="102" spans="4:24" x14ac:dyDescent="0.2">
      <c r="D102" s="5">
        <f t="shared" si="12"/>
        <v>675</v>
      </c>
      <c r="E102" s="5">
        <f t="shared" si="13"/>
        <v>743.6</v>
      </c>
      <c r="F102" s="5">
        <f t="shared" si="14"/>
        <v>728.6</v>
      </c>
      <c r="Q102" s="12">
        <f t="shared" si="10"/>
        <v>77386.899465149952</v>
      </c>
      <c r="R102" s="12">
        <f t="shared" si="15"/>
        <v>75759.098205599992</v>
      </c>
      <c r="S102" s="12">
        <f t="shared" si="19"/>
        <v>1627.8012595499604</v>
      </c>
      <c r="T102" s="12">
        <f t="shared" si="20"/>
        <v>19391.629001399997</v>
      </c>
      <c r="U102" s="12">
        <f t="shared" si="16"/>
        <v>0.97896541571247453</v>
      </c>
      <c r="V102" s="12">
        <f t="shared" si="17"/>
        <v>0.20379906250441568</v>
      </c>
      <c r="W102" s="13">
        <f t="shared" si="18"/>
        <v>0.77516635320805882</v>
      </c>
      <c r="X102" s="16">
        <v>8.1</v>
      </c>
    </row>
    <row r="103" spans="4:24" x14ac:dyDescent="0.2">
      <c r="D103" s="5">
        <f t="shared" si="12"/>
        <v>682.5</v>
      </c>
      <c r="E103" s="5">
        <f t="shared" si="13"/>
        <v>751.1</v>
      </c>
      <c r="F103" s="5">
        <f t="shared" si="14"/>
        <v>736.1</v>
      </c>
      <c r="Q103" s="12">
        <f t="shared" si="10"/>
        <v>78231.488613899957</v>
      </c>
      <c r="R103" s="12">
        <f t="shared" si="15"/>
        <v>76599.496425599995</v>
      </c>
      <c r="S103" s="12">
        <f t="shared" si="19"/>
        <v>1631.9921882999624</v>
      </c>
      <c r="T103" s="12">
        <f t="shared" si="20"/>
        <v>19601.728556399998</v>
      </c>
      <c r="U103" s="12">
        <f t="shared" si="16"/>
        <v>0.97913893475356939</v>
      </c>
      <c r="V103" s="12">
        <f t="shared" si="17"/>
        <v>0.20375757751595822</v>
      </c>
      <c r="W103" s="13">
        <f t="shared" si="18"/>
        <v>0.77538135723761115</v>
      </c>
      <c r="X103" s="16">
        <v>8.1999999999999993</v>
      </c>
    </row>
    <row r="104" spans="4:24" x14ac:dyDescent="0.2">
      <c r="D104" s="5">
        <f t="shared" si="12"/>
        <v>690</v>
      </c>
      <c r="E104" s="5">
        <f t="shared" si="13"/>
        <v>758.6</v>
      </c>
      <c r="F104" s="5">
        <f t="shared" si="14"/>
        <v>743.6</v>
      </c>
      <c r="Q104" s="12">
        <f t="shared" si="10"/>
        <v>79076.077762649948</v>
      </c>
      <c r="R104" s="12">
        <f t="shared" si="15"/>
        <v>77439.894645599983</v>
      </c>
      <c r="S104" s="12">
        <f t="shared" si="19"/>
        <v>1636.1831170499645</v>
      </c>
      <c r="T104" s="12">
        <f t="shared" si="20"/>
        <v>19811.828111399995</v>
      </c>
      <c r="U104" s="12">
        <f t="shared" si="16"/>
        <v>0.97930874717938043</v>
      </c>
      <c r="V104" s="12">
        <f t="shared" si="17"/>
        <v>0.203716988756109</v>
      </c>
      <c r="W104" s="13">
        <f t="shared" si="18"/>
        <v>0.77559175842327144</v>
      </c>
      <c r="X104" s="16">
        <v>8.3000000000000007</v>
      </c>
    </row>
    <row r="105" spans="4:24" x14ac:dyDescent="0.2">
      <c r="D105" s="5">
        <f t="shared" si="12"/>
        <v>697.5</v>
      </c>
      <c r="E105" s="5">
        <f t="shared" si="13"/>
        <v>766.1</v>
      </c>
      <c r="F105" s="5">
        <f t="shared" si="14"/>
        <v>751.1</v>
      </c>
      <c r="Q105" s="12">
        <f t="shared" ref="Q105:Q168" si="21">($J$21*E96)+($L$21*E96)+($N$21*$B$12)+($P$21*$B$12)</f>
        <v>79920.666911399952</v>
      </c>
      <c r="R105" s="12">
        <f t="shared" si="15"/>
        <v>78280.292865599986</v>
      </c>
      <c r="S105" s="12">
        <f t="shared" si="19"/>
        <v>1640.3740457999666</v>
      </c>
      <c r="T105" s="12">
        <f t="shared" si="20"/>
        <v>20021.927666399995</v>
      </c>
      <c r="U105" s="12">
        <f t="shared" si="16"/>
        <v>0.97947497050270504</v>
      </c>
      <c r="V105" s="12">
        <f t="shared" si="17"/>
        <v>0.20367726749247062</v>
      </c>
      <c r="W105" s="13">
        <f t="shared" si="18"/>
        <v>0.77579770301023443</v>
      </c>
      <c r="X105" s="16">
        <v>8.4</v>
      </c>
    </row>
    <row r="106" spans="4:24" x14ac:dyDescent="0.2">
      <c r="D106" s="5">
        <f t="shared" si="12"/>
        <v>705</v>
      </c>
      <c r="E106" s="5">
        <f t="shared" si="13"/>
        <v>773.6</v>
      </c>
      <c r="F106" s="5">
        <f t="shared" si="14"/>
        <v>758.6</v>
      </c>
      <c r="Q106" s="12">
        <f t="shared" si="21"/>
        <v>80765.256060149957</v>
      </c>
      <c r="R106" s="12">
        <f t="shared" si="15"/>
        <v>79120.691085599989</v>
      </c>
      <c r="S106" s="12">
        <f t="shared" si="19"/>
        <v>1644.5649745499686</v>
      </c>
      <c r="T106" s="12">
        <f t="shared" si="20"/>
        <v>20232.027221399996</v>
      </c>
      <c r="U106" s="12">
        <f t="shared" si="16"/>
        <v>0.97963771732085914</v>
      </c>
      <c r="V106" s="12">
        <f t="shared" si="17"/>
        <v>0.203638386207844</v>
      </c>
      <c r="W106" s="13">
        <f t="shared" si="18"/>
        <v>0.77599933111301511</v>
      </c>
      <c r="X106" s="16">
        <v>8.5</v>
      </c>
    </row>
    <row r="107" spans="4:24" x14ac:dyDescent="0.2">
      <c r="D107" s="5">
        <f t="shared" si="12"/>
        <v>712.5</v>
      </c>
      <c r="E107" s="5">
        <f t="shared" si="13"/>
        <v>781.1</v>
      </c>
      <c r="F107" s="5">
        <f t="shared" si="14"/>
        <v>766.1</v>
      </c>
      <c r="Q107" s="12">
        <f t="shared" si="21"/>
        <v>81609.845208899947</v>
      </c>
      <c r="R107" s="12">
        <f t="shared" si="15"/>
        <v>79961.089305599991</v>
      </c>
      <c r="S107" s="12">
        <f t="shared" si="19"/>
        <v>1648.7559032999561</v>
      </c>
      <c r="T107" s="12">
        <f t="shared" si="20"/>
        <v>20442.126776399997</v>
      </c>
      <c r="U107" s="12">
        <f t="shared" si="16"/>
        <v>0.97979709557003114</v>
      </c>
      <c r="V107" s="12">
        <f t="shared" si="17"/>
        <v>0.20360031853665697</v>
      </c>
      <c r="W107" s="13">
        <f t="shared" si="18"/>
        <v>0.7761967770333742</v>
      </c>
      <c r="X107" s="16">
        <v>8.6</v>
      </c>
    </row>
    <row r="108" spans="4:24" x14ac:dyDescent="0.2">
      <c r="D108" s="5">
        <f t="shared" ref="D108:D139" si="22">75*X117</f>
        <v>720</v>
      </c>
      <c r="E108" s="5">
        <f t="shared" si="13"/>
        <v>788.6</v>
      </c>
      <c r="F108" s="5">
        <f t="shared" si="14"/>
        <v>773.6</v>
      </c>
      <c r="Q108" s="12">
        <f t="shared" si="21"/>
        <v>82454.434357649952</v>
      </c>
      <c r="R108" s="12">
        <f t="shared" si="15"/>
        <v>80801.487525599994</v>
      </c>
      <c r="S108" s="12">
        <f t="shared" si="19"/>
        <v>1652.9468320499582</v>
      </c>
      <c r="T108" s="12">
        <f t="shared" si="20"/>
        <v>20652.226331399997</v>
      </c>
      <c r="U108" s="12">
        <f t="shared" si="16"/>
        <v>0.97995320876400382</v>
      </c>
      <c r="V108" s="12">
        <f t="shared" si="17"/>
        <v>0.20356303920534158</v>
      </c>
      <c r="W108" s="13">
        <f t="shared" si="18"/>
        <v>0.77639016955866225</v>
      </c>
      <c r="X108" s="16">
        <v>8.6999999999999993</v>
      </c>
    </row>
    <row r="109" spans="4:24" x14ac:dyDescent="0.2">
      <c r="D109" s="5">
        <f t="shared" si="22"/>
        <v>727.5</v>
      </c>
      <c r="E109" s="5">
        <f t="shared" si="13"/>
        <v>796.1</v>
      </c>
      <c r="F109" s="5">
        <f t="shared" si="14"/>
        <v>781.1</v>
      </c>
      <c r="Q109" s="12">
        <f t="shared" si="21"/>
        <v>83299.023506399957</v>
      </c>
      <c r="R109" s="12">
        <f t="shared" si="15"/>
        <v>81641.885745599997</v>
      </c>
      <c r="S109" s="12">
        <f t="shared" si="19"/>
        <v>1657.1377607999602</v>
      </c>
      <c r="T109" s="12">
        <f t="shared" si="20"/>
        <v>20862.325886399998</v>
      </c>
      <c r="U109" s="12">
        <f t="shared" si="16"/>
        <v>0.98010615621835417</v>
      </c>
      <c r="V109" s="12">
        <f t="shared" si="17"/>
        <v>0.20352652397637827</v>
      </c>
      <c r="W109" s="13">
        <f t="shared" si="18"/>
        <v>0.7765796322419759</v>
      </c>
      <c r="X109" s="16">
        <v>8.8000000000000007</v>
      </c>
    </row>
    <row r="110" spans="4:24" x14ac:dyDescent="0.2">
      <c r="D110" s="5">
        <f t="shared" si="22"/>
        <v>735</v>
      </c>
      <c r="E110" s="5">
        <f t="shared" si="13"/>
        <v>803.6</v>
      </c>
      <c r="F110" s="5">
        <f t="shared" si="14"/>
        <v>788.6</v>
      </c>
      <c r="Q110" s="12">
        <f t="shared" si="21"/>
        <v>84143.612655149947</v>
      </c>
      <c r="R110" s="12">
        <f t="shared" si="15"/>
        <v>82482.283965599985</v>
      </c>
      <c r="S110" s="12">
        <f t="shared" si="19"/>
        <v>1661.3286895499623</v>
      </c>
      <c r="T110" s="12">
        <f t="shared" si="20"/>
        <v>21072.425441399995</v>
      </c>
      <c r="U110" s="12">
        <f t="shared" si="16"/>
        <v>0.98025603326114996</v>
      </c>
      <c r="V110" s="12">
        <f t="shared" si="17"/>
        <v>0.2034907495957452</v>
      </c>
      <c r="W110" s="13">
        <f t="shared" si="18"/>
        <v>0.77676528366540476</v>
      </c>
      <c r="X110" s="16">
        <v>8.9</v>
      </c>
    </row>
    <row r="111" spans="4:24" x14ac:dyDescent="0.2">
      <c r="D111" s="5">
        <f t="shared" si="22"/>
        <v>742.5</v>
      </c>
      <c r="E111" s="5">
        <f t="shared" si="13"/>
        <v>811.1</v>
      </c>
      <c r="F111" s="5">
        <f t="shared" si="14"/>
        <v>796.1</v>
      </c>
      <c r="Q111" s="12">
        <f t="shared" si="21"/>
        <v>84988.201803899952</v>
      </c>
      <c r="R111" s="12">
        <f t="shared" si="15"/>
        <v>83322.682185599988</v>
      </c>
      <c r="S111" s="12">
        <f t="shared" si="19"/>
        <v>1665.5196182999643</v>
      </c>
      <c r="T111" s="12">
        <f t="shared" si="20"/>
        <v>21282.524996399996</v>
      </c>
      <c r="U111" s="12">
        <f t="shared" si="16"/>
        <v>0.98040293143108326</v>
      </c>
      <c r="V111" s="12">
        <f t="shared" si="17"/>
        <v>0.20345569374353481</v>
      </c>
      <c r="W111" s="13">
        <f t="shared" si="18"/>
        <v>0.77694723768754848</v>
      </c>
      <c r="X111" s="16">
        <v>9</v>
      </c>
    </row>
    <row r="112" spans="4:24" x14ac:dyDescent="0.2">
      <c r="D112" s="5">
        <f t="shared" si="22"/>
        <v>750</v>
      </c>
      <c r="E112" s="5">
        <f t="shared" si="13"/>
        <v>818.6</v>
      </c>
      <c r="F112" s="5">
        <f t="shared" si="14"/>
        <v>803.6</v>
      </c>
      <c r="Q112" s="12">
        <f t="shared" si="21"/>
        <v>85832.790952649957</v>
      </c>
      <c r="R112" s="12">
        <f t="shared" si="15"/>
        <v>84163.080405599991</v>
      </c>
      <c r="S112" s="12">
        <f t="shared" si="19"/>
        <v>1669.7105470499664</v>
      </c>
      <c r="T112" s="12">
        <f t="shared" si="20"/>
        <v>21492.624551399997</v>
      </c>
      <c r="U112" s="12">
        <f t="shared" si="16"/>
        <v>0.98054693866390674</v>
      </c>
      <c r="V112" s="12">
        <f t="shared" si="17"/>
        <v>0.20342133498751552</v>
      </c>
      <c r="W112" s="13">
        <f t="shared" si="18"/>
        <v>0.77712560367639116</v>
      </c>
      <c r="X112" s="16">
        <v>9.1</v>
      </c>
    </row>
    <row r="113" spans="4:24" x14ac:dyDescent="0.2">
      <c r="D113" s="5">
        <f t="shared" si="22"/>
        <v>757.5</v>
      </c>
      <c r="E113" s="5">
        <f t="shared" si="13"/>
        <v>826.1</v>
      </c>
      <c r="F113" s="5">
        <f t="shared" si="14"/>
        <v>811.1</v>
      </c>
      <c r="Q113" s="12">
        <f t="shared" si="21"/>
        <v>86677.380101399947</v>
      </c>
      <c r="R113" s="12">
        <f t="shared" si="15"/>
        <v>85003.478625599993</v>
      </c>
      <c r="S113" s="12">
        <f t="shared" si="19"/>
        <v>1673.9014757999539</v>
      </c>
      <c r="T113" s="12">
        <f t="shared" si="20"/>
        <v>21702.724106399997</v>
      </c>
      <c r="U113" s="12">
        <f t="shared" si="16"/>
        <v>0.9806881394679704</v>
      </c>
      <c r="V113" s="12">
        <f t="shared" si="17"/>
        <v>0.20338765273943718</v>
      </c>
      <c r="W113" s="13">
        <f t="shared" si="18"/>
        <v>0.77730048672853325</v>
      </c>
      <c r="X113" s="16">
        <v>9.1999999999999993</v>
      </c>
    </row>
    <row r="114" spans="4:24" x14ac:dyDescent="0.2">
      <c r="D114" s="5">
        <f t="shared" si="22"/>
        <v>765</v>
      </c>
      <c r="E114" s="5">
        <f t="shared" si="13"/>
        <v>833.6</v>
      </c>
      <c r="F114" s="5">
        <f t="shared" si="14"/>
        <v>818.6</v>
      </c>
      <c r="Q114" s="12">
        <f t="shared" si="21"/>
        <v>87521.969250149952</v>
      </c>
      <c r="R114" s="12">
        <f t="shared" si="15"/>
        <v>85843.876845599996</v>
      </c>
      <c r="S114" s="12">
        <f t="shared" si="19"/>
        <v>1678.092404549956</v>
      </c>
      <c r="T114" s="12">
        <f t="shared" si="20"/>
        <v>21912.823661399998</v>
      </c>
      <c r="U114" s="12">
        <f t="shared" si="16"/>
        <v>0.98082661508959268</v>
      </c>
      <c r="V114" s="12">
        <f t="shared" si="17"/>
        <v>0.20335462721389205</v>
      </c>
      <c r="W114" s="13">
        <f t="shared" si="18"/>
        <v>0.7774719878757006</v>
      </c>
      <c r="X114" s="16">
        <v>9.3000000000000007</v>
      </c>
    </row>
    <row r="115" spans="4:24" x14ac:dyDescent="0.2">
      <c r="D115" s="5">
        <f t="shared" si="22"/>
        <v>772.5</v>
      </c>
      <c r="E115" s="5">
        <f t="shared" si="13"/>
        <v>841.1</v>
      </c>
      <c r="F115" s="5">
        <f t="shared" si="14"/>
        <v>826.1</v>
      </c>
      <c r="Q115" s="12">
        <f t="shared" si="21"/>
        <v>88366.558398899942</v>
      </c>
      <c r="R115" s="12">
        <f t="shared" si="15"/>
        <v>86684.275065599984</v>
      </c>
      <c r="S115" s="12">
        <f t="shared" si="19"/>
        <v>1682.283333299958</v>
      </c>
      <c r="T115" s="12">
        <f t="shared" si="20"/>
        <v>22122.923216399995</v>
      </c>
      <c r="U115" s="12">
        <f t="shared" si="16"/>
        <v>0.98096244366895136</v>
      </c>
      <c r="V115" s="12">
        <f t="shared" si="17"/>
        <v>0.20332223938955885</v>
      </c>
      <c r="W115" s="13">
        <f t="shared" si="18"/>
        <v>0.77764020427939251</v>
      </c>
      <c r="X115" s="16">
        <v>9.4</v>
      </c>
    </row>
    <row r="116" spans="4:24" x14ac:dyDescent="0.2">
      <c r="D116" s="5">
        <f t="shared" si="22"/>
        <v>780</v>
      </c>
      <c r="E116" s="5">
        <f t="shared" si="13"/>
        <v>848.6</v>
      </c>
      <c r="F116" s="5">
        <f t="shared" si="14"/>
        <v>833.6</v>
      </c>
      <c r="Q116" s="12">
        <f t="shared" si="21"/>
        <v>89211.147547649947</v>
      </c>
      <c r="R116" s="12">
        <f t="shared" si="15"/>
        <v>87524.673285599987</v>
      </c>
      <c r="S116" s="12">
        <f t="shared" si="19"/>
        <v>1686.4742620499601</v>
      </c>
      <c r="T116" s="12">
        <f t="shared" si="20"/>
        <v>22333.022771399996</v>
      </c>
      <c r="U116" s="12">
        <f t="shared" si="16"/>
        <v>0.98109570038711613</v>
      </c>
      <c r="V116" s="12">
        <f t="shared" si="17"/>
        <v>0.20329047097267033</v>
      </c>
      <c r="W116" s="13">
        <f t="shared" si="18"/>
        <v>0.77780522941444574</v>
      </c>
      <c r="X116" s="16">
        <v>9.5</v>
      </c>
    </row>
    <row r="117" spans="4:24" x14ac:dyDescent="0.2">
      <c r="D117" s="5">
        <f t="shared" si="22"/>
        <v>787.5</v>
      </c>
      <c r="E117" s="5">
        <f t="shared" si="13"/>
        <v>856.1</v>
      </c>
      <c r="F117" s="5">
        <f t="shared" si="14"/>
        <v>841.1</v>
      </c>
      <c r="Q117" s="12">
        <f t="shared" si="21"/>
        <v>90055.736696399952</v>
      </c>
      <c r="R117" s="12">
        <f t="shared" si="15"/>
        <v>88365.07150559999</v>
      </c>
      <c r="S117" s="12">
        <f t="shared" si="19"/>
        <v>1690.6651907999621</v>
      </c>
      <c r="T117" s="12">
        <f t="shared" si="20"/>
        <v>22543.122326399996</v>
      </c>
      <c r="U117" s="12">
        <f t="shared" si="16"/>
        <v>0.98122645760480964</v>
      </c>
      <c r="V117" s="12">
        <f t="shared" si="17"/>
        <v>0.2032593043625574</v>
      </c>
      <c r="W117" s="13">
        <f t="shared" si="18"/>
        <v>0.7779671532422523</v>
      </c>
      <c r="X117" s="16">
        <v>9.6</v>
      </c>
    </row>
    <row r="118" spans="4:24" x14ac:dyDescent="0.2">
      <c r="D118" s="5">
        <f t="shared" si="22"/>
        <v>795</v>
      </c>
      <c r="E118" s="5">
        <f t="shared" si="13"/>
        <v>863.6</v>
      </c>
      <c r="F118" s="5">
        <f t="shared" si="14"/>
        <v>848.6</v>
      </c>
      <c r="Q118" s="12">
        <f t="shared" si="21"/>
        <v>90900.325845149942</v>
      </c>
      <c r="R118" s="12">
        <f t="shared" si="15"/>
        <v>89205.469725599993</v>
      </c>
      <c r="S118" s="12">
        <f t="shared" si="19"/>
        <v>1694.8561195499497</v>
      </c>
      <c r="T118" s="12">
        <f t="shared" si="20"/>
        <v>22753.221881399997</v>
      </c>
      <c r="U118" s="12">
        <f t="shared" si="16"/>
        <v>0.98135478499343154</v>
      </c>
      <c r="V118" s="12">
        <f t="shared" si="17"/>
        <v>0.2032287226191325</v>
      </c>
      <c r="W118" s="13">
        <f t="shared" si="18"/>
        <v>0.77812606237429904</v>
      </c>
      <c r="X118" s="16">
        <v>9.6999999999999993</v>
      </c>
    </row>
    <row r="119" spans="4:24" x14ac:dyDescent="0.2">
      <c r="D119" s="5">
        <f t="shared" si="22"/>
        <v>802.5</v>
      </c>
      <c r="E119" s="5">
        <f t="shared" si="13"/>
        <v>871.1</v>
      </c>
      <c r="F119" s="5">
        <f t="shared" si="14"/>
        <v>856.1</v>
      </c>
      <c r="Q119" s="12">
        <f t="shared" si="21"/>
        <v>91744.914993899947</v>
      </c>
      <c r="R119" s="12">
        <f t="shared" si="15"/>
        <v>90045.867945599995</v>
      </c>
      <c r="S119" s="12">
        <f t="shared" si="19"/>
        <v>1699.0470482999517</v>
      </c>
      <c r="T119" s="12">
        <f t="shared" si="20"/>
        <v>22963.321436399998</v>
      </c>
      <c r="U119" s="12">
        <f t="shared" si="16"/>
        <v>0.98148074965884569</v>
      </c>
      <c r="V119" s="12">
        <f t="shared" si="17"/>
        <v>0.2031987094321869</v>
      </c>
      <c r="W119" s="13">
        <f t="shared" si="18"/>
        <v>0.77828204022665881</v>
      </c>
      <c r="X119" s="16">
        <v>9.8000000000000007</v>
      </c>
    </row>
    <row r="120" spans="4:24" x14ac:dyDescent="0.2">
      <c r="D120" s="5">
        <f t="shared" si="22"/>
        <v>810</v>
      </c>
      <c r="E120" s="5">
        <f t="shared" si="13"/>
        <v>878.6</v>
      </c>
      <c r="F120" s="5">
        <f t="shared" si="14"/>
        <v>863.6</v>
      </c>
      <c r="Q120" s="12">
        <f t="shared" si="21"/>
        <v>92589.504142649937</v>
      </c>
      <c r="R120" s="12">
        <f t="shared" si="15"/>
        <v>90886.266165599984</v>
      </c>
      <c r="S120" s="12">
        <f t="shared" si="19"/>
        <v>1703.2379770499538</v>
      </c>
      <c r="T120" s="12">
        <f t="shared" si="20"/>
        <v>23173.420991399995</v>
      </c>
      <c r="U120" s="12">
        <f t="shared" si="16"/>
        <v>0.98160441625839334</v>
      </c>
      <c r="V120" s="12">
        <f t="shared" si="17"/>
        <v>0.20316924909238465</v>
      </c>
      <c r="W120" s="13">
        <f t="shared" si="18"/>
        <v>0.77843516716600869</v>
      </c>
      <c r="X120" s="16">
        <v>9.9</v>
      </c>
    </row>
    <row r="121" spans="4:24" x14ac:dyDescent="0.2">
      <c r="D121" s="5">
        <f t="shared" si="22"/>
        <v>817.5</v>
      </c>
      <c r="E121" s="5">
        <f t="shared" si="13"/>
        <v>886.1</v>
      </c>
      <c r="F121" s="5">
        <f t="shared" si="14"/>
        <v>871.1</v>
      </c>
      <c r="Q121" s="12">
        <f t="shared" si="21"/>
        <v>93434.093291399942</v>
      </c>
      <c r="R121" s="12">
        <f t="shared" si="15"/>
        <v>91726.664385599986</v>
      </c>
      <c r="S121" s="12">
        <f t="shared" si="19"/>
        <v>1707.4289057999558</v>
      </c>
      <c r="T121" s="12">
        <f t="shared" si="20"/>
        <v>23383.520546399996</v>
      </c>
      <c r="U121" s="12">
        <f t="shared" si="16"/>
        <v>0.98172584711155841</v>
      </c>
      <c r="V121" s="12">
        <f t="shared" si="17"/>
        <v>0.20314032646384456</v>
      </c>
      <c r="W121" s="13">
        <f t="shared" si="18"/>
        <v>0.77858552064771391</v>
      </c>
      <c r="X121" s="16">
        <v>10</v>
      </c>
    </row>
    <row r="122" spans="4:24" x14ac:dyDescent="0.2">
      <c r="D122" s="5">
        <f t="shared" si="22"/>
        <v>825</v>
      </c>
      <c r="E122" s="5">
        <f t="shared" si="13"/>
        <v>893.6</v>
      </c>
      <c r="F122" s="5">
        <f t="shared" si="14"/>
        <v>878.6</v>
      </c>
      <c r="Q122" s="12">
        <f t="shared" si="21"/>
        <v>94278.682440149947</v>
      </c>
      <c r="R122" s="12">
        <f t="shared" si="15"/>
        <v>92567.062605599989</v>
      </c>
      <c r="S122" s="12">
        <f t="shared" si="19"/>
        <v>1711.6198345499579</v>
      </c>
      <c r="T122" s="12">
        <f t="shared" si="20"/>
        <v>23593.620101399996</v>
      </c>
      <c r="U122" s="12">
        <f t="shared" si="16"/>
        <v>0.98184510230468558</v>
      </c>
      <c r="V122" s="12">
        <f t="shared" si="17"/>
        <v>0.20311192695821007</v>
      </c>
      <c r="W122" s="13">
        <f t="shared" si="18"/>
        <v>0.77873317534647546</v>
      </c>
      <c r="X122" s="16">
        <v>10.1</v>
      </c>
    </row>
    <row r="123" spans="4:24" x14ac:dyDescent="0.2">
      <c r="D123" s="5">
        <f t="shared" si="22"/>
        <v>832.5</v>
      </c>
      <c r="E123" s="5">
        <f t="shared" si="13"/>
        <v>901.1</v>
      </c>
      <c r="F123" s="5">
        <f t="shared" si="14"/>
        <v>886.1</v>
      </c>
      <c r="Q123" s="12">
        <f t="shared" si="21"/>
        <v>95123.271588899952</v>
      </c>
      <c r="R123" s="12">
        <f t="shared" si="15"/>
        <v>93407.460825599992</v>
      </c>
      <c r="S123" s="12">
        <f t="shared" si="19"/>
        <v>1715.8107632999599</v>
      </c>
      <c r="T123" s="12">
        <f t="shared" si="20"/>
        <v>23803.719656399997</v>
      </c>
      <c r="U123" s="12">
        <f t="shared" si="16"/>
        <v>0.98196223979011898</v>
      </c>
      <c r="V123" s="12">
        <f t="shared" si="17"/>
        <v>0.20308403651011356</v>
      </c>
      <c r="W123" s="13">
        <f t="shared" si="18"/>
        <v>0.77887820328000545</v>
      </c>
      <c r="X123" s="16">
        <v>10.199999999999999</v>
      </c>
    </row>
    <row r="124" spans="4:24" x14ac:dyDescent="0.2">
      <c r="D124" s="5">
        <f t="shared" si="22"/>
        <v>840</v>
      </c>
      <c r="E124" s="5">
        <f t="shared" si="13"/>
        <v>908.6</v>
      </c>
      <c r="F124" s="5">
        <f t="shared" si="14"/>
        <v>893.6</v>
      </c>
      <c r="Q124" s="12">
        <f t="shared" si="21"/>
        <v>95967.860737649942</v>
      </c>
      <c r="R124" s="12">
        <f t="shared" si="15"/>
        <v>94247.859045599995</v>
      </c>
      <c r="S124" s="12">
        <f t="shared" si="19"/>
        <v>1720.0016920499475</v>
      </c>
      <c r="T124" s="12">
        <f t="shared" si="20"/>
        <v>24013.819211399998</v>
      </c>
      <c r="U124" s="12">
        <f t="shared" si="16"/>
        <v>0.98207731548010679</v>
      </c>
      <c r="V124" s="12">
        <f t="shared" si="17"/>
        <v>0.2030566415539482</v>
      </c>
      <c r="W124" s="13">
        <f t="shared" si="18"/>
        <v>0.77902067392615859</v>
      </c>
      <c r="X124" s="16">
        <v>10.3</v>
      </c>
    </row>
    <row r="125" spans="4:24" x14ac:dyDescent="0.2">
      <c r="D125" s="5">
        <f t="shared" si="22"/>
        <v>847.5</v>
      </c>
      <c r="E125" s="5">
        <f t="shared" si="13"/>
        <v>916.1</v>
      </c>
      <c r="F125" s="5">
        <f t="shared" si="14"/>
        <v>901.1</v>
      </c>
      <c r="Q125" s="12">
        <f t="shared" si="21"/>
        <v>96812.449886399932</v>
      </c>
      <c r="R125" s="12">
        <f t="shared" si="15"/>
        <v>95088.257265599983</v>
      </c>
      <c r="S125" s="12">
        <f t="shared" si="19"/>
        <v>1724.1926207999495</v>
      </c>
      <c r="T125" s="12">
        <f t="shared" si="20"/>
        <v>24223.918766399995</v>
      </c>
      <c r="U125" s="12">
        <f t="shared" si="16"/>
        <v>0.98219038333578867</v>
      </c>
      <c r="V125" s="12">
        <f t="shared" si="17"/>
        <v>0.20302972900186692</v>
      </c>
      <c r="W125" s="13">
        <f t="shared" si="18"/>
        <v>0.77916065433392179</v>
      </c>
      <c r="X125" s="16">
        <v>10.4</v>
      </c>
    </row>
    <row r="126" spans="4:24" x14ac:dyDescent="0.2">
      <c r="D126" s="5">
        <f t="shared" si="22"/>
        <v>855</v>
      </c>
      <c r="E126" s="5">
        <f t="shared" si="13"/>
        <v>923.6</v>
      </c>
      <c r="F126" s="5">
        <f t="shared" si="14"/>
        <v>908.6</v>
      </c>
      <c r="Q126" s="12">
        <f t="shared" si="21"/>
        <v>97657.039035149937</v>
      </c>
      <c r="R126" s="12">
        <f t="shared" si="15"/>
        <v>95928.655485599986</v>
      </c>
      <c r="S126" s="12">
        <f t="shared" si="19"/>
        <v>1728.3835495499516</v>
      </c>
      <c r="T126" s="12">
        <f t="shared" si="20"/>
        <v>24434.018321399995</v>
      </c>
      <c r="U126" s="12">
        <f t="shared" si="16"/>
        <v>0.98230149545156853</v>
      </c>
      <c r="V126" s="12">
        <f t="shared" si="17"/>
        <v>0.20300328622293348</v>
      </c>
      <c r="W126" s="13">
        <f t="shared" si="18"/>
        <v>0.77929820922863502</v>
      </c>
      <c r="X126" s="16">
        <v>10.5</v>
      </c>
    </row>
    <row r="127" spans="4:24" x14ac:dyDescent="0.2">
      <c r="D127" s="5">
        <f t="shared" si="22"/>
        <v>862.5</v>
      </c>
      <c r="E127" s="5">
        <f t="shared" si="13"/>
        <v>931.1</v>
      </c>
      <c r="F127" s="5">
        <f t="shared" si="14"/>
        <v>916.1</v>
      </c>
      <c r="Q127" s="12">
        <f t="shared" si="21"/>
        <v>98501.628183899942</v>
      </c>
      <c r="R127" s="12">
        <f t="shared" si="15"/>
        <v>96769.053705599988</v>
      </c>
      <c r="S127" s="12">
        <f t="shared" si="19"/>
        <v>1732.5744782999536</v>
      </c>
      <c r="T127" s="12">
        <f t="shared" si="20"/>
        <v>24644.117876399996</v>
      </c>
      <c r="U127" s="12">
        <f t="shared" si="16"/>
        <v>0.98241070213514359</v>
      </c>
      <c r="V127" s="12">
        <f t="shared" si="17"/>
        <v>0.20297730102335612</v>
      </c>
      <c r="W127" s="13">
        <f t="shared" si="18"/>
        <v>0.77943340111178749</v>
      </c>
      <c r="X127" s="16">
        <v>10.6</v>
      </c>
    </row>
    <row r="128" spans="4:24" x14ac:dyDescent="0.2">
      <c r="D128" s="5">
        <f t="shared" si="22"/>
        <v>870</v>
      </c>
      <c r="E128" s="5">
        <f t="shared" si="13"/>
        <v>938.6</v>
      </c>
      <c r="F128" s="5">
        <f t="shared" si="14"/>
        <v>923.6</v>
      </c>
      <c r="Q128" s="12">
        <f t="shared" si="21"/>
        <v>99346.217332649947</v>
      </c>
      <c r="R128" s="12">
        <f t="shared" si="15"/>
        <v>97609.451925599991</v>
      </c>
      <c r="S128" s="12">
        <f t="shared" si="19"/>
        <v>1736.7654070499557</v>
      </c>
      <c r="T128" s="12">
        <f t="shared" si="20"/>
        <v>24854.217431399997</v>
      </c>
      <c r="U128" s="12">
        <f t="shared" si="16"/>
        <v>0.9825180519834531</v>
      </c>
      <c r="V128" s="12">
        <f t="shared" si="17"/>
        <v>0.20295176162773809</v>
      </c>
      <c r="W128" s="13">
        <f t="shared" si="18"/>
        <v>0.77956629035571501</v>
      </c>
      <c r="X128" s="16">
        <v>10.7</v>
      </c>
    </row>
    <row r="129" spans="4:24" x14ac:dyDescent="0.2">
      <c r="D129" s="5">
        <f t="shared" si="22"/>
        <v>877.5</v>
      </c>
      <c r="E129" s="5">
        <f t="shared" si="13"/>
        <v>946.1</v>
      </c>
      <c r="F129" s="5">
        <f t="shared" si="14"/>
        <v>931.1</v>
      </c>
      <c r="Q129" s="12">
        <f t="shared" si="21"/>
        <v>100190.80648139995</v>
      </c>
      <c r="R129" s="12">
        <f t="shared" si="15"/>
        <v>98449.850145599994</v>
      </c>
      <c r="S129" s="12">
        <f t="shared" si="19"/>
        <v>1740.9563357999577</v>
      </c>
      <c r="T129" s="12">
        <f t="shared" si="20"/>
        <v>25064.316986399997</v>
      </c>
      <c r="U129" s="12">
        <f t="shared" si="16"/>
        <v>0.98262359195478521</v>
      </c>
      <c r="V129" s="12">
        <f t="shared" si="17"/>
        <v>0.20292665666128551</v>
      </c>
      <c r="W129" s="13">
        <f t="shared" si="18"/>
        <v>0.7796969352934997</v>
      </c>
      <c r="X129" s="16">
        <v>10.8</v>
      </c>
    </row>
    <row r="130" spans="4:24" x14ac:dyDescent="0.2">
      <c r="D130" s="5">
        <f t="shared" si="22"/>
        <v>885</v>
      </c>
      <c r="E130" s="5">
        <f t="shared" si="13"/>
        <v>953.6</v>
      </c>
      <c r="F130" s="5">
        <f t="shared" si="14"/>
        <v>938.6</v>
      </c>
      <c r="Q130" s="12">
        <f t="shared" si="21"/>
        <v>101035.39563014993</v>
      </c>
      <c r="R130" s="12">
        <f t="shared" si="15"/>
        <v>99290.248365599982</v>
      </c>
      <c r="S130" s="12">
        <f t="shared" si="19"/>
        <v>1745.1472645499452</v>
      </c>
      <c r="T130" s="12">
        <f t="shared" si="20"/>
        <v>25274.416541399994</v>
      </c>
      <c r="U130" s="12">
        <f t="shared" si="16"/>
        <v>0.98272736743726696</v>
      </c>
      <c r="V130" s="12">
        <f t="shared" si="17"/>
        <v>0.20290197513291497</v>
      </c>
      <c r="W130" s="13">
        <f t="shared" si="18"/>
        <v>0.77982539230435199</v>
      </c>
      <c r="X130" s="16">
        <v>10.9</v>
      </c>
    </row>
    <row r="131" spans="4:24" x14ac:dyDescent="0.2">
      <c r="D131" s="5">
        <f t="shared" si="22"/>
        <v>892.5</v>
      </c>
      <c r="E131" s="5">
        <f t="shared" si="13"/>
        <v>961.1</v>
      </c>
      <c r="F131" s="5">
        <f t="shared" si="14"/>
        <v>946.1</v>
      </c>
      <c r="Q131" s="12">
        <f t="shared" si="21"/>
        <v>101879.98477889993</v>
      </c>
      <c r="R131" s="12">
        <f t="shared" si="15"/>
        <v>100130.64658559998</v>
      </c>
      <c r="S131" s="12">
        <f t="shared" si="19"/>
        <v>1749.3381932999473</v>
      </c>
      <c r="T131" s="12">
        <f t="shared" si="20"/>
        <v>25484.516096399995</v>
      </c>
      <c r="U131" s="12">
        <f t="shared" si="16"/>
        <v>0.98282942231394754</v>
      </c>
      <c r="V131" s="12">
        <f t="shared" si="17"/>
        <v>0.20287770641920919</v>
      </c>
      <c r="W131" s="13">
        <f t="shared" si="18"/>
        <v>0.77995171589473833</v>
      </c>
      <c r="X131" s="16">
        <v>11</v>
      </c>
    </row>
    <row r="132" spans="4:24" x14ac:dyDescent="0.2">
      <c r="D132" s="5">
        <f t="shared" si="22"/>
        <v>900</v>
      </c>
      <c r="E132" s="5">
        <f t="shared" si="13"/>
        <v>968.6</v>
      </c>
      <c r="F132" s="5">
        <f t="shared" si="14"/>
        <v>953.6</v>
      </c>
      <c r="Q132" s="12">
        <f t="shared" si="21"/>
        <v>102724.57392764994</v>
      </c>
      <c r="R132" s="12">
        <f t="shared" si="15"/>
        <v>100971.04480559999</v>
      </c>
      <c r="S132" s="12">
        <f t="shared" si="19"/>
        <v>1753.5291220499494</v>
      </c>
      <c r="T132" s="12">
        <f t="shared" si="20"/>
        <v>25694.615651399996</v>
      </c>
      <c r="U132" s="12">
        <f t="shared" si="16"/>
        <v>0.9829297990246717</v>
      </c>
      <c r="V132" s="12">
        <f t="shared" si="17"/>
        <v>0.20285384024917086</v>
      </c>
      <c r="W132" s="13">
        <f t="shared" si="18"/>
        <v>0.78007595877550084</v>
      </c>
      <c r="X132" s="16">
        <v>11.1</v>
      </c>
    </row>
    <row r="133" spans="4:24" x14ac:dyDescent="0.2">
      <c r="D133" s="5">
        <f t="shared" si="22"/>
        <v>907.5</v>
      </c>
      <c r="E133" s="5">
        <f t="shared" si="13"/>
        <v>976.1</v>
      </c>
      <c r="F133" s="5">
        <f t="shared" si="14"/>
        <v>961.1</v>
      </c>
      <c r="Q133" s="12">
        <f t="shared" si="21"/>
        <v>103569.16307639994</v>
      </c>
      <c r="R133" s="12">
        <f t="shared" si="15"/>
        <v>101811.44302559999</v>
      </c>
      <c r="S133" s="12">
        <f t="shared" si="19"/>
        <v>1757.7200507999514</v>
      </c>
      <c r="T133" s="12">
        <f t="shared" si="20"/>
        <v>25904.715206399997</v>
      </c>
      <c r="U133" s="12">
        <f t="shared" si="16"/>
        <v>0.98302853862492512</v>
      </c>
      <c r="V133" s="12">
        <f t="shared" si="17"/>
        <v>0.2028303666897289</v>
      </c>
      <c r="W133" s="13">
        <f t="shared" si="18"/>
        <v>0.78019817193519625</v>
      </c>
      <c r="X133" s="16">
        <v>11.2</v>
      </c>
    </row>
    <row r="134" spans="4:24" x14ac:dyDescent="0.2">
      <c r="D134" s="5">
        <f t="shared" si="22"/>
        <v>915</v>
      </c>
      <c r="E134" s="5">
        <f t="shared" si="13"/>
        <v>983.6</v>
      </c>
      <c r="F134" s="5">
        <f t="shared" si="14"/>
        <v>968.6</v>
      </c>
      <c r="Q134" s="12">
        <f t="shared" si="21"/>
        <v>104413.75222514995</v>
      </c>
      <c r="R134" s="12">
        <f t="shared" si="15"/>
        <v>102651.84124559999</v>
      </c>
      <c r="S134" s="12">
        <f t="shared" si="19"/>
        <v>1761.9109795499535</v>
      </c>
      <c r="T134" s="12">
        <f t="shared" si="20"/>
        <v>26114.814761399997</v>
      </c>
      <c r="U134" s="12">
        <f t="shared" si="16"/>
        <v>0.98312568084182339</v>
      </c>
      <c r="V134" s="12">
        <f t="shared" si="17"/>
        <v>0.20280727613195415</v>
      </c>
      <c r="W134" s="13">
        <f t="shared" si="18"/>
        <v>0.78031840470986924</v>
      </c>
      <c r="X134" s="16">
        <v>11.3</v>
      </c>
    </row>
    <row r="135" spans="4:24" x14ac:dyDescent="0.2">
      <c r="D135" s="5">
        <f t="shared" si="22"/>
        <v>922.5</v>
      </c>
      <c r="E135" s="5">
        <f t="shared" si="13"/>
        <v>991.1</v>
      </c>
      <c r="F135" s="5">
        <f t="shared" si="14"/>
        <v>976.1</v>
      </c>
      <c r="Q135" s="12">
        <f t="shared" si="21"/>
        <v>105258.34137389994</v>
      </c>
      <c r="R135" s="12">
        <f t="shared" si="15"/>
        <v>103492.23946559998</v>
      </c>
      <c r="S135" s="12">
        <f t="shared" si="19"/>
        <v>1766.1019082999555</v>
      </c>
      <c r="T135" s="12">
        <f t="shared" si="20"/>
        <v>26324.914316399994</v>
      </c>
      <c r="U135" s="12">
        <f t="shared" si="16"/>
        <v>0.9832212641274064</v>
      </c>
      <c r="V135" s="12">
        <f t="shared" si="17"/>
        <v>0.20278455927794437</v>
      </c>
      <c r="W135" s="13">
        <f t="shared" si="18"/>
        <v>0.78043670484946204</v>
      </c>
      <c r="X135" s="16">
        <v>11.4</v>
      </c>
    </row>
    <row r="136" spans="4:24" x14ac:dyDescent="0.2">
      <c r="D136" s="5">
        <f t="shared" si="22"/>
        <v>930</v>
      </c>
      <c r="E136" s="5">
        <f t="shared" si="13"/>
        <v>998.6</v>
      </c>
      <c r="F136" s="5">
        <f t="shared" si="14"/>
        <v>983.6</v>
      </c>
      <c r="Q136" s="12">
        <f t="shared" si="21"/>
        <v>106102.93052264993</v>
      </c>
      <c r="R136" s="12">
        <f t="shared" si="15"/>
        <v>104332.63768559998</v>
      </c>
      <c r="S136" s="12">
        <f t="shared" si="19"/>
        <v>1770.292837049943</v>
      </c>
      <c r="T136" s="12">
        <f t="shared" si="20"/>
        <v>26535.013871399995</v>
      </c>
      <c r="U136" s="12">
        <f t="shared" si="16"/>
        <v>0.98331532570938707</v>
      </c>
      <c r="V136" s="12">
        <f t="shared" si="17"/>
        <v>0.20276220712834106</v>
      </c>
      <c r="W136" s="13">
        <f t="shared" si="18"/>
        <v>0.78055311858104603</v>
      </c>
      <c r="X136" s="16">
        <v>11.5</v>
      </c>
    </row>
    <row r="137" spans="4:24" x14ac:dyDescent="0.2">
      <c r="D137" s="5">
        <f t="shared" si="22"/>
        <v>937.5</v>
      </c>
      <c r="E137" s="5">
        <f t="shared" si="13"/>
        <v>1006.1</v>
      </c>
      <c r="F137" s="5">
        <f t="shared" si="14"/>
        <v>991.1</v>
      </c>
      <c r="Q137" s="12">
        <f t="shared" si="21"/>
        <v>106947.51967139993</v>
      </c>
      <c r="R137" s="12">
        <f t="shared" si="15"/>
        <v>105173.03590559999</v>
      </c>
      <c r="S137" s="12">
        <f t="shared" si="19"/>
        <v>1774.4837657999451</v>
      </c>
      <c r="T137" s="12">
        <f t="shared" si="20"/>
        <v>26745.113426399996</v>
      </c>
      <c r="U137" s="12">
        <f t="shared" si="16"/>
        <v>0.98340790163949465</v>
      </c>
      <c r="V137" s="12">
        <f t="shared" si="17"/>
        <v>0.20274021097044237</v>
      </c>
      <c r="W137" s="13">
        <f t="shared" si="18"/>
        <v>0.78066769066905228</v>
      </c>
      <c r="X137" s="16">
        <v>11.6</v>
      </c>
    </row>
    <row r="138" spans="4:24" x14ac:dyDescent="0.2">
      <c r="D138" s="5">
        <f t="shared" si="22"/>
        <v>945</v>
      </c>
      <c r="E138" s="5">
        <f t="shared" si="13"/>
        <v>1013.6</v>
      </c>
      <c r="F138" s="5">
        <f t="shared" si="14"/>
        <v>998.6</v>
      </c>
      <c r="Q138" s="12">
        <f t="shared" si="21"/>
        <v>107792.10882014994</v>
      </c>
      <c r="R138" s="12">
        <f t="shared" si="15"/>
        <v>106013.43412559999</v>
      </c>
      <c r="S138" s="12">
        <f t="shared" si="19"/>
        <v>1778.6746945499472</v>
      </c>
      <c r="T138" s="12">
        <f t="shared" si="20"/>
        <v>26955.212981399996</v>
      </c>
      <c r="U138" s="12">
        <f t="shared" si="16"/>
        <v>0.98349902683954682</v>
      </c>
      <c r="V138" s="12">
        <f t="shared" si="17"/>
        <v>0.20271856236687968</v>
      </c>
      <c r="W138" s="13">
        <f t="shared" si="18"/>
        <v>0.78078046447266714</v>
      </c>
      <c r="X138" s="16">
        <v>11.7</v>
      </c>
    </row>
    <row r="139" spans="4:24" x14ac:dyDescent="0.2">
      <c r="D139" s="5">
        <f t="shared" si="22"/>
        <v>952.5</v>
      </c>
      <c r="E139" s="5">
        <f t="shared" si="13"/>
        <v>1021.1</v>
      </c>
      <c r="F139" s="5">
        <f t="shared" si="14"/>
        <v>1006.1</v>
      </c>
      <c r="Q139" s="12">
        <f t="shared" si="21"/>
        <v>108636.69796889994</v>
      </c>
      <c r="R139" s="12">
        <f t="shared" si="15"/>
        <v>106853.83234559999</v>
      </c>
      <c r="S139" s="12">
        <f t="shared" si="19"/>
        <v>1782.8656232999492</v>
      </c>
      <c r="T139" s="12">
        <f t="shared" si="20"/>
        <v>27165.312536399997</v>
      </c>
      <c r="U139" s="12">
        <f t="shared" si="16"/>
        <v>0.98358873514537104</v>
      </c>
      <c r="V139" s="12">
        <f t="shared" si="17"/>
        <v>0.20269725314482698</v>
      </c>
      <c r="W139" s="13">
        <f t="shared" si="18"/>
        <v>0.78089148200054403</v>
      </c>
      <c r="X139" s="16">
        <v>11.8</v>
      </c>
    </row>
    <row r="140" spans="4:24" x14ac:dyDescent="0.2">
      <c r="D140" s="5">
        <f t="shared" ref="D140:D171" si="23">75*X149</f>
        <v>960</v>
      </c>
      <c r="E140" s="5">
        <f t="shared" si="13"/>
        <v>1028.5999999999999</v>
      </c>
      <c r="F140" s="5">
        <f t="shared" si="14"/>
        <v>1013.6</v>
      </c>
      <c r="Q140" s="12">
        <f t="shared" si="21"/>
        <v>109481.28711764993</v>
      </c>
      <c r="R140" s="12">
        <f t="shared" si="15"/>
        <v>107694.23056559998</v>
      </c>
      <c r="S140" s="12">
        <f t="shared" si="19"/>
        <v>1787.0565520499513</v>
      </c>
      <c r="T140" s="12">
        <f t="shared" si="20"/>
        <v>27375.412091399994</v>
      </c>
      <c r="U140" s="12">
        <f t="shared" si="16"/>
        <v>0.98367705934869443</v>
      </c>
      <c r="V140" s="12">
        <f t="shared" si="17"/>
        <v>0.20267627538571312</v>
      </c>
      <c r="W140" s="13">
        <f t="shared" si="18"/>
        <v>0.78100078396298134</v>
      </c>
      <c r="X140" s="16">
        <v>11.9</v>
      </c>
    </row>
    <row r="141" spans="4:24" x14ac:dyDescent="0.2">
      <c r="D141" s="5">
        <f t="shared" si="23"/>
        <v>967.5</v>
      </c>
      <c r="E141" s="5">
        <f t="shared" ref="E141:E204" si="24">$B$12+$C$12+D141</f>
        <v>1036.0999999999999</v>
      </c>
      <c r="F141" s="5">
        <f t="shared" ref="F141:F204" si="25">$C$12+D141</f>
        <v>1021.1</v>
      </c>
      <c r="Q141" s="12">
        <f t="shared" si="21"/>
        <v>110325.87626639994</v>
      </c>
      <c r="R141" s="12">
        <f t="shared" si="15"/>
        <v>108534.62878559998</v>
      </c>
      <c r="S141" s="12">
        <f t="shared" si="19"/>
        <v>1791.2474807999533</v>
      </c>
      <c r="T141" s="12">
        <f t="shared" si="20"/>
        <v>27585.511646399995</v>
      </c>
      <c r="U141" s="12">
        <f t="shared" si="16"/>
        <v>0.98376403123710798</v>
      </c>
      <c r="V141" s="12">
        <f t="shared" si="17"/>
        <v>0.20265562141541119</v>
      </c>
      <c r="W141" s="13">
        <f t="shared" si="18"/>
        <v>0.78110840982169683</v>
      </c>
      <c r="X141" s="16">
        <v>12</v>
      </c>
    </row>
    <row r="142" spans="4:24" x14ac:dyDescent="0.2">
      <c r="D142" s="5">
        <f t="shared" si="23"/>
        <v>975</v>
      </c>
      <c r="E142" s="5">
        <f t="shared" si="24"/>
        <v>1043.5999999999999</v>
      </c>
      <c r="F142" s="5">
        <f t="shared" si="25"/>
        <v>1028.5999999999999</v>
      </c>
      <c r="Q142" s="12">
        <f t="shared" si="21"/>
        <v>111170.46541514993</v>
      </c>
      <c r="R142" s="12">
        <f t="shared" si="15"/>
        <v>109375.02700559999</v>
      </c>
      <c r="S142" s="12">
        <f t="shared" si="19"/>
        <v>1795.4384095499408</v>
      </c>
      <c r="T142" s="12">
        <f t="shared" si="20"/>
        <v>27795.611201399995</v>
      </c>
      <c r="U142" s="12">
        <f t="shared" si="16"/>
        <v>0.98384968163221109</v>
      </c>
      <c r="V142" s="12">
        <f t="shared" si="17"/>
        <v>0.20263528379487813</v>
      </c>
      <c r="W142" s="13">
        <f t="shared" si="18"/>
        <v>0.78121439783733293</v>
      </c>
      <c r="X142" s="16">
        <v>12.1</v>
      </c>
    </row>
    <row r="143" spans="4:24" x14ac:dyDescent="0.2">
      <c r="D143" s="5">
        <f t="shared" si="23"/>
        <v>982.5</v>
      </c>
      <c r="E143" s="5">
        <f t="shared" si="24"/>
        <v>1051.0999999999999</v>
      </c>
      <c r="F143" s="5">
        <f t="shared" si="25"/>
        <v>1036.0999999999999</v>
      </c>
      <c r="Q143" s="12">
        <f t="shared" si="21"/>
        <v>112015.05456389993</v>
      </c>
      <c r="R143" s="12">
        <f t="shared" si="15"/>
        <v>110215.42522559999</v>
      </c>
      <c r="S143" s="12">
        <f t="shared" si="19"/>
        <v>1799.6293382999429</v>
      </c>
      <c r="T143" s="12">
        <f t="shared" si="20"/>
        <v>28005.710756399996</v>
      </c>
      <c r="U143" s="12">
        <f t="shared" si="16"/>
        <v>0.9839340404260275</v>
      </c>
      <c r="V143" s="12">
        <f t="shared" si="17"/>
        <v>0.20261525531122154</v>
      </c>
      <c r="W143" s="13">
        <f t="shared" si="18"/>
        <v>0.78131878511480601</v>
      </c>
      <c r="X143" s="16">
        <v>12.2</v>
      </c>
    </row>
    <row r="144" spans="4:24" x14ac:dyDescent="0.2">
      <c r="D144" s="5">
        <f t="shared" si="23"/>
        <v>990</v>
      </c>
      <c r="E144" s="5">
        <f t="shared" si="24"/>
        <v>1058.5999999999999</v>
      </c>
      <c r="F144" s="5">
        <f t="shared" si="25"/>
        <v>1043.5999999999999</v>
      </c>
      <c r="Q144" s="12">
        <f t="shared" si="21"/>
        <v>112859.64371264994</v>
      </c>
      <c r="R144" s="12">
        <f t="shared" si="15"/>
        <v>111055.82344559999</v>
      </c>
      <c r="S144" s="12">
        <f t="shared" si="19"/>
        <v>1803.820267049945</v>
      </c>
      <c r="T144" s="12">
        <f t="shared" si="20"/>
        <v>28215.810311399997</v>
      </c>
      <c r="U144" s="12">
        <f t="shared" si="16"/>
        <v>0.9840171366157896</v>
      </c>
      <c r="V144" s="12">
        <f t="shared" si="17"/>
        <v>0.20259552896917052</v>
      </c>
      <c r="W144" s="13">
        <f t="shared" si="18"/>
        <v>0.78142160764661905</v>
      </c>
      <c r="X144" s="16">
        <v>12.3</v>
      </c>
    </row>
    <row r="145" spans="4:24" x14ac:dyDescent="0.2">
      <c r="D145" s="5">
        <f t="shared" si="23"/>
        <v>997.5</v>
      </c>
      <c r="E145" s="5">
        <f t="shared" si="24"/>
        <v>1066.0999999999999</v>
      </c>
      <c r="F145" s="5">
        <f t="shared" si="25"/>
        <v>1051.0999999999999</v>
      </c>
      <c r="Q145" s="12">
        <f t="shared" si="21"/>
        <v>113704.23286139993</v>
      </c>
      <c r="R145" s="12">
        <f t="shared" si="15"/>
        <v>111896.22166559998</v>
      </c>
      <c r="S145" s="12">
        <f t="shared" si="19"/>
        <v>1808.011195799947</v>
      </c>
      <c r="T145" s="12">
        <f t="shared" si="20"/>
        <v>28425.909866399994</v>
      </c>
      <c r="U145" s="12">
        <f t="shared" si="16"/>
        <v>0.98409899833716985</v>
      </c>
      <c r="V145" s="12">
        <f t="shared" si="17"/>
        <v>0.20257609798292983</v>
      </c>
      <c r="W145" s="13">
        <f t="shared" si="18"/>
        <v>0.78152290035423999</v>
      </c>
      <c r="X145" s="16">
        <v>12.4</v>
      </c>
    </row>
    <row r="146" spans="4:24" x14ac:dyDescent="0.2">
      <c r="D146" s="5">
        <f t="shared" si="23"/>
        <v>1005</v>
      </c>
      <c r="E146" s="5">
        <f t="shared" si="24"/>
        <v>1073.5999999999999</v>
      </c>
      <c r="F146" s="5">
        <f t="shared" si="25"/>
        <v>1058.5999999999999</v>
      </c>
      <c r="Q146" s="12">
        <f t="shared" si="21"/>
        <v>114548.82201014993</v>
      </c>
      <c r="R146" s="12">
        <f t="shared" si="15"/>
        <v>112736.61988559998</v>
      </c>
      <c r="S146" s="12">
        <f t="shared" si="19"/>
        <v>1812.2021245499491</v>
      </c>
      <c r="T146" s="12">
        <f t="shared" si="20"/>
        <v>28636.009421399995</v>
      </c>
      <c r="U146" s="12">
        <f t="shared" si="16"/>
        <v>0.98417965289604314</v>
      </c>
      <c r="V146" s="12">
        <f t="shared" si="17"/>
        <v>0.20255695576839711</v>
      </c>
      <c r="W146" s="13">
        <f t="shared" si="18"/>
        <v>0.78162269712764609</v>
      </c>
      <c r="X146" s="16">
        <v>12.5</v>
      </c>
    </row>
    <row r="147" spans="4:24" x14ac:dyDescent="0.2">
      <c r="D147" s="5">
        <f t="shared" si="23"/>
        <v>1012.5</v>
      </c>
      <c r="E147" s="5">
        <f t="shared" si="24"/>
        <v>1081.0999999999999</v>
      </c>
      <c r="F147" s="5">
        <f t="shared" si="25"/>
        <v>1066.0999999999999</v>
      </c>
      <c r="Q147" s="12">
        <f t="shared" si="21"/>
        <v>115393.41115889994</v>
      </c>
      <c r="R147" s="12">
        <f t="shared" si="15"/>
        <v>113577.01810559999</v>
      </c>
      <c r="S147" s="12">
        <f t="shared" si="19"/>
        <v>1816.3930532999511</v>
      </c>
      <c r="T147" s="12">
        <f t="shared" si="20"/>
        <v>28846.108976399995</v>
      </c>
      <c r="U147" s="12">
        <f t="shared" si="16"/>
        <v>0.98425912679885397</v>
      </c>
      <c r="V147" s="12">
        <f t="shared" si="17"/>
        <v>0.2025380959357245</v>
      </c>
      <c r="W147" s="13">
        <f t="shared" si="18"/>
        <v>0.7817210308631295</v>
      </c>
      <c r="X147" s="16">
        <v>12.6</v>
      </c>
    </row>
    <row r="148" spans="4:24" x14ac:dyDescent="0.2">
      <c r="D148" s="5">
        <f t="shared" si="23"/>
        <v>1020</v>
      </c>
      <c r="E148" s="5">
        <f t="shared" si="24"/>
        <v>1088.5999999999999</v>
      </c>
      <c r="F148" s="5">
        <f t="shared" si="25"/>
        <v>1073.5999999999999</v>
      </c>
      <c r="Q148" s="12">
        <f t="shared" si="21"/>
        <v>116238.00030764993</v>
      </c>
      <c r="R148" s="12">
        <f t="shared" si="15"/>
        <v>114417.41632559999</v>
      </c>
      <c r="S148" s="12">
        <f t="shared" si="19"/>
        <v>1820.5839820499386</v>
      </c>
      <c r="T148" s="12">
        <f t="shared" si="20"/>
        <v>29056.208531399996</v>
      </c>
      <c r="U148" s="12">
        <f t="shared" si="16"/>
        <v>0.98433744578166038</v>
      </c>
      <c r="V148" s="12">
        <f t="shared" si="17"/>
        <v>0.20251951228220719</v>
      </c>
      <c r="W148" s="13">
        <f t="shared" si="18"/>
        <v>0.78181793349945317</v>
      </c>
      <c r="X148" s="16">
        <v>12.7</v>
      </c>
    </row>
    <row r="149" spans="4:24" x14ac:dyDescent="0.2">
      <c r="D149" s="5">
        <f t="shared" si="23"/>
        <v>1027.5</v>
      </c>
      <c r="E149" s="5">
        <f t="shared" si="24"/>
        <v>1096.0999999999999</v>
      </c>
      <c r="F149" s="5">
        <f t="shared" si="25"/>
        <v>1081.0999999999999</v>
      </c>
      <c r="Q149" s="12">
        <f t="shared" si="21"/>
        <v>117082.58945639992</v>
      </c>
      <c r="R149" s="12">
        <f t="shared" si="15"/>
        <v>115257.81454559998</v>
      </c>
      <c r="S149" s="12">
        <f t="shared" si="19"/>
        <v>1824.7749107999407</v>
      </c>
      <c r="T149" s="12">
        <f t="shared" si="20"/>
        <v>29266.308086399993</v>
      </c>
      <c r="U149" s="12">
        <f t="shared" si="16"/>
        <v>0.98441463483791958</v>
      </c>
      <c r="V149" s="12">
        <f t="shared" si="17"/>
        <v>0.20250119878548195</v>
      </c>
      <c r="W149" s="13">
        <f t="shared" si="18"/>
        <v>0.78191343605243757</v>
      </c>
      <c r="X149" s="16">
        <v>12.8</v>
      </c>
    </row>
    <row r="150" spans="4:24" x14ac:dyDescent="0.2">
      <c r="D150" s="5">
        <f t="shared" si="23"/>
        <v>1035</v>
      </c>
      <c r="E150" s="5">
        <f t="shared" si="24"/>
        <v>1103.5999999999999</v>
      </c>
      <c r="F150" s="5">
        <f t="shared" si="25"/>
        <v>1088.5999999999999</v>
      </c>
      <c r="Q150" s="12">
        <f t="shared" si="21"/>
        <v>117927.17860514991</v>
      </c>
      <c r="R150" s="12">
        <f t="shared" ref="R150:R211" si="26">($J$21*E141)</f>
        <v>116098.21276559996</v>
      </c>
      <c r="S150" s="12">
        <f t="shared" si="19"/>
        <v>1828.9658395499428</v>
      </c>
      <c r="T150" s="12">
        <f t="shared" si="20"/>
        <v>29476.40764139999</v>
      </c>
      <c r="U150" s="12">
        <f t="shared" ref="U150:U211" si="27">R150/Q150</f>
        <v>0.98449071824508083</v>
      </c>
      <c r="V150" s="12">
        <f t="shared" ref="V150:V211" si="28">T150/(T150+R150)</f>
        <v>0.20248314959702013</v>
      </c>
      <c r="W150" s="13">
        <f t="shared" ref="W150:W211" si="29">U150-V150</f>
        <v>0.78200756864806076</v>
      </c>
      <c r="X150" s="16">
        <v>12.9</v>
      </c>
    </row>
    <row r="151" spans="4:24" x14ac:dyDescent="0.2">
      <c r="D151" s="5">
        <f t="shared" si="23"/>
        <v>1042.5</v>
      </c>
      <c r="E151" s="5">
        <f t="shared" si="24"/>
        <v>1111.0999999999999</v>
      </c>
      <c r="F151" s="5">
        <f t="shared" si="25"/>
        <v>1096.0999999999999</v>
      </c>
      <c r="Q151" s="12">
        <f t="shared" si="21"/>
        <v>118771.76775389991</v>
      </c>
      <c r="R151" s="12">
        <f t="shared" si="26"/>
        <v>116938.61098559997</v>
      </c>
      <c r="S151" s="12">
        <f t="shared" ref="S151:S211" si="30">Q151-R151</f>
        <v>1833.1567682999448</v>
      </c>
      <c r="T151" s="12">
        <f t="shared" ref="T151:T211" si="31">($M$21*$B$12)+($N$21*E142)</f>
        <v>29686.507196399991</v>
      </c>
      <c r="U151" s="12">
        <f t="shared" si="27"/>
        <v>0.98456571959004324</v>
      </c>
      <c r="V151" s="12">
        <f t="shared" si="28"/>
        <v>0.20246535903590071</v>
      </c>
      <c r="W151" s="13">
        <f t="shared" si="29"/>
        <v>0.78210036055414256</v>
      </c>
      <c r="X151" s="16">
        <v>13</v>
      </c>
    </row>
    <row r="152" spans="4:24" x14ac:dyDescent="0.2">
      <c r="D152" s="5">
        <f t="shared" si="23"/>
        <v>1050</v>
      </c>
      <c r="E152" s="5">
        <f t="shared" si="24"/>
        <v>1118.5999999999999</v>
      </c>
      <c r="F152" s="5">
        <f t="shared" si="25"/>
        <v>1103.5999999999999</v>
      </c>
      <c r="Q152" s="12">
        <f t="shared" si="21"/>
        <v>119616.35690264992</v>
      </c>
      <c r="R152" s="12">
        <f t="shared" si="26"/>
        <v>117779.00920559997</v>
      </c>
      <c r="S152" s="12">
        <f t="shared" si="30"/>
        <v>1837.3476970499469</v>
      </c>
      <c r="T152" s="12">
        <f t="shared" si="31"/>
        <v>29896.606751399991</v>
      </c>
      <c r="U152" s="12">
        <f t="shared" si="27"/>
        <v>0.98463966179353479</v>
      </c>
      <c r="V152" s="12">
        <f t="shared" si="28"/>
        <v>0.20244782158284855</v>
      </c>
      <c r="W152" s="13">
        <f t="shared" si="29"/>
        <v>0.78219184021068622</v>
      </c>
      <c r="X152" s="16">
        <v>13.1</v>
      </c>
    </row>
    <row r="153" spans="4:24" x14ac:dyDescent="0.2">
      <c r="D153" s="5">
        <f t="shared" si="23"/>
        <v>1057.5</v>
      </c>
      <c r="E153" s="5">
        <f t="shared" si="24"/>
        <v>1126.0999999999999</v>
      </c>
      <c r="F153" s="5">
        <f t="shared" si="25"/>
        <v>1111.0999999999999</v>
      </c>
      <c r="Q153" s="12">
        <f t="shared" si="21"/>
        <v>120460.94605139992</v>
      </c>
      <c r="R153" s="12">
        <f t="shared" si="26"/>
        <v>118619.40742559997</v>
      </c>
      <c r="S153" s="12">
        <f t="shared" si="30"/>
        <v>1841.5386257999489</v>
      </c>
      <c r="T153" s="12">
        <f t="shared" si="31"/>
        <v>30106.706306399992</v>
      </c>
      <c r="U153" s="12">
        <f t="shared" si="27"/>
        <v>0.984712567133466</v>
      </c>
      <c r="V153" s="12">
        <f t="shared" si="28"/>
        <v>0.20243053187452595</v>
      </c>
      <c r="W153" s="13">
        <f t="shared" si="29"/>
        <v>0.78228203525894002</v>
      </c>
      <c r="X153" s="16">
        <v>13.2</v>
      </c>
    </row>
    <row r="154" spans="4:24" x14ac:dyDescent="0.2">
      <c r="D154" s="5">
        <f t="shared" si="23"/>
        <v>1065</v>
      </c>
      <c r="E154" s="5">
        <f t="shared" si="24"/>
        <v>1133.5999999999999</v>
      </c>
      <c r="F154" s="5">
        <f t="shared" si="25"/>
        <v>1118.5999999999999</v>
      </c>
      <c r="Q154" s="12">
        <f t="shared" si="21"/>
        <v>121305.53520014991</v>
      </c>
      <c r="R154" s="12">
        <f t="shared" si="26"/>
        <v>119459.80564559998</v>
      </c>
      <c r="S154" s="12">
        <f t="shared" si="30"/>
        <v>1845.7295545499364</v>
      </c>
      <c r="T154" s="12">
        <f t="shared" si="31"/>
        <v>30316.805861399993</v>
      </c>
      <c r="U154" s="12">
        <f t="shared" si="27"/>
        <v>0.98478445726730812</v>
      </c>
      <c r="V154" s="12">
        <f t="shared" si="28"/>
        <v>0.20241348469806386</v>
      </c>
      <c r="W154" s="13">
        <f t="shared" si="29"/>
        <v>0.78237097256924426</v>
      </c>
      <c r="X154" s="16">
        <v>13.3</v>
      </c>
    </row>
    <row r="155" spans="4:24" x14ac:dyDescent="0.2">
      <c r="D155" s="5">
        <f t="shared" si="23"/>
        <v>1072.5</v>
      </c>
      <c r="E155" s="5">
        <f t="shared" si="24"/>
        <v>1141.0999999999999</v>
      </c>
      <c r="F155" s="5">
        <f t="shared" si="25"/>
        <v>1126.0999999999999</v>
      </c>
      <c r="Q155" s="12">
        <f t="shared" si="21"/>
        <v>122150.1243488999</v>
      </c>
      <c r="R155" s="12">
        <f t="shared" si="26"/>
        <v>120300.20386559996</v>
      </c>
      <c r="S155" s="12">
        <f t="shared" si="30"/>
        <v>1849.9204832999385</v>
      </c>
      <c r="T155" s="12">
        <f t="shared" si="31"/>
        <v>30526.90541639999</v>
      </c>
      <c r="U155" s="12">
        <f t="shared" si="27"/>
        <v>0.98485535325354256</v>
      </c>
      <c r="V155" s="12">
        <f t="shared" si="28"/>
        <v>0.20239667498582192</v>
      </c>
      <c r="W155" s="13">
        <f t="shared" si="29"/>
        <v>0.78245867826772064</v>
      </c>
      <c r="X155" s="16">
        <v>13.4</v>
      </c>
    </row>
    <row r="156" spans="4:24" x14ac:dyDescent="0.2">
      <c r="D156" s="5">
        <f t="shared" si="23"/>
        <v>1080</v>
      </c>
      <c r="E156" s="5">
        <f t="shared" si="24"/>
        <v>1148.5999999999999</v>
      </c>
      <c r="F156" s="5">
        <f t="shared" si="25"/>
        <v>1133.5999999999999</v>
      </c>
      <c r="Q156" s="12">
        <f t="shared" si="21"/>
        <v>122994.71349764991</v>
      </c>
      <c r="R156" s="12">
        <f t="shared" si="26"/>
        <v>121140.60208559997</v>
      </c>
      <c r="S156" s="12">
        <f t="shared" si="30"/>
        <v>1854.1114120499406</v>
      </c>
      <c r="T156" s="12">
        <f t="shared" si="31"/>
        <v>30737.004971399991</v>
      </c>
      <c r="U156" s="12">
        <f t="shared" si="27"/>
        <v>0.9849252755722272</v>
      </c>
      <c r="V156" s="12">
        <f t="shared" si="28"/>
        <v>0.20238009781036603</v>
      </c>
      <c r="W156" s="13">
        <f t="shared" si="29"/>
        <v>0.78254517776186117</v>
      </c>
      <c r="X156" s="16">
        <v>13.5</v>
      </c>
    </row>
    <row r="157" spans="4:24" x14ac:dyDescent="0.2">
      <c r="D157" s="5">
        <f t="shared" si="23"/>
        <v>1087.5</v>
      </c>
      <c r="E157" s="5">
        <f t="shared" si="24"/>
        <v>1156.0999999999999</v>
      </c>
      <c r="F157" s="5">
        <f t="shared" si="25"/>
        <v>1141.0999999999999</v>
      </c>
      <c r="Q157" s="12">
        <f t="shared" si="21"/>
        <v>123839.30264639991</v>
      </c>
      <c r="R157" s="12">
        <f t="shared" si="26"/>
        <v>121981.00030559997</v>
      </c>
      <c r="S157" s="12">
        <f t="shared" si="30"/>
        <v>1858.3023407999426</v>
      </c>
      <c r="T157" s="12">
        <f t="shared" si="31"/>
        <v>30947.104526399991</v>
      </c>
      <c r="U157" s="12">
        <f t="shared" si="27"/>
        <v>0.98499424414472048</v>
      </c>
      <c r="V157" s="12">
        <f t="shared" si="28"/>
        <v>0.20236374837965271</v>
      </c>
      <c r="W157" s="13">
        <f t="shared" si="29"/>
        <v>0.78263049576506782</v>
      </c>
      <c r="X157" s="16">
        <v>13.6</v>
      </c>
    </row>
    <row r="158" spans="4:24" x14ac:dyDescent="0.2">
      <c r="D158" s="5">
        <f t="shared" si="23"/>
        <v>1095</v>
      </c>
      <c r="E158" s="5">
        <f t="shared" si="24"/>
        <v>1163.5999999999999</v>
      </c>
      <c r="F158" s="5">
        <f t="shared" si="25"/>
        <v>1148.5999999999999</v>
      </c>
      <c r="Q158" s="12">
        <f t="shared" si="21"/>
        <v>124683.89179514992</v>
      </c>
      <c r="R158" s="12">
        <f t="shared" si="26"/>
        <v>122821.39852559997</v>
      </c>
      <c r="S158" s="12">
        <f t="shared" si="30"/>
        <v>1862.4932695499447</v>
      </c>
      <c r="T158" s="12">
        <f t="shared" si="31"/>
        <v>31157.204081399992</v>
      </c>
      <c r="U158" s="12">
        <f t="shared" si="27"/>
        <v>0.9850622783526044</v>
      </c>
      <c r="V158" s="12">
        <f t="shared" si="28"/>
        <v>0.20234762203241063</v>
      </c>
      <c r="W158" s="13">
        <f t="shared" si="29"/>
        <v>0.78271465632019377</v>
      </c>
      <c r="X158" s="16">
        <v>13.7</v>
      </c>
    </row>
    <row r="159" spans="4:24" x14ac:dyDescent="0.2">
      <c r="D159" s="5">
        <f t="shared" si="23"/>
        <v>1102.5</v>
      </c>
      <c r="E159" s="5">
        <f t="shared" si="24"/>
        <v>1171.0999999999999</v>
      </c>
      <c r="F159" s="5">
        <f t="shared" si="25"/>
        <v>1156.0999999999999</v>
      </c>
      <c r="Q159" s="12">
        <f t="shared" si="21"/>
        <v>125528.48094389991</v>
      </c>
      <c r="R159" s="12">
        <f t="shared" si="26"/>
        <v>123661.79674559998</v>
      </c>
      <c r="S159" s="12">
        <f t="shared" si="30"/>
        <v>1866.6841982999322</v>
      </c>
      <c r="T159" s="12">
        <f t="shared" si="31"/>
        <v>31367.303636399993</v>
      </c>
      <c r="U159" s="12">
        <f t="shared" si="27"/>
        <v>0.9851293970558429</v>
      </c>
      <c r="V159" s="12">
        <f t="shared" si="28"/>
        <v>0.20233171423371021</v>
      </c>
      <c r="W159" s="13">
        <f t="shared" si="29"/>
        <v>0.78279768282213269</v>
      </c>
      <c r="X159" s="16">
        <v>13.8</v>
      </c>
    </row>
    <row r="160" spans="4:24" x14ac:dyDescent="0.2">
      <c r="D160" s="5">
        <f t="shared" si="23"/>
        <v>1110</v>
      </c>
      <c r="E160" s="5">
        <f t="shared" si="24"/>
        <v>1178.5999999999999</v>
      </c>
      <c r="F160" s="5">
        <f t="shared" si="25"/>
        <v>1163.5999999999999</v>
      </c>
      <c r="Q160" s="12">
        <f t="shared" si="21"/>
        <v>126373.0700926499</v>
      </c>
      <c r="R160" s="12">
        <f t="shared" si="26"/>
        <v>124502.19496559996</v>
      </c>
      <c r="S160" s="12">
        <f t="shared" si="30"/>
        <v>1870.8751270499342</v>
      </c>
      <c r="T160" s="12">
        <f t="shared" si="31"/>
        <v>31577.40319139999</v>
      </c>
      <c r="U160" s="12">
        <f t="shared" si="27"/>
        <v>0.98519561861021254</v>
      </c>
      <c r="V160" s="12">
        <f t="shared" si="28"/>
        <v>0.20231602057071152</v>
      </c>
      <c r="W160" s="13">
        <f t="shared" si="29"/>
        <v>0.78287959803950102</v>
      </c>
      <c r="X160" s="16">
        <v>13.9</v>
      </c>
    </row>
    <row r="161" spans="4:24" x14ac:dyDescent="0.2">
      <c r="D161" s="5">
        <f t="shared" si="23"/>
        <v>1117.5</v>
      </c>
      <c r="E161" s="5">
        <f t="shared" si="24"/>
        <v>1186.0999999999999</v>
      </c>
      <c r="F161" s="5">
        <f t="shared" si="25"/>
        <v>1171.0999999999999</v>
      </c>
      <c r="Q161" s="12">
        <f t="shared" si="21"/>
        <v>127217.6592413999</v>
      </c>
      <c r="R161" s="12">
        <f t="shared" si="26"/>
        <v>125342.59318559997</v>
      </c>
      <c r="S161" s="12">
        <f t="shared" si="30"/>
        <v>1875.0660557999363</v>
      </c>
      <c r="T161" s="12">
        <f t="shared" si="31"/>
        <v>31787.50274639999</v>
      </c>
      <c r="U161" s="12">
        <f t="shared" si="27"/>
        <v>0.98526096088403947</v>
      </c>
      <c r="V161" s="12">
        <f t="shared" si="28"/>
        <v>0.20230053674858336</v>
      </c>
      <c r="W161" s="13">
        <f t="shared" si="29"/>
        <v>0.78296042413545608</v>
      </c>
      <c r="X161" s="16">
        <v>14</v>
      </c>
    </row>
    <row r="162" spans="4:24" x14ac:dyDescent="0.2">
      <c r="D162" s="5">
        <f t="shared" si="23"/>
        <v>1125</v>
      </c>
      <c r="E162" s="5">
        <f t="shared" si="24"/>
        <v>1193.5999999999999</v>
      </c>
      <c r="F162" s="5">
        <f t="shared" si="25"/>
        <v>1178.5999999999999</v>
      </c>
      <c r="Q162" s="12">
        <f t="shared" si="21"/>
        <v>128062.24839014991</v>
      </c>
      <c r="R162" s="12">
        <f t="shared" si="26"/>
        <v>126182.99140559997</v>
      </c>
      <c r="S162" s="12">
        <f t="shared" si="30"/>
        <v>1879.2569845499384</v>
      </c>
      <c r="T162" s="12">
        <f t="shared" si="31"/>
        <v>31997.602301399991</v>
      </c>
      <c r="U162" s="12">
        <f t="shared" si="27"/>
        <v>0.98532544127427268</v>
      </c>
      <c r="V162" s="12">
        <f t="shared" si="28"/>
        <v>0.20228525858658478</v>
      </c>
      <c r="W162" s="13">
        <f t="shared" si="29"/>
        <v>0.78304018268768794</v>
      </c>
      <c r="X162" s="16">
        <v>14.1</v>
      </c>
    </row>
    <row r="163" spans="4:24" x14ac:dyDescent="0.2">
      <c r="D163" s="5">
        <f t="shared" si="23"/>
        <v>1132.5</v>
      </c>
      <c r="E163" s="5">
        <f t="shared" si="24"/>
        <v>1201.0999999999999</v>
      </c>
      <c r="F163" s="5">
        <f t="shared" si="25"/>
        <v>1186.0999999999999</v>
      </c>
      <c r="Q163" s="12">
        <f t="shared" si="21"/>
        <v>128906.83753889991</v>
      </c>
      <c r="R163" s="12">
        <f t="shared" si="26"/>
        <v>127023.38962559997</v>
      </c>
      <c r="S163" s="12">
        <f t="shared" si="30"/>
        <v>1883.4479132999404</v>
      </c>
      <c r="T163" s="12">
        <f t="shared" si="31"/>
        <v>32207.701856399992</v>
      </c>
      <c r="U163" s="12">
        <f t="shared" si="27"/>
        <v>0.98538907672192655</v>
      </c>
      <c r="V163" s="12">
        <f t="shared" si="28"/>
        <v>0.2022701820143013</v>
      </c>
      <c r="W163" s="13">
        <f t="shared" si="29"/>
        <v>0.7831188947076253</v>
      </c>
      <c r="X163" s="16">
        <v>14.2</v>
      </c>
    </row>
    <row r="164" spans="4:24" x14ac:dyDescent="0.2">
      <c r="D164" s="5">
        <f t="shared" si="23"/>
        <v>1140</v>
      </c>
      <c r="E164" s="5">
        <f t="shared" si="24"/>
        <v>1208.5999999999999</v>
      </c>
      <c r="F164" s="5">
        <f t="shared" si="25"/>
        <v>1193.5999999999999</v>
      </c>
      <c r="Q164" s="12">
        <f t="shared" si="21"/>
        <v>129751.42668764992</v>
      </c>
      <c r="R164" s="12">
        <f t="shared" si="26"/>
        <v>127863.78784559997</v>
      </c>
      <c r="S164" s="12">
        <f t="shared" si="30"/>
        <v>1887.6388420499425</v>
      </c>
      <c r="T164" s="12">
        <f t="shared" si="31"/>
        <v>32417.801411399993</v>
      </c>
      <c r="U164" s="12">
        <f t="shared" si="27"/>
        <v>0.98545188372692005</v>
      </c>
      <c r="V164" s="12">
        <f t="shared" si="28"/>
        <v>0.20225530306802977</v>
      </c>
      <c r="W164" s="13">
        <f t="shared" si="29"/>
        <v>0.78319658065889031</v>
      </c>
      <c r="X164" s="16">
        <v>14.3</v>
      </c>
    </row>
    <row r="165" spans="4:24" x14ac:dyDescent="0.2">
      <c r="D165" s="5">
        <f t="shared" si="23"/>
        <v>1147.5</v>
      </c>
      <c r="E165" s="5">
        <f t="shared" si="24"/>
        <v>1216.0999999999999</v>
      </c>
      <c r="F165" s="5">
        <f t="shared" si="25"/>
        <v>1201.0999999999999</v>
      </c>
      <c r="Q165" s="12">
        <f t="shared" si="21"/>
        <v>130596.01583639989</v>
      </c>
      <c r="R165" s="12">
        <f t="shared" si="26"/>
        <v>128704.18606559996</v>
      </c>
      <c r="S165" s="12">
        <f t="shared" si="30"/>
        <v>1891.82977079993</v>
      </c>
      <c r="T165" s="12">
        <f t="shared" si="31"/>
        <v>32627.90096639999</v>
      </c>
      <c r="U165" s="12">
        <f t="shared" si="27"/>
        <v>0.9855138783623395</v>
      </c>
      <c r="V165" s="12">
        <f t="shared" si="28"/>
        <v>0.2022406178873041</v>
      </c>
      <c r="W165" s="13">
        <f t="shared" si="29"/>
        <v>0.78327326047503543</v>
      </c>
      <c r="X165" s="16">
        <v>14.4</v>
      </c>
    </row>
    <row r="166" spans="4:24" x14ac:dyDescent="0.2">
      <c r="D166" s="5">
        <f t="shared" si="23"/>
        <v>1155</v>
      </c>
      <c r="E166" s="5">
        <f t="shared" si="24"/>
        <v>1223.5999999999999</v>
      </c>
      <c r="F166" s="5">
        <f t="shared" si="25"/>
        <v>1208.5999999999999</v>
      </c>
      <c r="Q166" s="12">
        <f t="shared" si="21"/>
        <v>131440.6049851499</v>
      </c>
      <c r="R166" s="12">
        <f t="shared" si="26"/>
        <v>129544.58428559997</v>
      </c>
      <c r="S166" s="12">
        <f t="shared" si="30"/>
        <v>1896.020699549932</v>
      </c>
      <c r="T166" s="12">
        <f t="shared" si="31"/>
        <v>32838.00052139999</v>
      </c>
      <c r="U166" s="12">
        <f t="shared" si="27"/>
        <v>0.985575076288152</v>
      </c>
      <c r="V166" s="12">
        <f t="shared" si="28"/>
        <v>0.20222612271155582</v>
      </c>
      <c r="W166" s="13">
        <f t="shared" si="29"/>
        <v>0.78334895357659617</v>
      </c>
      <c r="X166" s="16">
        <v>14.5</v>
      </c>
    </row>
    <row r="167" spans="4:24" x14ac:dyDescent="0.2">
      <c r="D167" s="5">
        <f t="shared" si="23"/>
        <v>1162.5</v>
      </c>
      <c r="E167" s="5">
        <f t="shared" si="24"/>
        <v>1231.0999999999999</v>
      </c>
      <c r="F167" s="5">
        <f t="shared" si="25"/>
        <v>1216.0999999999999</v>
      </c>
      <c r="Q167" s="12">
        <f t="shared" si="21"/>
        <v>132285.1941338999</v>
      </c>
      <c r="R167" s="12">
        <f t="shared" si="26"/>
        <v>130384.98250559997</v>
      </c>
      <c r="S167" s="12">
        <f t="shared" si="30"/>
        <v>1900.2116282999341</v>
      </c>
      <c r="T167" s="12">
        <f t="shared" si="31"/>
        <v>33048.100076399991</v>
      </c>
      <c r="U167" s="12">
        <f t="shared" si="27"/>
        <v>0.98563549276439411</v>
      </c>
      <c r="V167" s="12">
        <f t="shared" si="28"/>
        <v>0.20221181387690362</v>
      </c>
      <c r="W167" s="13">
        <f t="shared" si="29"/>
        <v>0.78342367888749043</v>
      </c>
      <c r="X167" s="16">
        <v>14.6</v>
      </c>
    </row>
    <row r="168" spans="4:24" x14ac:dyDescent="0.2">
      <c r="D168" s="5">
        <f t="shared" si="23"/>
        <v>1170</v>
      </c>
      <c r="E168" s="5">
        <f t="shared" si="24"/>
        <v>1238.5999999999999</v>
      </c>
      <c r="F168" s="5">
        <f t="shared" si="25"/>
        <v>1223.5999999999999</v>
      </c>
      <c r="Q168" s="12">
        <f t="shared" si="21"/>
        <v>133129.78328264988</v>
      </c>
      <c r="R168" s="12">
        <f t="shared" si="26"/>
        <v>131225.38072559997</v>
      </c>
      <c r="S168" s="12">
        <f t="shared" si="30"/>
        <v>1904.402557049907</v>
      </c>
      <c r="T168" s="12">
        <f t="shared" si="31"/>
        <v>33258.199631399992</v>
      </c>
      <c r="U168" s="12">
        <f t="shared" si="27"/>
        <v>0.98569514266385727</v>
      </c>
      <c r="V168" s="12">
        <f t="shared" si="28"/>
        <v>0.20219768781306574</v>
      </c>
      <c r="W168" s="13">
        <f t="shared" si="29"/>
        <v>0.78349745485079159</v>
      </c>
      <c r="X168" s="16">
        <v>14.7</v>
      </c>
    </row>
    <row r="169" spans="4:24" x14ac:dyDescent="0.2">
      <c r="D169" s="5">
        <f t="shared" si="23"/>
        <v>1177.5</v>
      </c>
      <c r="E169" s="5">
        <f t="shared" si="24"/>
        <v>1246.0999999999999</v>
      </c>
      <c r="F169" s="5">
        <f t="shared" si="25"/>
        <v>1231.0999999999999</v>
      </c>
      <c r="Q169" s="12">
        <f t="shared" ref="Q169:Q194" si="32">($J$21*E160)+($L$21*E160)+($N$21*$B$12)+($P$21*$B$12)</f>
        <v>133974.37243139988</v>
      </c>
      <c r="R169" s="12">
        <f t="shared" si="26"/>
        <v>132065.77894559997</v>
      </c>
      <c r="S169" s="12">
        <f t="shared" si="30"/>
        <v>1908.5934857999091</v>
      </c>
      <c r="T169" s="12">
        <f t="shared" si="31"/>
        <v>33468.299186399992</v>
      </c>
      <c r="U169" s="12">
        <f t="shared" si="27"/>
        <v>0.98575404048429349</v>
      </c>
      <c r="V169" s="12">
        <f t="shared" si="28"/>
        <v>0.20218374104039016</v>
      </c>
      <c r="W169" s="13">
        <f t="shared" si="29"/>
        <v>0.78357029944390333</v>
      </c>
      <c r="X169" s="16">
        <v>14.8</v>
      </c>
    </row>
    <row r="170" spans="4:24" x14ac:dyDescent="0.2">
      <c r="D170" s="5">
        <f t="shared" si="23"/>
        <v>1185</v>
      </c>
      <c r="E170" s="5">
        <f t="shared" si="24"/>
        <v>1253.5999999999999</v>
      </c>
      <c r="F170" s="5">
        <f t="shared" si="25"/>
        <v>1238.5999999999999</v>
      </c>
      <c r="Q170" s="12">
        <f t="shared" si="32"/>
        <v>134818.96158014989</v>
      </c>
      <c r="R170" s="12">
        <f t="shared" si="26"/>
        <v>132906.17716559998</v>
      </c>
      <c r="S170" s="12">
        <f t="shared" si="30"/>
        <v>1912.7844145499112</v>
      </c>
      <c r="T170" s="12">
        <f t="shared" si="31"/>
        <v>33678.398741399993</v>
      </c>
      <c r="U170" s="12">
        <f t="shared" si="27"/>
        <v>0.98581220036016404</v>
      </c>
      <c r="V170" s="12">
        <f t="shared" si="28"/>
        <v>0.20216997016699678</v>
      </c>
      <c r="W170" s="13">
        <f t="shared" si="29"/>
        <v>0.78364223019316726</v>
      </c>
      <c r="X170" s="16">
        <v>14.9</v>
      </c>
    </row>
    <row r="171" spans="4:24" x14ac:dyDescent="0.2">
      <c r="D171" s="5">
        <f t="shared" si="23"/>
        <v>1192.5</v>
      </c>
      <c r="E171" s="5">
        <f t="shared" si="24"/>
        <v>1261.0999999999999</v>
      </c>
      <c r="F171" s="5">
        <f t="shared" si="25"/>
        <v>1246.0999999999999</v>
      </c>
      <c r="Q171" s="12">
        <f t="shared" si="32"/>
        <v>135663.55072889989</v>
      </c>
      <c r="R171" s="12">
        <f t="shared" si="26"/>
        <v>133746.57538559998</v>
      </c>
      <c r="S171" s="12">
        <f t="shared" si="30"/>
        <v>1916.9753432999132</v>
      </c>
      <c r="T171" s="12">
        <f t="shared" si="31"/>
        <v>33888.498296399994</v>
      </c>
      <c r="U171" s="12">
        <f t="shared" si="27"/>
        <v>0.98586963607394695</v>
      </c>
      <c r="V171" s="12">
        <f t="shared" si="28"/>
        <v>0.20215637188602739</v>
      </c>
      <c r="W171" s="13">
        <f t="shared" si="29"/>
        <v>0.78371326418791953</v>
      </c>
      <c r="X171" s="16">
        <v>15</v>
      </c>
    </row>
    <row r="172" spans="4:24" x14ac:dyDescent="0.2">
      <c r="D172" s="5">
        <f t="shared" ref="D172:D203" si="33">75*X181</f>
        <v>1200</v>
      </c>
      <c r="E172" s="5">
        <f t="shared" si="24"/>
        <v>1268.5999999999999</v>
      </c>
      <c r="F172" s="5">
        <f t="shared" si="25"/>
        <v>1253.5999999999999</v>
      </c>
      <c r="Q172" s="12">
        <f t="shared" si="32"/>
        <v>136508.1398776499</v>
      </c>
      <c r="R172" s="12">
        <f t="shared" si="26"/>
        <v>134586.97360559998</v>
      </c>
      <c r="S172" s="12">
        <f t="shared" si="30"/>
        <v>1921.1662720499153</v>
      </c>
      <c r="T172" s="12">
        <f t="shared" si="31"/>
        <v>34098.597851399994</v>
      </c>
      <c r="U172" s="12">
        <f t="shared" si="27"/>
        <v>0.98592636106702625</v>
      </c>
      <c r="V172" s="12">
        <f t="shared" si="28"/>
        <v>0.2021429429729984</v>
      </c>
      <c r="W172" s="13">
        <f t="shared" si="29"/>
        <v>0.78378341809402785</v>
      </c>
      <c r="X172" s="16">
        <v>15.1</v>
      </c>
    </row>
    <row r="173" spans="4:24" x14ac:dyDescent="0.2">
      <c r="D173" s="5">
        <f t="shared" si="33"/>
        <v>1207.5</v>
      </c>
      <c r="E173" s="5">
        <f t="shared" si="24"/>
        <v>1276.0999999999999</v>
      </c>
      <c r="F173" s="5">
        <f t="shared" si="25"/>
        <v>1261.0999999999999</v>
      </c>
      <c r="Q173" s="12">
        <f t="shared" si="32"/>
        <v>137352.72902639987</v>
      </c>
      <c r="R173" s="12">
        <f t="shared" si="26"/>
        <v>135427.37182559996</v>
      </c>
      <c r="S173" s="12">
        <f t="shared" si="30"/>
        <v>1925.3572007999173</v>
      </c>
      <c r="T173" s="12">
        <f t="shared" si="31"/>
        <v>34308.697406399988</v>
      </c>
      <c r="U173" s="12">
        <f t="shared" si="27"/>
        <v>0.98598238845017883</v>
      </c>
      <c r="V173" s="12">
        <f t="shared" si="28"/>
        <v>0.20212968028325148</v>
      </c>
      <c r="W173" s="13">
        <f t="shared" si="29"/>
        <v>0.78385270816692731</v>
      </c>
      <c r="X173" s="16">
        <v>15.2</v>
      </c>
    </row>
    <row r="174" spans="4:24" x14ac:dyDescent="0.2">
      <c r="D174" s="5">
        <f t="shared" si="33"/>
        <v>1215</v>
      </c>
      <c r="E174" s="5">
        <f t="shared" si="24"/>
        <v>1283.5999999999999</v>
      </c>
      <c r="F174" s="5">
        <f t="shared" si="25"/>
        <v>1268.5999999999999</v>
      </c>
      <c r="Q174" s="12">
        <f t="shared" si="32"/>
        <v>138197.31817514988</v>
      </c>
      <c r="R174" s="12">
        <f t="shared" si="26"/>
        <v>136267.77004559996</v>
      </c>
      <c r="S174" s="12">
        <f t="shared" si="30"/>
        <v>1929.5481295499194</v>
      </c>
      <c r="T174" s="12">
        <f t="shared" si="31"/>
        <v>34518.796961399989</v>
      </c>
      <c r="U174" s="12">
        <f t="shared" si="27"/>
        <v>0.98603773101367687</v>
      </c>
      <c r="V174" s="12">
        <f t="shared" si="28"/>
        <v>0.20211658074949879</v>
      </c>
      <c r="W174" s="13">
        <f t="shared" si="29"/>
        <v>0.78392115026417808</v>
      </c>
      <c r="X174" s="16">
        <v>15.3</v>
      </c>
    </row>
    <row r="175" spans="4:24" x14ac:dyDescent="0.2">
      <c r="D175" s="5">
        <f t="shared" si="33"/>
        <v>1222.5</v>
      </c>
      <c r="E175" s="5">
        <f t="shared" si="24"/>
        <v>1291.0999999999999</v>
      </c>
      <c r="F175" s="5">
        <f t="shared" si="25"/>
        <v>1276.0999999999999</v>
      </c>
      <c r="Q175" s="12">
        <f t="shared" si="32"/>
        <v>139041.90732389988</v>
      </c>
      <c r="R175" s="12">
        <f t="shared" si="26"/>
        <v>137108.16826559996</v>
      </c>
      <c r="S175" s="12">
        <f t="shared" si="30"/>
        <v>1933.7390582999215</v>
      </c>
      <c r="T175" s="12">
        <f t="shared" si="31"/>
        <v>34728.896516399989</v>
      </c>
      <c r="U175" s="12">
        <f t="shared" si="27"/>
        <v>0.98609240123702235</v>
      </c>
      <c r="V175" s="12">
        <f t="shared" si="28"/>
        <v>0.20210364137945788</v>
      </c>
      <c r="W175" s="13">
        <f t="shared" si="29"/>
        <v>0.78398875985756444</v>
      </c>
      <c r="X175" s="16">
        <v>15.4</v>
      </c>
    </row>
    <row r="176" spans="4:24" x14ac:dyDescent="0.2">
      <c r="D176" s="5">
        <f t="shared" si="33"/>
        <v>1230</v>
      </c>
      <c r="E176" s="5">
        <f t="shared" si="24"/>
        <v>1298.5999999999999</v>
      </c>
      <c r="F176" s="5">
        <f t="shared" si="25"/>
        <v>1283.5999999999999</v>
      </c>
      <c r="Q176" s="12">
        <f t="shared" si="32"/>
        <v>139886.49647264989</v>
      </c>
      <c r="R176" s="12">
        <f t="shared" si="26"/>
        <v>137948.56648559996</v>
      </c>
      <c r="S176" s="12">
        <f t="shared" si="30"/>
        <v>1937.9299870499235</v>
      </c>
      <c r="T176" s="12">
        <f t="shared" si="31"/>
        <v>34938.99607139999</v>
      </c>
      <c r="U176" s="12">
        <f t="shared" si="27"/>
        <v>0.98614641129832847</v>
      </c>
      <c r="V176" s="12">
        <f t="shared" si="28"/>
        <v>0.20209085925357306</v>
      </c>
      <c r="W176" s="13">
        <f t="shared" si="29"/>
        <v>0.78405555204475541</v>
      </c>
      <c r="X176" s="16">
        <v>15.5</v>
      </c>
    </row>
    <row r="177" spans="4:24" x14ac:dyDescent="0.2">
      <c r="D177" s="5">
        <f t="shared" si="33"/>
        <v>1237.5</v>
      </c>
      <c r="E177" s="5">
        <f t="shared" si="24"/>
        <v>1306.0999999999999</v>
      </c>
      <c r="F177" s="5">
        <f t="shared" si="25"/>
        <v>1291.0999999999999</v>
      </c>
      <c r="Q177" s="12">
        <f t="shared" si="32"/>
        <v>140731.08562139989</v>
      </c>
      <c r="R177" s="12">
        <f t="shared" si="26"/>
        <v>138788.96470559997</v>
      </c>
      <c r="S177" s="12">
        <f t="shared" si="30"/>
        <v>1942.1209157999256</v>
      </c>
      <c r="T177" s="12">
        <f t="shared" si="31"/>
        <v>35149.095626399991</v>
      </c>
      <c r="U177" s="12">
        <f t="shared" si="27"/>
        <v>0.98619977308336348</v>
      </c>
      <c r="V177" s="12">
        <f t="shared" si="28"/>
        <v>0.20207823152281923</v>
      </c>
      <c r="W177" s="13">
        <f t="shared" si="29"/>
        <v>0.78412154156054426</v>
      </c>
      <c r="X177" s="16">
        <v>15.6</v>
      </c>
    </row>
    <row r="178" spans="4:24" x14ac:dyDescent="0.2">
      <c r="D178" s="5">
        <f t="shared" si="33"/>
        <v>1245</v>
      </c>
      <c r="E178" s="5">
        <f t="shared" si="24"/>
        <v>1313.6</v>
      </c>
      <c r="F178" s="5">
        <f t="shared" si="25"/>
        <v>1298.5999999999999</v>
      </c>
      <c r="Q178" s="12">
        <f t="shared" si="32"/>
        <v>141575.6747701499</v>
      </c>
      <c r="R178" s="12">
        <f t="shared" si="26"/>
        <v>139629.36292559997</v>
      </c>
      <c r="S178" s="12">
        <f t="shared" si="30"/>
        <v>1946.3118445499276</v>
      </c>
      <c r="T178" s="12">
        <f t="shared" si="31"/>
        <v>35359.195181399991</v>
      </c>
      <c r="U178" s="12">
        <f t="shared" si="27"/>
        <v>0.98625249819427108</v>
      </c>
      <c r="V178" s="12">
        <f t="shared" si="28"/>
        <v>0.20206575540658472</v>
      </c>
      <c r="W178" s="13">
        <f t="shared" si="29"/>
        <v>0.7841867427876863</v>
      </c>
      <c r="X178" s="16">
        <v>15.7</v>
      </c>
    </row>
    <row r="179" spans="4:24" x14ac:dyDescent="0.2">
      <c r="D179" s="5">
        <f t="shared" si="33"/>
        <v>1252.5</v>
      </c>
      <c r="E179" s="5">
        <f t="shared" si="24"/>
        <v>1321.1</v>
      </c>
      <c r="F179" s="5">
        <f t="shared" si="25"/>
        <v>1306.0999999999999</v>
      </c>
      <c r="Q179" s="12">
        <f t="shared" si="32"/>
        <v>142420.2639188999</v>
      </c>
      <c r="R179" s="12">
        <f t="shared" si="26"/>
        <v>140469.76114559997</v>
      </c>
      <c r="S179" s="12">
        <f t="shared" si="30"/>
        <v>1950.5027732999297</v>
      </c>
      <c r="T179" s="12">
        <f t="shared" si="31"/>
        <v>35569.294736399992</v>
      </c>
      <c r="U179" s="12">
        <f t="shared" si="27"/>
        <v>0.98630459795797998</v>
      </c>
      <c r="V179" s="12">
        <f t="shared" si="28"/>
        <v>0.20205342819063007</v>
      </c>
      <c r="W179" s="13">
        <f t="shared" si="29"/>
        <v>0.78425116976734988</v>
      </c>
      <c r="X179" s="16">
        <v>15.8</v>
      </c>
    </row>
    <row r="180" spans="4:24" x14ac:dyDescent="0.2">
      <c r="D180" s="5">
        <f t="shared" si="33"/>
        <v>1260</v>
      </c>
      <c r="E180" s="5">
        <f t="shared" si="24"/>
        <v>1328.6</v>
      </c>
      <c r="F180" s="5">
        <f t="shared" si="25"/>
        <v>1313.6</v>
      </c>
      <c r="Q180" s="12">
        <f t="shared" si="32"/>
        <v>143264.85306764988</v>
      </c>
      <c r="R180" s="12">
        <f t="shared" si="26"/>
        <v>141310.15936559997</v>
      </c>
      <c r="S180" s="12">
        <f t="shared" si="30"/>
        <v>1954.6937020499026</v>
      </c>
      <c r="T180" s="12">
        <f t="shared" si="31"/>
        <v>35779.394291399993</v>
      </c>
      <c r="U180" s="12">
        <f t="shared" si="27"/>
        <v>0.98635608343431658</v>
      </c>
      <c r="V180" s="12">
        <f t="shared" si="28"/>
        <v>0.20204124722511951</v>
      </c>
      <c r="W180" s="13">
        <f t="shared" si="29"/>
        <v>0.78431483620919706</v>
      </c>
      <c r="X180" s="16">
        <v>15.9</v>
      </c>
    </row>
    <row r="181" spans="4:24" x14ac:dyDescent="0.2">
      <c r="D181" s="5">
        <f t="shared" si="33"/>
        <v>1267.5</v>
      </c>
      <c r="E181" s="5">
        <f t="shared" si="24"/>
        <v>1336.1</v>
      </c>
      <c r="F181" s="5">
        <f t="shared" si="25"/>
        <v>1321.1</v>
      </c>
      <c r="Q181" s="12">
        <f t="shared" si="32"/>
        <v>144109.44221639988</v>
      </c>
      <c r="R181" s="12">
        <f t="shared" si="26"/>
        <v>142150.55758559998</v>
      </c>
      <c r="S181" s="12">
        <f t="shared" si="30"/>
        <v>1958.8846307999047</v>
      </c>
      <c r="T181" s="12">
        <f t="shared" si="31"/>
        <v>35989.493846399993</v>
      </c>
      <c r="U181" s="12">
        <f t="shared" si="27"/>
        <v>0.98640696542383133</v>
      </c>
      <c r="V181" s="12">
        <f t="shared" si="28"/>
        <v>0.20202920992272186</v>
      </c>
      <c r="W181" s="13">
        <f t="shared" si="29"/>
        <v>0.78437775550110944</v>
      </c>
      <c r="X181" s="16">
        <v>16</v>
      </c>
    </row>
    <row r="182" spans="4:24" x14ac:dyDescent="0.2">
      <c r="D182" s="5">
        <f t="shared" si="33"/>
        <v>1275</v>
      </c>
      <c r="E182" s="5">
        <f t="shared" si="24"/>
        <v>1343.6</v>
      </c>
      <c r="F182" s="5">
        <f t="shared" si="25"/>
        <v>1328.6</v>
      </c>
      <c r="Q182" s="12">
        <f t="shared" si="32"/>
        <v>144954.03136514989</v>
      </c>
      <c r="R182" s="12">
        <f t="shared" si="26"/>
        <v>142990.95580559998</v>
      </c>
      <c r="S182" s="12">
        <f t="shared" si="30"/>
        <v>1963.0755595499068</v>
      </c>
      <c r="T182" s="12">
        <f t="shared" si="31"/>
        <v>36199.593401399994</v>
      </c>
      <c r="U182" s="12">
        <f t="shared" si="27"/>
        <v>0.98645725447535315</v>
      </c>
      <c r="V182" s="12">
        <f t="shared" si="28"/>
        <v>0.20201731375677864</v>
      </c>
      <c r="W182" s="13">
        <f t="shared" si="29"/>
        <v>0.78443994071857448</v>
      </c>
      <c r="X182" s="16">
        <v>16.100000000000001</v>
      </c>
    </row>
    <row r="183" spans="4:24" x14ac:dyDescent="0.2">
      <c r="D183" s="5">
        <f t="shared" si="33"/>
        <v>1282.5</v>
      </c>
      <c r="E183" s="5">
        <f t="shared" si="24"/>
        <v>1351.1</v>
      </c>
      <c r="F183" s="5">
        <f t="shared" si="25"/>
        <v>1336.1</v>
      </c>
      <c r="Q183" s="12">
        <f t="shared" si="32"/>
        <v>145798.62051389986</v>
      </c>
      <c r="R183" s="12">
        <f t="shared" si="26"/>
        <v>143831.35402559995</v>
      </c>
      <c r="S183" s="12">
        <f t="shared" si="30"/>
        <v>1967.2664882999088</v>
      </c>
      <c r="T183" s="12">
        <f t="shared" si="31"/>
        <v>36409.692956399987</v>
      </c>
      <c r="U183" s="12">
        <f t="shared" si="27"/>
        <v>0.98650696089327983</v>
      </c>
      <c r="V183" s="12">
        <f t="shared" si="28"/>
        <v>0.20200555625953559</v>
      </c>
      <c r="W183" s="13">
        <f t="shared" si="29"/>
        <v>0.78450140463374418</v>
      </c>
      <c r="X183" s="16">
        <v>16.2</v>
      </c>
    </row>
    <row r="184" spans="4:24" x14ac:dyDescent="0.2">
      <c r="D184" s="5">
        <f t="shared" si="33"/>
        <v>1290</v>
      </c>
      <c r="E184" s="5">
        <f t="shared" si="24"/>
        <v>1358.6</v>
      </c>
      <c r="F184" s="5">
        <f t="shared" si="25"/>
        <v>1343.6</v>
      </c>
      <c r="Q184" s="12">
        <f t="shared" si="32"/>
        <v>146643.20966264987</v>
      </c>
      <c r="R184" s="12">
        <f t="shared" si="26"/>
        <v>144671.75224559996</v>
      </c>
      <c r="S184" s="12">
        <f t="shared" si="30"/>
        <v>1971.4574170499109</v>
      </c>
      <c r="T184" s="12">
        <f t="shared" si="31"/>
        <v>36619.792511399988</v>
      </c>
      <c r="U184" s="12">
        <f t="shared" si="27"/>
        <v>0.98655609474461714</v>
      </c>
      <c r="V184" s="12">
        <f t="shared" si="28"/>
        <v>0.20199393502043642</v>
      </c>
      <c r="W184" s="13">
        <f t="shared" si="29"/>
        <v>0.78456215972418075</v>
      </c>
      <c r="X184" s="16">
        <v>16.3</v>
      </c>
    </row>
    <row r="185" spans="4:24" x14ac:dyDescent="0.2">
      <c r="D185" s="5">
        <f t="shared" si="33"/>
        <v>1297.5</v>
      </c>
      <c r="E185" s="5">
        <f t="shared" si="24"/>
        <v>1366.1</v>
      </c>
      <c r="F185" s="5">
        <f t="shared" si="25"/>
        <v>1351.1</v>
      </c>
      <c r="Q185" s="12">
        <f t="shared" si="32"/>
        <v>147487.79881139987</v>
      </c>
      <c r="R185" s="12">
        <f t="shared" si="26"/>
        <v>145512.15046559996</v>
      </c>
      <c r="S185" s="12">
        <f t="shared" si="30"/>
        <v>1975.6483457999129</v>
      </c>
      <c r="T185" s="12">
        <f t="shared" si="31"/>
        <v>36829.892066399989</v>
      </c>
      <c r="U185" s="12">
        <f t="shared" si="27"/>
        <v>0.986604665865776</v>
      </c>
      <c r="V185" s="12">
        <f t="shared" si="28"/>
        <v>0.20198244768447499</v>
      </c>
      <c r="W185" s="13">
        <f t="shared" si="29"/>
        <v>0.78462221818130096</v>
      </c>
      <c r="X185" s="16">
        <v>16.399999999999999</v>
      </c>
    </row>
    <row r="186" spans="4:24" x14ac:dyDescent="0.2">
      <c r="D186" s="5">
        <f t="shared" si="33"/>
        <v>1305</v>
      </c>
      <c r="E186" s="5">
        <f t="shared" si="24"/>
        <v>1373.6</v>
      </c>
      <c r="F186" s="5">
        <f t="shared" si="25"/>
        <v>1358.6</v>
      </c>
      <c r="Q186" s="12">
        <f t="shared" si="32"/>
        <v>148332.38796014988</v>
      </c>
      <c r="R186" s="12">
        <f t="shared" si="26"/>
        <v>146352.54868559996</v>
      </c>
      <c r="S186" s="12">
        <f t="shared" si="30"/>
        <v>1979.839274549915</v>
      </c>
      <c r="T186" s="12">
        <f t="shared" si="31"/>
        <v>37039.99162139999</v>
      </c>
      <c r="U186" s="12">
        <f t="shared" si="27"/>
        <v>0.98665268386913718</v>
      </c>
      <c r="V186" s="12">
        <f t="shared" si="28"/>
        <v>0.20197109195060428</v>
      </c>
      <c r="W186" s="13">
        <f t="shared" si="29"/>
        <v>0.78468159191853293</v>
      </c>
      <c r="X186" s="16">
        <v>16.5</v>
      </c>
    </row>
    <row r="187" spans="4:24" x14ac:dyDescent="0.2">
      <c r="D187" s="5">
        <f t="shared" si="33"/>
        <v>1312.5</v>
      </c>
      <c r="E187" s="5">
        <f t="shared" si="24"/>
        <v>1381.1</v>
      </c>
      <c r="F187" s="5">
        <f t="shared" si="25"/>
        <v>1366.1</v>
      </c>
      <c r="Q187" s="12">
        <f t="shared" si="32"/>
        <v>149176.97710889988</v>
      </c>
      <c r="R187" s="12">
        <f t="shared" si="26"/>
        <v>147192.94690559997</v>
      </c>
      <c r="S187" s="12">
        <f t="shared" si="30"/>
        <v>1984.030203299917</v>
      </c>
      <c r="T187" s="12">
        <f t="shared" si="31"/>
        <v>37250.09117639999</v>
      </c>
      <c r="U187" s="12">
        <f t="shared" si="27"/>
        <v>0.98670015814939349</v>
      </c>
      <c r="V187" s="12">
        <f t="shared" si="28"/>
        <v>0.20195986557019999</v>
      </c>
      <c r="W187" s="13">
        <f t="shared" si="29"/>
        <v>0.78474029257919353</v>
      </c>
      <c r="X187" s="16">
        <v>16.600000000000001</v>
      </c>
    </row>
    <row r="188" spans="4:24" x14ac:dyDescent="0.2">
      <c r="D188" s="5">
        <f t="shared" si="33"/>
        <v>1320</v>
      </c>
      <c r="E188" s="5">
        <f t="shared" si="24"/>
        <v>1388.6</v>
      </c>
      <c r="F188" s="5">
        <f t="shared" si="25"/>
        <v>1373.6</v>
      </c>
      <c r="Q188" s="12">
        <f t="shared" si="32"/>
        <v>150021.56625764989</v>
      </c>
      <c r="R188" s="12">
        <f t="shared" si="26"/>
        <v>148033.34512559997</v>
      </c>
      <c r="S188" s="12">
        <f t="shared" si="30"/>
        <v>1988.2211320499191</v>
      </c>
      <c r="T188" s="12">
        <f t="shared" si="31"/>
        <v>37460.190731399991</v>
      </c>
      <c r="U188" s="12">
        <f t="shared" si="27"/>
        <v>0.98674709788967729</v>
      </c>
      <c r="V188" s="12">
        <f t="shared" si="28"/>
        <v>0.2019487663455759</v>
      </c>
      <c r="W188" s="13">
        <f t="shared" si="29"/>
        <v>0.78479833154410139</v>
      </c>
      <c r="X188" s="16">
        <v>16.7</v>
      </c>
    </row>
    <row r="189" spans="4:24" x14ac:dyDescent="0.2">
      <c r="D189" s="5">
        <f t="shared" si="33"/>
        <v>1327.5</v>
      </c>
      <c r="E189" s="5">
        <f t="shared" si="24"/>
        <v>1396.1</v>
      </c>
      <c r="F189" s="5">
        <f t="shared" si="25"/>
        <v>1381.1</v>
      </c>
      <c r="Q189" s="12">
        <f t="shared" si="32"/>
        <v>150866.15540639989</v>
      </c>
      <c r="R189" s="12">
        <f t="shared" si="26"/>
        <v>148873.74334559997</v>
      </c>
      <c r="S189" s="12">
        <f t="shared" si="30"/>
        <v>1992.4120607999212</v>
      </c>
      <c r="T189" s="12">
        <f t="shared" si="31"/>
        <v>37670.290286399992</v>
      </c>
      <c r="U189" s="12">
        <f t="shared" si="27"/>
        <v>0.98679351206748256</v>
      </c>
      <c r="V189" s="12">
        <f t="shared" si="28"/>
        <v>0.20193779212854968</v>
      </c>
      <c r="W189" s="13">
        <f t="shared" si="29"/>
        <v>0.78485571993893288</v>
      </c>
      <c r="X189" s="16">
        <v>16.8</v>
      </c>
    </row>
    <row r="190" spans="4:24" x14ac:dyDescent="0.2">
      <c r="D190" s="5">
        <f t="shared" si="33"/>
        <v>1335</v>
      </c>
      <c r="E190" s="5">
        <f t="shared" si="24"/>
        <v>1403.6</v>
      </c>
      <c r="F190" s="5">
        <f t="shared" si="25"/>
        <v>1388.6</v>
      </c>
      <c r="Q190" s="12">
        <f t="shared" si="32"/>
        <v>151710.7445551499</v>
      </c>
      <c r="R190" s="12">
        <f t="shared" si="26"/>
        <v>149714.14156559997</v>
      </c>
      <c r="S190" s="12">
        <f t="shared" si="30"/>
        <v>1996.6029895499232</v>
      </c>
      <c r="T190" s="12">
        <f t="shared" si="31"/>
        <v>37880.389841399992</v>
      </c>
      <c r="U190" s="12">
        <f t="shared" si="27"/>
        <v>0.98683940946038851</v>
      </c>
      <c r="V190" s="12">
        <f t="shared" si="28"/>
        <v>0.20192694081905688</v>
      </c>
      <c r="W190" s="13">
        <f t="shared" si="29"/>
        <v>0.78491246864133157</v>
      </c>
      <c r="X190" s="16">
        <v>16.899999999999999</v>
      </c>
    </row>
    <row r="191" spans="4:24" x14ac:dyDescent="0.2">
      <c r="D191" s="5">
        <f t="shared" si="33"/>
        <v>1342.5</v>
      </c>
      <c r="E191" s="5">
        <f t="shared" si="24"/>
        <v>1411.1</v>
      </c>
      <c r="F191" s="5">
        <f t="shared" si="25"/>
        <v>1396.1</v>
      </c>
      <c r="Q191" s="12">
        <f t="shared" si="32"/>
        <v>152555.3337038999</v>
      </c>
      <c r="R191" s="12">
        <f t="shared" si="26"/>
        <v>150554.53978559998</v>
      </c>
      <c r="S191" s="12">
        <f t="shared" si="30"/>
        <v>2000.7939182999253</v>
      </c>
      <c r="T191" s="12">
        <f t="shared" si="31"/>
        <v>38090.489396399993</v>
      </c>
      <c r="U191" s="12">
        <f t="shared" si="27"/>
        <v>0.98688479865159395</v>
      </c>
      <c r="V191" s="12">
        <f t="shared" si="28"/>
        <v>0.2019162103638111</v>
      </c>
      <c r="W191" s="13">
        <f t="shared" si="29"/>
        <v>0.78496858828778282</v>
      </c>
      <c r="X191" s="16">
        <v>17</v>
      </c>
    </row>
    <row r="192" spans="4:24" x14ac:dyDescent="0.2">
      <c r="D192" s="5">
        <f t="shared" si="33"/>
        <v>1350</v>
      </c>
      <c r="E192" s="5">
        <f t="shared" si="24"/>
        <v>1418.6</v>
      </c>
      <c r="F192" s="5">
        <f t="shared" si="25"/>
        <v>1403.6</v>
      </c>
      <c r="Q192" s="12">
        <f t="shared" si="32"/>
        <v>153399.92285264988</v>
      </c>
      <c r="R192" s="12">
        <f t="shared" si="26"/>
        <v>151394.93800559998</v>
      </c>
      <c r="S192" s="12">
        <f t="shared" si="30"/>
        <v>2004.9848470498982</v>
      </c>
      <c r="T192" s="12">
        <f t="shared" si="31"/>
        <v>38300.588951399994</v>
      </c>
      <c r="U192" s="12">
        <f t="shared" si="27"/>
        <v>0.98692968803526837</v>
      </c>
      <c r="V192" s="12">
        <f t="shared" si="28"/>
        <v>0.20190559875500882</v>
      </c>
      <c r="W192" s="13">
        <f t="shared" si="29"/>
        <v>0.78502408928025957</v>
      </c>
      <c r="X192" s="16">
        <v>17.100000000000001</v>
      </c>
    </row>
    <row r="193" spans="4:24" x14ac:dyDescent="0.2">
      <c r="D193" s="5">
        <f t="shared" si="33"/>
        <v>1357.5</v>
      </c>
      <c r="E193" s="5">
        <f t="shared" si="24"/>
        <v>1426.1</v>
      </c>
      <c r="F193" s="5">
        <f t="shared" si="25"/>
        <v>1411.1</v>
      </c>
      <c r="Q193" s="12">
        <f t="shared" si="32"/>
        <v>154244.51200139985</v>
      </c>
      <c r="R193" s="12">
        <f t="shared" si="26"/>
        <v>152235.33622559995</v>
      </c>
      <c r="S193" s="12">
        <f t="shared" si="30"/>
        <v>2009.1757757999003</v>
      </c>
      <c r="T193" s="12">
        <f t="shared" si="31"/>
        <v>38510.688506399987</v>
      </c>
      <c r="U193" s="12">
        <f t="shared" si="27"/>
        <v>0.98697408582172652</v>
      </c>
      <c r="V193" s="12">
        <f t="shared" si="28"/>
        <v>0.20189510402907682</v>
      </c>
      <c r="W193" s="13">
        <f t="shared" si="29"/>
        <v>0.78507898179264968</v>
      </c>
      <c r="X193" s="16">
        <v>17.2</v>
      </c>
    </row>
    <row r="194" spans="4:24" x14ac:dyDescent="0.2">
      <c r="D194" s="5">
        <f t="shared" si="33"/>
        <v>1365</v>
      </c>
      <c r="E194" s="5">
        <f t="shared" si="24"/>
        <v>1433.6</v>
      </c>
      <c r="F194" s="5">
        <f t="shared" si="25"/>
        <v>1418.6</v>
      </c>
      <c r="Q194" s="12">
        <f t="shared" si="32"/>
        <v>155089.10115014986</v>
      </c>
      <c r="R194" s="12">
        <f t="shared" si="26"/>
        <v>153075.73444559996</v>
      </c>
      <c r="S194" s="12">
        <f t="shared" si="30"/>
        <v>2013.3667045499024</v>
      </c>
      <c r="T194" s="12">
        <f t="shared" si="31"/>
        <v>38720.788061399988</v>
      </c>
      <c r="U194" s="12">
        <f t="shared" si="27"/>
        <v>0.98701800004243589</v>
      </c>
      <c r="V194" s="12">
        <f t="shared" si="28"/>
        <v>0.20188472426546109</v>
      </c>
      <c r="W194" s="13">
        <f t="shared" si="29"/>
        <v>0.78513327577697478</v>
      </c>
      <c r="X194" s="16">
        <v>17.3</v>
      </c>
    </row>
    <row r="195" spans="4:24" x14ac:dyDescent="0.2">
      <c r="D195" s="5">
        <f t="shared" si="33"/>
        <v>1372.5</v>
      </c>
      <c r="E195" s="5">
        <f t="shared" si="24"/>
        <v>1441.1</v>
      </c>
      <c r="F195" s="5">
        <f t="shared" si="25"/>
        <v>1426.1</v>
      </c>
      <c r="Q195" s="12">
        <f>($J$21*E186)+($L$21*E186)+($N$21*$B$12)+($P$21*$B$12)</f>
        <v>155933.69029889986</v>
      </c>
      <c r="R195" s="12">
        <f t="shared" si="26"/>
        <v>153916.13266559996</v>
      </c>
      <c r="S195" s="12">
        <f t="shared" si="30"/>
        <v>2017.5576332999044</v>
      </c>
      <c r="T195" s="12">
        <f t="shared" si="31"/>
        <v>38930.887616399988</v>
      </c>
      <c r="U195" s="12">
        <f t="shared" si="27"/>
        <v>0.98706143855485895</v>
      </c>
      <c r="V195" s="12">
        <f t="shared" si="28"/>
        <v>0.20187445758545505</v>
      </c>
      <c r="W195" s="13">
        <f t="shared" si="29"/>
        <v>0.78518698096940387</v>
      </c>
      <c r="X195" s="16">
        <v>17.399999999999999</v>
      </c>
    </row>
    <row r="196" spans="4:24" x14ac:dyDescent="0.2">
      <c r="D196" s="5">
        <f t="shared" si="33"/>
        <v>1380</v>
      </c>
      <c r="E196" s="5">
        <f t="shared" si="24"/>
        <v>1448.6</v>
      </c>
      <c r="F196" s="5">
        <f t="shared" si="25"/>
        <v>1433.6</v>
      </c>
      <c r="Q196" s="12">
        <f>($J$21*E187)+($L$21*E187)+($N$21*$B$12)+($P$21*$B$12)</f>
        <v>156778.27944764987</v>
      </c>
      <c r="R196" s="12">
        <f t="shared" si="26"/>
        <v>154756.53088559996</v>
      </c>
      <c r="S196" s="12">
        <f t="shared" si="30"/>
        <v>2021.7485620499065</v>
      </c>
      <c r="T196" s="12">
        <f t="shared" si="31"/>
        <v>39140.987171399989</v>
      </c>
      <c r="U196" s="12">
        <f t="shared" si="27"/>
        <v>0.98710440904714103</v>
      </c>
      <c r="V196" s="12">
        <f t="shared" si="28"/>
        <v>0.20186430215106588</v>
      </c>
      <c r="W196" s="13">
        <f t="shared" si="29"/>
        <v>0.78524010689607515</v>
      </c>
      <c r="X196" s="16">
        <v>17.5</v>
      </c>
    </row>
    <row r="197" spans="4:24" x14ac:dyDescent="0.2">
      <c r="D197" s="5">
        <f t="shared" si="33"/>
        <v>1387.5</v>
      </c>
      <c r="E197" s="5">
        <f t="shared" si="24"/>
        <v>1456.1</v>
      </c>
      <c r="F197" s="5">
        <f t="shared" si="25"/>
        <v>1441.1</v>
      </c>
      <c r="Q197" s="12">
        <f t="shared" ref="Q197:Q211" si="34">($J$21*E188)+($L$21*E188)+($N$21*$B$12)+($P$21*$B$12)</f>
        <v>157622.86859639987</v>
      </c>
      <c r="R197" s="12">
        <f t="shared" si="26"/>
        <v>155596.92910559996</v>
      </c>
      <c r="S197" s="12">
        <f t="shared" si="30"/>
        <v>2025.9394907999085</v>
      </c>
      <c r="T197" s="12">
        <f t="shared" si="31"/>
        <v>39351.08672639999</v>
      </c>
      <c r="U197" s="12">
        <f t="shared" si="27"/>
        <v>0.98714691904264595</v>
      </c>
      <c r="V197" s="12">
        <f t="shared" si="28"/>
        <v>0.20185425616391764</v>
      </c>
      <c r="W197" s="13">
        <f t="shared" si="29"/>
        <v>0.78529266287872834</v>
      </c>
      <c r="X197" s="16">
        <v>17.600000000000001</v>
      </c>
    </row>
    <row r="198" spans="4:24" x14ac:dyDescent="0.2">
      <c r="D198" s="5">
        <f t="shared" si="33"/>
        <v>1395</v>
      </c>
      <c r="E198" s="5">
        <f t="shared" si="24"/>
        <v>1463.6</v>
      </c>
      <c r="F198" s="5">
        <f t="shared" si="25"/>
        <v>1448.6</v>
      </c>
      <c r="Q198" s="12">
        <f t="shared" si="34"/>
        <v>158467.45774514988</v>
      </c>
      <c r="R198" s="12">
        <f t="shared" si="26"/>
        <v>156437.32732559997</v>
      </c>
      <c r="S198" s="12">
        <f t="shared" si="30"/>
        <v>2030.1304195499106</v>
      </c>
      <c r="T198" s="12">
        <f t="shared" si="31"/>
        <v>39561.186281399991</v>
      </c>
      <c r="U198" s="12">
        <f t="shared" si="27"/>
        <v>0.98718897590434751</v>
      </c>
      <c r="V198" s="12">
        <f t="shared" si="28"/>
        <v>0.20184431786418963</v>
      </c>
      <c r="W198" s="13">
        <f t="shared" si="29"/>
        <v>0.78534465804015785</v>
      </c>
      <c r="X198" s="16">
        <v>17.7</v>
      </c>
    </row>
    <row r="199" spans="4:24" x14ac:dyDescent="0.2">
      <c r="D199" s="5">
        <f t="shared" si="33"/>
        <v>1402.5</v>
      </c>
      <c r="E199" s="5">
        <f t="shared" si="24"/>
        <v>1471.1</v>
      </c>
      <c r="F199" s="5">
        <f t="shared" si="25"/>
        <v>1456.1</v>
      </c>
      <c r="Q199" s="12">
        <f t="shared" si="34"/>
        <v>159312.04689389988</v>
      </c>
      <c r="R199" s="12">
        <f t="shared" si="26"/>
        <v>157277.72554559997</v>
      </c>
      <c r="S199" s="12">
        <f t="shared" si="30"/>
        <v>2034.3213482999126</v>
      </c>
      <c r="T199" s="12">
        <f t="shared" si="31"/>
        <v>39771.285836399991</v>
      </c>
      <c r="U199" s="12">
        <f t="shared" si="27"/>
        <v>0.98723058683908094</v>
      </c>
      <c r="V199" s="12">
        <f t="shared" si="28"/>
        <v>0.20183448552958849</v>
      </c>
      <c r="W199" s="13">
        <f t="shared" si="29"/>
        <v>0.78539610130949244</v>
      </c>
      <c r="X199" s="16">
        <v>17.8</v>
      </c>
    </row>
    <row r="200" spans="4:24" x14ac:dyDescent="0.2">
      <c r="D200" s="5">
        <f t="shared" si="33"/>
        <v>1410</v>
      </c>
      <c r="E200" s="5">
        <f t="shared" si="24"/>
        <v>1478.6</v>
      </c>
      <c r="F200" s="5">
        <f t="shared" si="25"/>
        <v>1463.6</v>
      </c>
      <c r="Q200" s="12">
        <f t="shared" si="34"/>
        <v>160156.63604264989</v>
      </c>
      <c r="R200" s="12">
        <f t="shared" si="26"/>
        <v>158118.12376559997</v>
      </c>
      <c r="S200" s="12">
        <f t="shared" si="30"/>
        <v>2038.5122770499147</v>
      </c>
      <c r="T200" s="12">
        <f t="shared" si="31"/>
        <v>39981.385391399992</v>
      </c>
      <c r="U200" s="12">
        <f t="shared" si="27"/>
        <v>0.98727175890166019</v>
      </c>
      <c r="V200" s="12">
        <f t="shared" si="28"/>
        <v>0.20182475747435352</v>
      </c>
      <c r="W200" s="13">
        <f t="shared" si="29"/>
        <v>0.78544700142730672</v>
      </c>
      <c r="X200" s="16">
        <v>17.899999999999999</v>
      </c>
    </row>
    <row r="201" spans="4:24" x14ac:dyDescent="0.2">
      <c r="D201" s="5">
        <f t="shared" si="33"/>
        <v>1417.5</v>
      </c>
      <c r="E201" s="5">
        <f t="shared" si="24"/>
        <v>1486.1</v>
      </c>
      <c r="F201" s="5">
        <f t="shared" si="25"/>
        <v>1471.1</v>
      </c>
      <c r="Q201" s="12">
        <f t="shared" si="34"/>
        <v>161001.22519139989</v>
      </c>
      <c r="R201" s="12">
        <f t="shared" si="26"/>
        <v>158958.52198559997</v>
      </c>
      <c r="S201" s="12">
        <f t="shared" si="30"/>
        <v>2042.7032057999168</v>
      </c>
      <c r="T201" s="12">
        <f t="shared" si="31"/>
        <v>40191.484946399993</v>
      </c>
      <c r="U201" s="12">
        <f t="shared" si="27"/>
        <v>0.98731249899886453</v>
      </c>
      <c r="V201" s="12">
        <f t="shared" si="28"/>
        <v>0.20181513204829277</v>
      </c>
      <c r="W201" s="13">
        <f t="shared" si="29"/>
        <v>0.78549736695057182</v>
      </c>
      <c r="X201" s="16">
        <v>18</v>
      </c>
    </row>
    <row r="202" spans="4:24" x14ac:dyDescent="0.2">
      <c r="D202" s="5">
        <f t="shared" si="33"/>
        <v>1425</v>
      </c>
      <c r="E202" s="5">
        <f t="shared" si="24"/>
        <v>1493.6</v>
      </c>
      <c r="F202" s="5">
        <f t="shared" si="25"/>
        <v>1478.6</v>
      </c>
      <c r="Q202" s="12">
        <f t="shared" si="34"/>
        <v>161845.8143401499</v>
      </c>
      <c r="R202" s="12">
        <f t="shared" si="26"/>
        <v>159798.92020559998</v>
      </c>
      <c r="S202" s="12">
        <f t="shared" si="30"/>
        <v>2046.8941345499188</v>
      </c>
      <c r="T202" s="12">
        <f t="shared" si="31"/>
        <v>40401.584501399993</v>
      </c>
      <c r="U202" s="12">
        <f t="shared" si="27"/>
        <v>0.98735281389330232</v>
      </c>
      <c r="V202" s="12">
        <f t="shared" si="28"/>
        <v>0.20180560763585007</v>
      </c>
      <c r="W202" s="13">
        <f t="shared" si="29"/>
        <v>0.78554720625745222</v>
      </c>
      <c r="X202" s="16">
        <v>18.100000000000001</v>
      </c>
    </row>
    <row r="203" spans="4:24" x14ac:dyDescent="0.2">
      <c r="D203" s="5">
        <f t="shared" si="33"/>
        <v>1432.5</v>
      </c>
      <c r="E203" s="5">
        <f t="shared" si="24"/>
        <v>1501.1</v>
      </c>
      <c r="F203" s="5">
        <f t="shared" si="25"/>
        <v>1486.1</v>
      </c>
      <c r="Q203" s="12">
        <f t="shared" si="34"/>
        <v>162690.40348889987</v>
      </c>
      <c r="R203" s="12">
        <f t="shared" si="26"/>
        <v>160639.31842559995</v>
      </c>
      <c r="S203" s="12">
        <f t="shared" si="30"/>
        <v>2051.0850632999209</v>
      </c>
      <c r="T203" s="12">
        <f t="shared" si="31"/>
        <v>40611.684056399987</v>
      </c>
      <c r="U203" s="12">
        <f t="shared" si="27"/>
        <v>0.98739271020715202</v>
      </c>
      <c r="V203" s="12">
        <f t="shared" si="28"/>
        <v>0.20179618265520111</v>
      </c>
      <c r="W203" s="13">
        <f t="shared" si="29"/>
        <v>0.78559652755195097</v>
      </c>
      <c r="X203" s="16">
        <v>18.2</v>
      </c>
    </row>
    <row r="204" spans="4:24" x14ac:dyDescent="0.2">
      <c r="D204" s="5">
        <f t="shared" ref="D204:D211" si="35">75*X213</f>
        <v>1440</v>
      </c>
      <c r="E204" s="5">
        <f t="shared" si="24"/>
        <v>1508.6</v>
      </c>
      <c r="F204" s="5">
        <f t="shared" si="25"/>
        <v>1493.6</v>
      </c>
      <c r="Q204" s="12">
        <f t="shared" si="34"/>
        <v>163534.99263764985</v>
      </c>
      <c r="R204" s="12">
        <f t="shared" si="26"/>
        <v>161479.71664559995</v>
      </c>
      <c r="S204" s="12">
        <f t="shared" si="30"/>
        <v>2055.2759920498938</v>
      </c>
      <c r="T204" s="12">
        <f t="shared" si="31"/>
        <v>40821.783611399987</v>
      </c>
      <c r="U204" s="12">
        <f t="shared" si="27"/>
        <v>0.98743219442578967</v>
      </c>
      <c r="V204" s="12">
        <f t="shared" si="28"/>
        <v>0.20178685555737735</v>
      </c>
      <c r="W204" s="13">
        <f t="shared" si="29"/>
        <v>0.78564533886841237</v>
      </c>
      <c r="X204" s="16">
        <v>18.3</v>
      </c>
    </row>
    <row r="205" spans="4:24" x14ac:dyDescent="0.2">
      <c r="D205" s="5">
        <f t="shared" si="35"/>
        <v>1447.5</v>
      </c>
      <c r="E205" s="5">
        <f t="shared" ref="E205:E211" si="36">$B$12+$C$12+D205</f>
        <v>1516.1</v>
      </c>
      <c r="F205" s="5">
        <f t="shared" ref="F205:F211" si="37">$C$12+D205</f>
        <v>1501.1</v>
      </c>
      <c r="Q205" s="12">
        <f t="shared" si="34"/>
        <v>164379.58178639985</v>
      </c>
      <c r="R205" s="12">
        <f t="shared" si="26"/>
        <v>162320.11486559996</v>
      </c>
      <c r="S205" s="12">
        <f t="shared" si="30"/>
        <v>2059.4669207998959</v>
      </c>
      <c r="T205" s="12">
        <f t="shared" si="31"/>
        <v>41031.883166399988</v>
      </c>
      <c r="U205" s="12">
        <f t="shared" si="27"/>
        <v>0.9874712729013021</v>
      </c>
      <c r="V205" s="12">
        <f t="shared" si="28"/>
        <v>0.20177762482541783</v>
      </c>
      <c r="W205" s="13">
        <f t="shared" si="29"/>
        <v>0.78569364807588427</v>
      </c>
      <c r="X205" s="16">
        <v>18.399999999999999</v>
      </c>
    </row>
    <row r="206" spans="4:24" x14ac:dyDescent="0.2">
      <c r="D206" s="5">
        <f t="shared" si="35"/>
        <v>1455</v>
      </c>
      <c r="E206" s="5">
        <f t="shared" si="36"/>
        <v>1523.6</v>
      </c>
      <c r="F206" s="5">
        <f t="shared" si="37"/>
        <v>1508.6</v>
      </c>
      <c r="Q206" s="12">
        <f t="shared" si="34"/>
        <v>165224.17093514986</v>
      </c>
      <c r="R206" s="12">
        <f t="shared" si="26"/>
        <v>163160.51308559996</v>
      </c>
      <c r="S206" s="12">
        <f t="shared" si="30"/>
        <v>2063.6578495498979</v>
      </c>
      <c r="T206" s="12">
        <f t="shared" si="31"/>
        <v>41241.982721399989</v>
      </c>
      <c r="U206" s="12">
        <f t="shared" si="27"/>
        <v>0.98750995185589474</v>
      </c>
      <c r="V206" s="12">
        <f t="shared" si="28"/>
        <v>0.20176848897354618</v>
      </c>
      <c r="W206" s="13">
        <f t="shared" si="29"/>
        <v>0.78574146288234858</v>
      </c>
      <c r="X206" s="16">
        <v>18.5</v>
      </c>
    </row>
    <row r="207" spans="4:24" x14ac:dyDescent="0.2">
      <c r="D207" s="5">
        <f t="shared" si="35"/>
        <v>1462.5</v>
      </c>
      <c r="E207" s="5">
        <f t="shared" si="36"/>
        <v>1531.1</v>
      </c>
      <c r="F207" s="5">
        <f t="shared" si="37"/>
        <v>1516.1</v>
      </c>
      <c r="Q207" s="12">
        <f t="shared" si="34"/>
        <v>166068.76008389986</v>
      </c>
      <c r="R207" s="12">
        <f t="shared" si="26"/>
        <v>164000.91130559996</v>
      </c>
      <c r="S207" s="12">
        <f t="shared" si="30"/>
        <v>2067.8487782999</v>
      </c>
      <c r="T207" s="12">
        <f t="shared" si="31"/>
        <v>41452.082276399989</v>
      </c>
      <c r="U207" s="12">
        <f t="shared" si="27"/>
        <v>0.98754823738519393</v>
      </c>
      <c r="V207" s="12">
        <f t="shared" si="28"/>
        <v>0.20175944654637373</v>
      </c>
      <c r="W207" s="13">
        <f t="shared" si="29"/>
        <v>0.78578879083882014</v>
      </c>
      <c r="X207" s="16">
        <v>18.600000000000001</v>
      </c>
    </row>
    <row r="208" spans="4:24" x14ac:dyDescent="0.2">
      <c r="D208" s="5">
        <f t="shared" si="35"/>
        <v>1470</v>
      </c>
      <c r="E208" s="5">
        <f t="shared" si="36"/>
        <v>1538.6</v>
      </c>
      <c r="F208" s="5">
        <f t="shared" si="37"/>
        <v>1523.6</v>
      </c>
      <c r="Q208" s="12">
        <f t="shared" si="34"/>
        <v>166913.34923264987</v>
      </c>
      <c r="R208" s="12">
        <f t="shared" si="26"/>
        <v>164841.30952559997</v>
      </c>
      <c r="S208" s="12">
        <f t="shared" si="30"/>
        <v>2072.0397070499021</v>
      </c>
      <c r="T208" s="12">
        <f t="shared" si="31"/>
        <v>41662.18183139999</v>
      </c>
      <c r="U208" s="12">
        <f t="shared" si="27"/>
        <v>0.98758613546144947</v>
      </c>
      <c r="V208" s="12">
        <f t="shared" si="28"/>
        <v>0.20175049611812651</v>
      </c>
      <c r="W208" s="13">
        <f t="shared" si="29"/>
        <v>0.78583563934332301</v>
      </c>
      <c r="X208" s="16">
        <v>18.7</v>
      </c>
    </row>
    <row r="209" spans="4:24" x14ac:dyDescent="0.2">
      <c r="D209" s="5">
        <f t="shared" si="35"/>
        <v>1477.5</v>
      </c>
      <c r="E209" s="5">
        <f t="shared" si="36"/>
        <v>1546.1</v>
      </c>
      <c r="F209" s="5">
        <f t="shared" si="37"/>
        <v>1531.1</v>
      </c>
      <c r="Q209" s="12">
        <f t="shared" si="34"/>
        <v>167757.93838139987</v>
      </c>
      <c r="R209" s="12">
        <f t="shared" si="26"/>
        <v>165681.70774559997</v>
      </c>
      <c r="S209" s="12">
        <f t="shared" si="30"/>
        <v>2076.2306357999041</v>
      </c>
      <c r="T209" s="12">
        <f t="shared" si="31"/>
        <v>41872.281386399991</v>
      </c>
      <c r="U209" s="12">
        <f t="shared" si="27"/>
        <v>0.98762365193664003</v>
      </c>
      <c r="V209" s="12">
        <f t="shared" si="28"/>
        <v>0.20174163629189562</v>
      </c>
      <c r="W209" s="13">
        <f t="shared" si="29"/>
        <v>0.78588201564474436</v>
      </c>
      <c r="X209" s="16">
        <v>18.8</v>
      </c>
    </row>
    <row r="210" spans="4:24" x14ac:dyDescent="0.2">
      <c r="D210" s="5">
        <f t="shared" si="35"/>
        <v>1485</v>
      </c>
      <c r="E210" s="5">
        <f t="shared" si="36"/>
        <v>1553.6</v>
      </c>
      <c r="F210" s="5">
        <f t="shared" si="37"/>
        <v>1538.6</v>
      </c>
      <c r="Q210" s="12">
        <f t="shared" si="34"/>
        <v>168602.52753014988</v>
      </c>
      <c r="R210" s="12">
        <f t="shared" si="26"/>
        <v>166522.10596559997</v>
      </c>
      <c r="S210" s="12">
        <f t="shared" si="30"/>
        <v>2080.4215645499062</v>
      </c>
      <c r="T210" s="12">
        <f t="shared" si="31"/>
        <v>42082.380941399992</v>
      </c>
      <c r="U210" s="12">
        <f t="shared" si="27"/>
        <v>0.98766079254548611</v>
      </c>
      <c r="V210" s="12">
        <f t="shared" si="28"/>
        <v>0.20173286569891066</v>
      </c>
      <c r="W210" s="13">
        <f t="shared" si="29"/>
        <v>0.78592792684657542</v>
      </c>
      <c r="X210" s="16">
        <v>18.899999999999999</v>
      </c>
    </row>
    <row r="211" spans="4:24" x14ac:dyDescent="0.2">
      <c r="D211" s="5">
        <f t="shared" si="35"/>
        <v>1492.5</v>
      </c>
      <c r="E211" s="5">
        <f t="shared" si="36"/>
        <v>1561.1</v>
      </c>
      <c r="F211" s="5">
        <f t="shared" si="37"/>
        <v>1546.1</v>
      </c>
      <c r="Q211" s="12">
        <f t="shared" si="34"/>
        <v>169447.11667889988</v>
      </c>
      <c r="R211" s="12">
        <f t="shared" si="26"/>
        <v>167362.50418559997</v>
      </c>
      <c r="S211" s="12">
        <f t="shared" si="30"/>
        <v>2084.6124932999082</v>
      </c>
      <c r="T211" s="12">
        <f t="shared" si="31"/>
        <v>42292.480496399992</v>
      </c>
      <c r="U211" s="12">
        <f t="shared" si="27"/>
        <v>0.98769756290837207</v>
      </c>
      <c r="V211" s="12">
        <f t="shared" si="28"/>
        <v>0.20172418299783471</v>
      </c>
      <c r="W211" s="13">
        <f t="shared" si="29"/>
        <v>0.7859733799105374</v>
      </c>
      <c r="X211" s="16">
        <v>19</v>
      </c>
    </row>
    <row r="212" spans="4:24" x14ac:dyDescent="0.2">
      <c r="X212" s="16">
        <v>19.100000000000001</v>
      </c>
    </row>
    <row r="213" spans="4:24" x14ac:dyDescent="0.2">
      <c r="X213" s="16">
        <v>19.2</v>
      </c>
    </row>
    <row r="214" spans="4:24" x14ac:dyDescent="0.2">
      <c r="X214" s="16">
        <v>19.3</v>
      </c>
    </row>
    <row r="215" spans="4:24" x14ac:dyDescent="0.2">
      <c r="X215" s="16">
        <v>19.399999999999999</v>
      </c>
    </row>
    <row r="216" spans="4:24" x14ac:dyDescent="0.2">
      <c r="X216" s="16">
        <v>19.5</v>
      </c>
    </row>
    <row r="217" spans="4:24" x14ac:dyDescent="0.2">
      <c r="X217" s="16">
        <v>19.600000000000001</v>
      </c>
    </row>
    <row r="218" spans="4:24" x14ac:dyDescent="0.2">
      <c r="X218" s="16">
        <v>19.7</v>
      </c>
    </row>
    <row r="219" spans="4:24" x14ac:dyDescent="0.2">
      <c r="X219" s="16">
        <v>19.8</v>
      </c>
    </row>
    <row r="220" spans="4:24" x14ac:dyDescent="0.2">
      <c r="X220" s="16">
        <v>19.899999999999999</v>
      </c>
    </row>
  </sheetData>
  <mergeCells count="16">
    <mergeCell ref="X19:X20"/>
    <mergeCell ref="P19:P20"/>
    <mergeCell ref="Q19:Q20"/>
    <mergeCell ref="R19:R20"/>
    <mergeCell ref="S19:S20"/>
    <mergeCell ref="T19:T20"/>
    <mergeCell ref="U19:U20"/>
    <mergeCell ref="V19:V20"/>
    <mergeCell ref="W19:W20"/>
    <mergeCell ref="N19:N20"/>
    <mergeCell ref="O19:O20"/>
    <mergeCell ref="K19:K20"/>
    <mergeCell ref="J19:J20"/>
    <mergeCell ref="I19:I20"/>
    <mergeCell ref="L19:L20"/>
    <mergeCell ref="M19:M20"/>
  </mergeCells>
  <pageMargins left="0.7" right="0.7" top="0.75" bottom="0.75" header="0.3" footer="0.3"/>
  <pageSetup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7:Y222"/>
  <sheetViews>
    <sheetView zoomScale="70" zoomScaleNormal="70" workbookViewId="0">
      <selection activeCell="E12" sqref="E12"/>
    </sheetView>
  </sheetViews>
  <sheetFormatPr baseColWidth="10" defaultColWidth="8.83203125" defaultRowHeight="15" x14ac:dyDescent="0.2"/>
  <cols>
    <col min="6" max="6" width="11.5" customWidth="1"/>
    <col min="7" max="7" width="11" customWidth="1"/>
    <col min="8" max="8" width="16" customWidth="1"/>
    <col min="9" max="9" width="2" customWidth="1"/>
    <col min="10" max="10" width="22.5" customWidth="1"/>
    <col min="18" max="18" width="9.1640625" bestFit="1" customWidth="1"/>
    <col min="19" max="19" width="11.1640625" bestFit="1" customWidth="1"/>
    <col min="23" max="23" width="11" customWidth="1"/>
    <col min="24" max="25" width="10.1640625" bestFit="1" customWidth="1"/>
  </cols>
  <sheetData>
    <row r="7" spans="2:23" x14ac:dyDescent="0.2">
      <c r="Q7" s="6"/>
      <c r="R7" s="6"/>
    </row>
    <row r="8" spans="2:23" x14ac:dyDescent="0.2">
      <c r="Q8" s="3"/>
      <c r="R8" s="3"/>
    </row>
    <row r="9" spans="2:23" x14ac:dyDescent="0.2">
      <c r="Q9" s="3"/>
      <c r="R9" s="3"/>
    </row>
    <row r="10" spans="2:23" x14ac:dyDescent="0.2">
      <c r="Q10" s="3"/>
      <c r="R10" s="3"/>
    </row>
    <row r="11" spans="2:23" x14ac:dyDescent="0.2">
      <c r="B11" s="1" t="s">
        <v>34</v>
      </c>
      <c r="C11" s="1" t="s">
        <v>40</v>
      </c>
      <c r="D11" s="1" t="s">
        <v>35</v>
      </c>
      <c r="E11" s="1" t="s">
        <v>36</v>
      </c>
      <c r="F11" s="1" t="s">
        <v>37</v>
      </c>
      <c r="G11" s="1" t="s">
        <v>38</v>
      </c>
      <c r="H11" s="1" t="s">
        <v>39</v>
      </c>
      <c r="J11" s="17" t="s">
        <v>26</v>
      </c>
      <c r="K11" s="7" t="s">
        <v>25</v>
      </c>
      <c r="M11" s="14" t="s">
        <v>24</v>
      </c>
      <c r="N11" s="14" t="s">
        <v>23</v>
      </c>
      <c r="O11" s="14" t="s">
        <v>22</v>
      </c>
      <c r="P11" s="18" t="s">
        <v>21</v>
      </c>
      <c r="Q11" s="18" t="s">
        <v>19</v>
      </c>
      <c r="S11" s="3"/>
      <c r="T11" s="3"/>
      <c r="U11" s="3"/>
      <c r="V11" s="3"/>
      <c r="W11" s="3"/>
    </row>
    <row r="12" spans="2:23" x14ac:dyDescent="0.2">
      <c r="B12" s="5">
        <v>11346</v>
      </c>
      <c r="C12" s="5">
        <v>1.4999999999999999E-2</v>
      </c>
      <c r="D12" s="5">
        <v>0.52</v>
      </c>
      <c r="E12" s="5">
        <v>0.95</v>
      </c>
      <c r="F12" s="5">
        <v>0.8</v>
      </c>
      <c r="G12" s="5">
        <v>0.99</v>
      </c>
      <c r="H12" s="5">
        <v>0</v>
      </c>
      <c r="J12" s="14" t="s">
        <v>24</v>
      </c>
      <c r="M12" s="5">
        <v>15</v>
      </c>
      <c r="N12" s="5">
        <v>53.6</v>
      </c>
      <c r="O12" s="5">
        <f>75*J16</f>
        <v>300</v>
      </c>
      <c r="P12" s="5">
        <f>$M$12+$N$12+O12</f>
        <v>368.6</v>
      </c>
      <c r="Q12" s="5">
        <f>$N$12+O12</f>
        <v>353.6</v>
      </c>
      <c r="S12" s="3"/>
      <c r="T12" s="3"/>
      <c r="U12" s="3"/>
      <c r="V12" s="3"/>
      <c r="W12" s="3"/>
    </row>
    <row r="13" spans="2:23" x14ac:dyDescent="0.2">
      <c r="D13" s="3">
        <v>0.71</v>
      </c>
      <c r="E13" s="3">
        <v>0.95199999999999996</v>
      </c>
      <c r="F13">
        <v>0.81</v>
      </c>
      <c r="G13">
        <v>0.99099999999999999</v>
      </c>
    </row>
    <row r="14" spans="2:23" x14ac:dyDescent="0.2">
      <c r="D14" s="5">
        <v>0.72</v>
      </c>
      <c r="E14" s="5">
        <v>0.95399999999999996</v>
      </c>
      <c r="F14" s="5">
        <v>0.82</v>
      </c>
      <c r="G14" s="5">
        <v>0.99199999999999999</v>
      </c>
      <c r="J14" s="180" t="s">
        <v>20</v>
      </c>
    </row>
    <row r="15" spans="2:23" x14ac:dyDescent="0.2">
      <c r="D15" s="3">
        <v>0.73</v>
      </c>
      <c r="E15" s="3">
        <v>0.95599999999999996</v>
      </c>
      <c r="F15">
        <v>0.83</v>
      </c>
      <c r="G15">
        <v>0.99299999999999999</v>
      </c>
      <c r="J15" s="180"/>
    </row>
    <row r="16" spans="2:23" x14ac:dyDescent="0.2">
      <c r="D16" s="5">
        <v>0.74</v>
      </c>
      <c r="E16" s="5">
        <v>0.95799999999999996</v>
      </c>
      <c r="F16" s="5">
        <v>0.84</v>
      </c>
      <c r="G16" s="5">
        <v>0.99399999999999999</v>
      </c>
      <c r="J16" s="16">
        <v>4</v>
      </c>
    </row>
    <row r="17" spans="4:25" x14ac:dyDescent="0.2">
      <c r="D17" s="3">
        <v>0.75</v>
      </c>
      <c r="E17" s="3">
        <v>0.96</v>
      </c>
      <c r="F17">
        <v>0.85</v>
      </c>
      <c r="G17">
        <v>0.995</v>
      </c>
    </row>
    <row r="18" spans="4:25" x14ac:dyDescent="0.2">
      <c r="D18" s="5">
        <v>0.76</v>
      </c>
      <c r="E18" s="5">
        <v>0.96199999999999997</v>
      </c>
      <c r="F18" s="5">
        <v>0.86</v>
      </c>
      <c r="G18" s="5">
        <v>0.996</v>
      </c>
    </row>
    <row r="19" spans="4:25" ht="57" customHeight="1" x14ac:dyDescent="0.2">
      <c r="D19" s="3">
        <v>0.77</v>
      </c>
      <c r="E19" s="3">
        <v>0.96399999999999997</v>
      </c>
      <c r="F19">
        <v>0.87</v>
      </c>
      <c r="G19">
        <v>0.997</v>
      </c>
      <c r="J19" s="178" t="s">
        <v>18</v>
      </c>
      <c r="K19" s="176" t="s">
        <v>17</v>
      </c>
      <c r="L19" s="176" t="s">
        <v>16</v>
      </c>
      <c r="M19" s="175" t="s">
        <v>15</v>
      </c>
      <c r="N19" s="175" t="s">
        <v>14</v>
      </c>
      <c r="O19" s="175" t="s">
        <v>13</v>
      </c>
      <c r="P19" s="175" t="s">
        <v>12</v>
      </c>
      <c r="Q19" s="175" t="s">
        <v>11</v>
      </c>
      <c r="R19" s="175" t="s">
        <v>10</v>
      </c>
      <c r="S19" s="175" t="s">
        <v>9</v>
      </c>
      <c r="T19" s="175" t="s">
        <v>8</v>
      </c>
      <c r="U19" s="175" t="s">
        <v>7</v>
      </c>
      <c r="V19" s="180" t="s">
        <v>6</v>
      </c>
      <c r="W19" s="180" t="s">
        <v>5</v>
      </c>
      <c r="X19" s="180" t="s">
        <v>4</v>
      </c>
    </row>
    <row r="20" spans="4:25" x14ac:dyDescent="0.2">
      <c r="D20" s="5">
        <v>0.78</v>
      </c>
      <c r="E20" s="5">
        <v>0.96599999999999997</v>
      </c>
      <c r="F20" s="5">
        <v>0.88</v>
      </c>
      <c r="G20" s="5">
        <v>0.998</v>
      </c>
      <c r="J20" s="179"/>
      <c r="K20" s="177"/>
      <c r="L20" s="177"/>
      <c r="M20" s="175"/>
      <c r="N20" s="175"/>
      <c r="O20" s="175"/>
      <c r="P20" s="175"/>
      <c r="Q20" s="175"/>
      <c r="R20" s="175"/>
      <c r="S20" s="175"/>
      <c r="T20" s="175"/>
      <c r="U20" s="175"/>
      <c r="V20" s="180"/>
      <c r="W20" s="180"/>
      <c r="X20" s="180"/>
    </row>
    <row r="21" spans="4:25" ht="16" x14ac:dyDescent="0.2">
      <c r="D21" s="3">
        <v>0.79</v>
      </c>
      <c r="E21" s="3">
        <v>0.96799999999999997</v>
      </c>
      <c r="F21">
        <v>0.89</v>
      </c>
      <c r="G21">
        <v>0.999</v>
      </c>
      <c r="J21" s="11" t="s">
        <v>28</v>
      </c>
      <c r="K21" s="12">
        <f>cohort*prev*SnTest1*((corr*(SQRT(SnTest1*(1-SnTest1)*SnTest2*(1-SnTest2)))+SnTest1*SnTest2)/SnTest1)</f>
        <v>70.799040000000005</v>
      </c>
      <c r="L21" s="13">
        <f>(1-prev)*(1-SpTest1)*cohort</f>
        <v>558.79050000000052</v>
      </c>
      <c r="M21" s="12">
        <f>(cohort*(1-prev)*(1-SpTest1))-TNTest2</f>
        <v>5.5879050000005464</v>
      </c>
      <c r="N21" s="12">
        <f>cohort*prev*(1-SnTest1)</f>
        <v>81.691199999999995</v>
      </c>
      <c r="O21" s="12">
        <f>(cohort*prev*SnTest1)-TPSeq</f>
        <v>17.699759999999998</v>
      </c>
      <c r="P21" s="12">
        <f>(1-prev)*SpTest1*cohort</f>
        <v>10617.0195</v>
      </c>
      <c r="Q21" s="12">
        <f>cohort*(1-prev)*(1-SpTest1)*(SpTest2-(corr*(SQRT(SpTest1*(1-SpTest1)*SpTest2*(1-SpTest2)))+SpTest2*SpTest1))/(1-SpTest1)</f>
        <v>553.20259499999997</v>
      </c>
      <c r="R21" s="12">
        <f>($K$21*P12)+($M$21*P12)+($O$21*$M$12)+($Q$21*$M$12)</f>
        <v>36719.763252000201</v>
      </c>
      <c r="S21" s="12">
        <f>($K$21*P12)</f>
        <v>26096.526144000003</v>
      </c>
      <c r="T21" s="12">
        <f>R21-S21</f>
        <v>10623.237108000198</v>
      </c>
      <c r="U21" s="12">
        <f>($N$21*$M$12)+($O$21*P12)</f>
        <v>7749.4995359999994</v>
      </c>
      <c r="V21" s="12">
        <f>S21/R21</f>
        <v>0.7106942919240764</v>
      </c>
      <c r="W21" s="12">
        <f>U21/(U21+S21)</f>
        <v>0.22896335331268347</v>
      </c>
      <c r="X21" s="13">
        <f>V21-W21</f>
        <v>0.48173093861139293</v>
      </c>
    </row>
    <row r="22" spans="4:25" x14ac:dyDescent="0.2">
      <c r="D22" s="5">
        <v>0.8</v>
      </c>
      <c r="E22" s="5">
        <v>0.97</v>
      </c>
      <c r="F22" s="5">
        <v>0.9</v>
      </c>
      <c r="G22" s="5">
        <v>1</v>
      </c>
      <c r="J22" s="10"/>
      <c r="K22" s="9"/>
      <c r="L22" s="8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8"/>
      <c r="Y22" s="19"/>
    </row>
    <row r="23" spans="4:25" x14ac:dyDescent="0.2">
      <c r="D23" s="3">
        <v>0.81</v>
      </c>
      <c r="E23" s="3">
        <v>0.97199999999999998</v>
      </c>
      <c r="F23">
        <v>0.91</v>
      </c>
      <c r="J23" s="20"/>
      <c r="K23" s="9"/>
      <c r="L23" s="8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8"/>
      <c r="Y23" s="19"/>
    </row>
    <row r="24" spans="4:25" ht="20.25" customHeight="1" x14ac:dyDescent="0.2">
      <c r="D24" s="5">
        <v>0.82</v>
      </c>
      <c r="E24" s="5">
        <v>0.97399999999999998</v>
      </c>
      <c r="F24" s="5">
        <v>0.92</v>
      </c>
      <c r="G24" s="5"/>
      <c r="J24" s="21"/>
      <c r="K24" s="9"/>
      <c r="L24" s="8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8"/>
      <c r="Y24" s="19"/>
    </row>
    <row r="25" spans="4:25" x14ac:dyDescent="0.2">
      <c r="D25" s="3">
        <v>0.83</v>
      </c>
      <c r="E25" s="3">
        <v>0.97599999999999998</v>
      </c>
      <c r="F25">
        <v>0.93</v>
      </c>
      <c r="J25" s="10"/>
      <c r="K25" s="9"/>
      <c r="L25" s="8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8"/>
      <c r="Y25" s="19"/>
    </row>
    <row r="26" spans="4:25" x14ac:dyDescent="0.2">
      <c r="D26" s="5">
        <v>0.84</v>
      </c>
      <c r="E26" s="5">
        <v>0.97799999999999998</v>
      </c>
      <c r="F26" s="5">
        <v>0.94</v>
      </c>
      <c r="G26" s="5"/>
      <c r="J26" s="10"/>
      <c r="K26" s="9"/>
      <c r="L26" s="8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8"/>
      <c r="Y26" s="19"/>
    </row>
    <row r="27" spans="4:25" x14ac:dyDescent="0.2">
      <c r="D27" s="3">
        <v>0.85</v>
      </c>
      <c r="E27" s="3">
        <v>0.98</v>
      </c>
      <c r="F27">
        <v>0.95</v>
      </c>
      <c r="J27" s="10"/>
      <c r="K27" s="9"/>
      <c r="L27" s="8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8"/>
      <c r="Y27" s="19"/>
    </row>
    <row r="28" spans="4:25" x14ac:dyDescent="0.2">
      <c r="D28" s="5">
        <v>0.86</v>
      </c>
      <c r="E28" s="5">
        <v>0.98199999999999998</v>
      </c>
      <c r="F28" s="5">
        <v>0.96</v>
      </c>
      <c r="G28" s="5"/>
      <c r="J28" s="10"/>
      <c r="K28" s="9"/>
      <c r="L28" s="8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8"/>
      <c r="Y28" s="19"/>
    </row>
    <row r="29" spans="4:25" ht="16.25" customHeight="1" x14ac:dyDescent="0.2">
      <c r="D29" s="3">
        <v>0.87</v>
      </c>
      <c r="E29" s="3">
        <v>0.98399999999999999</v>
      </c>
      <c r="F29">
        <v>0.97</v>
      </c>
      <c r="J29" s="20"/>
      <c r="K29" s="9"/>
      <c r="L29" s="8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8"/>
      <c r="Y29" s="19"/>
    </row>
    <row r="30" spans="4:25" x14ac:dyDescent="0.2">
      <c r="D30" s="5">
        <v>0.88</v>
      </c>
      <c r="E30" s="5">
        <v>0.98599999999999999</v>
      </c>
      <c r="F30" s="5">
        <v>0.98</v>
      </c>
      <c r="G30" s="5"/>
      <c r="J30" s="21"/>
      <c r="K30" s="21"/>
      <c r="L30" s="21"/>
      <c r="M30" s="21"/>
      <c r="N30" s="21"/>
      <c r="O30" s="21"/>
      <c r="P30" s="21"/>
      <c r="Q30" s="21"/>
      <c r="R30" s="9"/>
      <c r="S30" s="9"/>
      <c r="T30" s="9"/>
      <c r="U30" s="9"/>
      <c r="V30" s="9"/>
      <c r="W30" s="9"/>
      <c r="X30" s="8"/>
      <c r="Y30" s="19"/>
    </row>
    <row r="31" spans="4:25" x14ac:dyDescent="0.2">
      <c r="D31" s="3">
        <v>0.89</v>
      </c>
      <c r="E31" s="3">
        <v>0.98799999999999999</v>
      </c>
      <c r="F31">
        <v>0.99</v>
      </c>
      <c r="J31" s="21"/>
      <c r="K31" s="21"/>
      <c r="L31" s="21"/>
      <c r="M31" s="21"/>
      <c r="N31" s="21"/>
      <c r="O31" s="21"/>
      <c r="P31" s="21"/>
      <c r="Q31" s="21"/>
      <c r="R31" s="9"/>
      <c r="S31" s="9"/>
      <c r="T31" s="9"/>
      <c r="U31" s="9"/>
      <c r="V31" s="9"/>
      <c r="W31" s="9"/>
      <c r="X31" s="8"/>
      <c r="Y31" s="19"/>
    </row>
    <row r="32" spans="4:25" x14ac:dyDescent="0.2">
      <c r="D32" s="5">
        <v>0.9</v>
      </c>
      <c r="E32" s="5">
        <v>0.99</v>
      </c>
      <c r="F32" s="5">
        <v>1</v>
      </c>
      <c r="G32" s="5"/>
      <c r="J32" s="21"/>
      <c r="K32" s="21"/>
      <c r="L32" s="21"/>
      <c r="M32" s="21"/>
      <c r="N32" s="21"/>
      <c r="O32" s="21"/>
      <c r="P32" s="21"/>
      <c r="Q32" s="21"/>
      <c r="R32" s="9"/>
      <c r="S32" s="9"/>
      <c r="T32" s="9"/>
      <c r="U32" s="9"/>
      <c r="V32" s="9"/>
      <c r="W32" s="9"/>
      <c r="X32" s="8"/>
      <c r="Y32" s="19"/>
    </row>
    <row r="33" spans="4:25" x14ac:dyDescent="0.2">
      <c r="D33" s="3">
        <v>0.91</v>
      </c>
      <c r="E33" s="3">
        <v>0.99199999999999999</v>
      </c>
      <c r="J33" s="21"/>
      <c r="K33" s="21"/>
      <c r="L33" s="21"/>
      <c r="M33" s="21"/>
      <c r="N33" s="21"/>
      <c r="O33" s="21"/>
      <c r="P33" s="21"/>
      <c r="Q33" s="21"/>
      <c r="R33" s="9"/>
      <c r="S33" s="9"/>
      <c r="T33" s="9"/>
      <c r="U33" s="9"/>
      <c r="V33" s="9"/>
      <c r="W33" s="9"/>
      <c r="X33" s="8"/>
      <c r="Y33" s="19"/>
    </row>
    <row r="34" spans="4:25" x14ac:dyDescent="0.2">
      <c r="D34" s="5">
        <v>0.92</v>
      </c>
      <c r="E34" s="5">
        <v>0.99399999999999999</v>
      </c>
      <c r="F34" s="5"/>
      <c r="G34" s="5"/>
      <c r="J34" s="21"/>
      <c r="K34" s="21"/>
      <c r="L34" s="21"/>
      <c r="M34" s="21"/>
      <c r="N34" s="21"/>
      <c r="O34" s="21"/>
      <c r="P34" s="21"/>
      <c r="Q34" s="21"/>
      <c r="R34" s="9"/>
      <c r="S34" s="9"/>
      <c r="T34" s="9"/>
      <c r="U34" s="9"/>
      <c r="V34" s="9"/>
      <c r="W34" s="9"/>
      <c r="X34" s="8"/>
      <c r="Y34" s="19"/>
    </row>
    <row r="35" spans="4:25" x14ac:dyDescent="0.2">
      <c r="D35" s="5">
        <v>0.93</v>
      </c>
      <c r="E35" s="3">
        <v>0.996</v>
      </c>
      <c r="J35" s="21"/>
      <c r="K35" s="21"/>
      <c r="L35" s="21"/>
      <c r="M35" s="21"/>
      <c r="N35" s="21"/>
      <c r="O35" s="21"/>
      <c r="P35" s="21"/>
      <c r="Q35" s="21"/>
      <c r="R35" s="9"/>
      <c r="S35" s="9"/>
      <c r="T35" s="9"/>
      <c r="U35" s="9"/>
      <c r="V35" s="9"/>
      <c r="W35" s="9"/>
      <c r="X35" s="8"/>
      <c r="Y35" s="19"/>
    </row>
    <row r="36" spans="4:25" x14ac:dyDescent="0.2">
      <c r="D36" s="3">
        <v>0.94</v>
      </c>
      <c r="E36" s="5">
        <v>0.998</v>
      </c>
      <c r="F36" s="5"/>
      <c r="J36" s="21"/>
      <c r="K36" s="21"/>
      <c r="L36" s="21"/>
      <c r="M36" s="21"/>
      <c r="N36" s="21"/>
      <c r="O36" s="21"/>
      <c r="P36" s="21"/>
      <c r="Q36" s="21"/>
      <c r="R36" s="9"/>
      <c r="S36" s="9"/>
      <c r="T36" s="9"/>
      <c r="U36" s="9"/>
      <c r="V36" s="9"/>
      <c r="W36" s="9"/>
      <c r="X36" s="8"/>
      <c r="Y36" s="19"/>
    </row>
    <row r="37" spans="4:25" x14ac:dyDescent="0.2">
      <c r="D37" s="5">
        <v>0.95</v>
      </c>
      <c r="E37" s="3">
        <v>1</v>
      </c>
      <c r="J37" s="21"/>
      <c r="K37" s="21"/>
      <c r="L37" s="21"/>
      <c r="M37" s="21"/>
      <c r="N37" s="21"/>
      <c r="O37" s="21"/>
      <c r="P37" s="21"/>
      <c r="Q37" s="21"/>
      <c r="R37" s="9"/>
      <c r="S37" s="9"/>
      <c r="T37" s="9"/>
      <c r="U37" s="9"/>
      <c r="V37" s="9"/>
      <c r="W37" s="9"/>
      <c r="X37" s="8"/>
      <c r="Y37" s="19"/>
    </row>
    <row r="38" spans="4:25" x14ac:dyDescent="0.2">
      <c r="D38" s="3">
        <v>0.96</v>
      </c>
      <c r="E38" s="5"/>
      <c r="J38" s="21"/>
      <c r="K38" s="21"/>
      <c r="L38" s="21"/>
      <c r="M38" s="21"/>
      <c r="N38" s="21"/>
      <c r="O38" s="21"/>
      <c r="P38" s="21"/>
      <c r="Q38" s="21"/>
      <c r="R38" s="9"/>
      <c r="S38" s="9"/>
      <c r="T38" s="9"/>
      <c r="U38" s="9"/>
      <c r="V38" s="9"/>
      <c r="W38" s="9"/>
      <c r="X38" s="8"/>
      <c r="Y38" s="19"/>
    </row>
    <row r="39" spans="4:25" x14ac:dyDescent="0.2">
      <c r="D39" s="5">
        <v>0.97</v>
      </c>
      <c r="J39" s="21"/>
      <c r="K39" s="21"/>
      <c r="L39" s="21"/>
      <c r="M39" s="21"/>
      <c r="N39" s="21"/>
      <c r="O39" s="21"/>
      <c r="P39" s="21"/>
      <c r="Q39" s="21"/>
      <c r="R39" s="9"/>
      <c r="S39" s="9"/>
      <c r="T39" s="9"/>
      <c r="U39" s="9"/>
      <c r="V39" s="9"/>
      <c r="W39" s="9"/>
      <c r="X39" s="8"/>
      <c r="Y39" s="19"/>
    </row>
    <row r="40" spans="4:25" x14ac:dyDescent="0.2">
      <c r="J40" s="21"/>
      <c r="K40" s="21"/>
      <c r="L40" s="21"/>
      <c r="M40" s="21"/>
      <c r="N40" s="21"/>
      <c r="O40" s="21"/>
      <c r="P40" s="21"/>
      <c r="Q40" s="21"/>
      <c r="R40" s="9"/>
      <c r="S40" s="9"/>
      <c r="T40" s="9"/>
      <c r="U40" s="9"/>
      <c r="V40" s="9"/>
      <c r="W40" s="9"/>
      <c r="X40" s="8"/>
      <c r="Y40" s="19"/>
    </row>
    <row r="41" spans="4:25" x14ac:dyDescent="0.2">
      <c r="J41" s="21"/>
      <c r="K41" s="21"/>
      <c r="L41" s="21"/>
      <c r="M41" s="21"/>
      <c r="N41" s="21"/>
      <c r="O41" s="21"/>
      <c r="P41" s="21"/>
      <c r="Q41" s="21"/>
      <c r="R41" s="9"/>
      <c r="S41" s="9"/>
      <c r="T41" s="9"/>
      <c r="U41" s="9"/>
      <c r="V41" s="9"/>
      <c r="W41" s="9"/>
      <c r="X41" s="8"/>
      <c r="Y41" s="19"/>
    </row>
    <row r="42" spans="4:25" x14ac:dyDescent="0.2">
      <c r="J42" s="21"/>
      <c r="K42" s="21"/>
      <c r="L42" s="21"/>
      <c r="M42" s="21"/>
      <c r="N42" s="21"/>
      <c r="O42" s="21"/>
      <c r="P42" s="21"/>
      <c r="Q42" s="21"/>
      <c r="R42" s="9"/>
      <c r="S42" s="9"/>
      <c r="T42" s="9"/>
      <c r="U42" s="9"/>
      <c r="V42" s="9"/>
      <c r="W42" s="9"/>
      <c r="X42" s="8"/>
      <c r="Y42" s="19"/>
    </row>
    <row r="43" spans="4:25" x14ac:dyDescent="0.2">
      <c r="J43" s="21"/>
      <c r="K43" s="21"/>
      <c r="L43" s="21"/>
      <c r="M43" s="21"/>
      <c r="N43" s="21"/>
      <c r="O43" s="21"/>
      <c r="P43" s="21"/>
      <c r="Q43" s="21"/>
      <c r="R43" s="9"/>
      <c r="S43" s="9"/>
      <c r="T43" s="9"/>
      <c r="U43" s="9"/>
      <c r="V43" s="9"/>
      <c r="W43" s="9"/>
      <c r="X43" s="8"/>
      <c r="Y43" s="19"/>
    </row>
    <row r="44" spans="4:25" x14ac:dyDescent="0.2">
      <c r="J44" s="21"/>
      <c r="K44" s="21"/>
      <c r="L44" s="21"/>
      <c r="M44" s="21"/>
      <c r="N44" s="21"/>
      <c r="O44" s="21"/>
      <c r="P44" s="21"/>
      <c r="Q44" s="21"/>
      <c r="R44" s="9"/>
      <c r="S44" s="9"/>
      <c r="T44" s="9"/>
      <c r="U44" s="9"/>
      <c r="V44" s="9"/>
      <c r="W44" s="9"/>
      <c r="X44" s="8"/>
      <c r="Y44" s="19"/>
    </row>
    <row r="45" spans="4:25" x14ac:dyDescent="0.2">
      <c r="J45" s="21"/>
      <c r="K45" s="21"/>
      <c r="L45" s="21"/>
      <c r="M45" s="21"/>
      <c r="N45" s="21"/>
      <c r="O45" s="21"/>
      <c r="P45" s="21"/>
      <c r="Q45" s="21"/>
      <c r="R45" s="9"/>
      <c r="S45" s="9"/>
      <c r="T45" s="9"/>
      <c r="U45" s="9"/>
      <c r="V45" s="9"/>
      <c r="W45" s="9"/>
      <c r="X45" s="8"/>
      <c r="Y45" s="19"/>
    </row>
    <row r="46" spans="4:25" x14ac:dyDescent="0.2">
      <c r="J46" s="21"/>
      <c r="K46" s="21"/>
      <c r="L46" s="21"/>
      <c r="M46" s="21"/>
      <c r="N46" s="21"/>
      <c r="O46" s="21"/>
      <c r="P46" s="21"/>
      <c r="Q46" s="21"/>
      <c r="R46" s="9"/>
      <c r="S46" s="9"/>
      <c r="T46" s="9"/>
      <c r="U46" s="9"/>
      <c r="V46" s="9"/>
      <c r="W46" s="9"/>
      <c r="X46" s="8"/>
      <c r="Y46" s="19"/>
    </row>
    <row r="47" spans="4:25" x14ac:dyDescent="0.2">
      <c r="J47" s="21"/>
      <c r="K47" s="21"/>
      <c r="L47" s="21"/>
      <c r="M47" s="21"/>
      <c r="N47" s="21"/>
      <c r="O47" s="21"/>
      <c r="P47" s="21"/>
      <c r="Q47" s="21"/>
      <c r="R47" s="9"/>
      <c r="S47" s="9"/>
      <c r="T47" s="9"/>
      <c r="U47" s="9"/>
      <c r="V47" s="9"/>
      <c r="W47" s="9"/>
      <c r="X47" s="8"/>
      <c r="Y47" s="19"/>
    </row>
    <row r="48" spans="4:25" x14ac:dyDescent="0.2">
      <c r="J48" s="21"/>
      <c r="K48" s="21"/>
      <c r="L48" s="21"/>
      <c r="M48" s="21"/>
      <c r="N48" s="21"/>
      <c r="O48" s="21"/>
      <c r="P48" s="21"/>
      <c r="Q48" s="21"/>
      <c r="R48" s="9"/>
      <c r="S48" s="9"/>
      <c r="T48" s="9"/>
      <c r="U48" s="9"/>
      <c r="V48" s="9"/>
      <c r="W48" s="9"/>
      <c r="X48" s="8"/>
      <c r="Y48" s="19"/>
    </row>
    <row r="49" spans="10:25" x14ac:dyDescent="0.2">
      <c r="J49" s="21"/>
      <c r="K49" s="21"/>
      <c r="L49" s="21"/>
      <c r="M49" s="21"/>
      <c r="N49" s="21"/>
      <c r="O49" s="21"/>
      <c r="P49" s="21"/>
      <c r="Q49" s="21"/>
      <c r="R49" s="9"/>
      <c r="S49" s="9"/>
      <c r="T49" s="9"/>
      <c r="U49" s="9"/>
      <c r="V49" s="9"/>
      <c r="W49" s="9"/>
      <c r="X49" s="8"/>
      <c r="Y49" s="19"/>
    </row>
    <row r="50" spans="10:25" x14ac:dyDescent="0.2">
      <c r="J50" s="21"/>
      <c r="K50" s="21"/>
      <c r="L50" s="21"/>
      <c r="M50" s="21"/>
      <c r="N50" s="21"/>
      <c r="O50" s="21"/>
      <c r="P50" s="21"/>
      <c r="Q50" s="21"/>
      <c r="R50" s="9"/>
      <c r="S50" s="9"/>
      <c r="T50" s="9"/>
      <c r="U50" s="9"/>
      <c r="V50" s="9"/>
      <c r="W50" s="9"/>
      <c r="X50" s="8"/>
      <c r="Y50" s="19"/>
    </row>
    <row r="51" spans="10:25" x14ac:dyDescent="0.2">
      <c r="J51" s="21"/>
      <c r="K51" s="21"/>
      <c r="L51" s="21"/>
      <c r="M51" s="21"/>
      <c r="N51" s="21"/>
      <c r="O51" s="21"/>
      <c r="P51" s="21"/>
      <c r="Q51" s="21"/>
      <c r="R51" s="9"/>
      <c r="S51" s="9"/>
      <c r="T51" s="9"/>
      <c r="U51" s="9"/>
      <c r="V51" s="9"/>
      <c r="W51" s="9"/>
      <c r="X51" s="8"/>
      <c r="Y51" s="19"/>
    </row>
    <row r="52" spans="10:25" x14ac:dyDescent="0.2">
      <c r="J52" s="21"/>
      <c r="K52" s="21"/>
      <c r="L52" s="21"/>
      <c r="M52" s="21"/>
      <c r="N52" s="21"/>
      <c r="O52" s="21"/>
      <c r="P52" s="21"/>
      <c r="Q52" s="21"/>
      <c r="R52" s="9"/>
      <c r="S52" s="9"/>
      <c r="T52" s="9"/>
      <c r="U52" s="9"/>
      <c r="V52" s="9"/>
      <c r="W52" s="9"/>
      <c r="X52" s="8"/>
      <c r="Y52" s="19"/>
    </row>
    <row r="53" spans="10:25" x14ac:dyDescent="0.2">
      <c r="J53" s="21"/>
      <c r="K53" s="21"/>
      <c r="L53" s="21"/>
      <c r="M53" s="21"/>
      <c r="N53" s="21"/>
      <c r="O53" s="21"/>
      <c r="P53" s="21"/>
      <c r="Q53" s="21"/>
      <c r="R53" s="9"/>
      <c r="S53" s="9"/>
      <c r="T53" s="9"/>
      <c r="U53" s="9"/>
      <c r="V53" s="9"/>
      <c r="W53" s="9"/>
      <c r="X53" s="8"/>
      <c r="Y53" s="19"/>
    </row>
    <row r="54" spans="10:25" x14ac:dyDescent="0.2">
      <c r="J54" s="21"/>
      <c r="K54" s="21"/>
      <c r="L54" s="21"/>
      <c r="M54" s="21"/>
      <c r="N54" s="21"/>
      <c r="O54" s="21"/>
      <c r="P54" s="21"/>
      <c r="Q54" s="21"/>
      <c r="R54" s="9"/>
      <c r="S54" s="9"/>
      <c r="T54" s="9"/>
      <c r="U54" s="9"/>
      <c r="V54" s="9"/>
      <c r="W54" s="9"/>
      <c r="X54" s="8"/>
      <c r="Y54" s="19"/>
    </row>
    <row r="55" spans="10:25" x14ac:dyDescent="0.2">
      <c r="J55" s="21"/>
      <c r="K55" s="21"/>
      <c r="L55" s="21"/>
      <c r="M55" s="21"/>
      <c r="N55" s="21"/>
      <c r="O55" s="21"/>
      <c r="P55" s="21"/>
      <c r="Q55" s="21"/>
      <c r="R55" s="9"/>
      <c r="S55" s="9"/>
      <c r="T55" s="9"/>
      <c r="U55" s="9"/>
      <c r="V55" s="9"/>
      <c r="W55" s="9"/>
      <c r="X55" s="8"/>
      <c r="Y55" s="19"/>
    </row>
    <row r="56" spans="10:25" x14ac:dyDescent="0.2">
      <c r="J56" s="21"/>
      <c r="K56" s="21"/>
      <c r="L56" s="21"/>
      <c r="M56" s="21"/>
      <c r="N56" s="21"/>
      <c r="O56" s="21"/>
      <c r="P56" s="21"/>
      <c r="Q56" s="21"/>
      <c r="R56" s="9"/>
      <c r="S56" s="9"/>
      <c r="T56" s="9"/>
      <c r="U56" s="9"/>
      <c r="V56" s="9"/>
      <c r="W56" s="9"/>
      <c r="X56" s="8"/>
      <c r="Y56" s="19"/>
    </row>
    <row r="57" spans="10:25" x14ac:dyDescent="0.2">
      <c r="J57" s="21"/>
      <c r="K57" s="21"/>
      <c r="L57" s="21"/>
      <c r="M57" s="21"/>
      <c r="N57" s="21"/>
      <c r="O57" s="21"/>
      <c r="P57" s="21"/>
      <c r="Q57" s="21"/>
      <c r="R57" s="9"/>
      <c r="S57" s="9"/>
      <c r="T57" s="9"/>
      <c r="U57" s="9"/>
      <c r="V57" s="9"/>
      <c r="W57" s="9"/>
      <c r="X57" s="8"/>
      <c r="Y57" s="19"/>
    </row>
    <row r="58" spans="10:25" x14ac:dyDescent="0.2">
      <c r="J58" s="21"/>
      <c r="K58" s="21"/>
      <c r="L58" s="21"/>
      <c r="M58" s="21"/>
      <c r="N58" s="21"/>
      <c r="O58" s="21"/>
      <c r="P58" s="21"/>
      <c r="Q58" s="21"/>
      <c r="R58" s="9"/>
      <c r="S58" s="9"/>
      <c r="T58" s="9"/>
      <c r="U58" s="9"/>
      <c r="V58" s="9"/>
      <c r="W58" s="9"/>
      <c r="X58" s="8"/>
      <c r="Y58" s="19"/>
    </row>
    <row r="59" spans="10:25" x14ac:dyDescent="0.2">
      <c r="J59" s="21"/>
      <c r="K59" s="21"/>
      <c r="L59" s="21"/>
      <c r="M59" s="21"/>
      <c r="N59" s="21"/>
      <c r="O59" s="21"/>
      <c r="P59" s="21"/>
      <c r="Q59" s="21"/>
      <c r="R59" s="9"/>
      <c r="S59" s="9"/>
      <c r="T59" s="9"/>
      <c r="U59" s="9"/>
      <c r="V59" s="9"/>
      <c r="W59" s="9"/>
      <c r="X59" s="8"/>
      <c r="Y59" s="19"/>
    </row>
    <row r="60" spans="10:25" x14ac:dyDescent="0.2">
      <c r="J60" s="21"/>
      <c r="K60" s="21"/>
      <c r="L60" s="21"/>
      <c r="M60" s="21"/>
      <c r="N60" s="21"/>
      <c r="O60" s="21"/>
      <c r="P60" s="21"/>
      <c r="Q60" s="21"/>
      <c r="R60" s="9"/>
      <c r="S60" s="9"/>
      <c r="T60" s="9"/>
      <c r="U60" s="9"/>
      <c r="V60" s="9"/>
      <c r="W60" s="9"/>
      <c r="X60" s="8"/>
      <c r="Y60" s="19"/>
    </row>
    <row r="61" spans="10:25" x14ac:dyDescent="0.2">
      <c r="J61" s="21"/>
      <c r="K61" s="21"/>
      <c r="L61" s="21"/>
      <c r="M61" s="21"/>
      <c r="N61" s="21"/>
      <c r="O61" s="21"/>
      <c r="P61" s="21"/>
      <c r="Q61" s="21"/>
      <c r="R61" s="9"/>
      <c r="S61" s="9"/>
      <c r="T61" s="9"/>
      <c r="U61" s="9"/>
      <c r="V61" s="9"/>
      <c r="W61" s="9"/>
      <c r="X61" s="8"/>
      <c r="Y61" s="19"/>
    </row>
    <row r="62" spans="10:25" x14ac:dyDescent="0.2">
      <c r="J62" s="21"/>
      <c r="K62" s="21"/>
      <c r="L62" s="21"/>
      <c r="M62" s="21"/>
      <c r="N62" s="21"/>
      <c r="O62" s="21"/>
      <c r="P62" s="21"/>
      <c r="Q62" s="21"/>
      <c r="R62" s="9"/>
      <c r="S62" s="9"/>
      <c r="T62" s="9"/>
      <c r="U62" s="9"/>
      <c r="V62" s="9"/>
      <c r="W62" s="9"/>
      <c r="X62" s="8"/>
      <c r="Y62" s="19"/>
    </row>
    <row r="63" spans="10:25" x14ac:dyDescent="0.2">
      <c r="J63" s="21"/>
      <c r="K63" s="21"/>
      <c r="L63" s="21"/>
      <c r="M63" s="21"/>
      <c r="N63" s="21"/>
      <c r="O63" s="21"/>
      <c r="P63" s="21"/>
      <c r="Q63" s="21"/>
      <c r="R63" s="9"/>
      <c r="S63" s="9"/>
      <c r="T63" s="9"/>
      <c r="U63" s="9"/>
      <c r="V63" s="9"/>
      <c r="W63" s="9"/>
      <c r="X63" s="8"/>
      <c r="Y63" s="19"/>
    </row>
    <row r="64" spans="10:25" x14ac:dyDescent="0.2">
      <c r="J64" s="21"/>
      <c r="K64" s="21"/>
      <c r="L64" s="21"/>
      <c r="M64" s="21"/>
      <c r="N64" s="21"/>
      <c r="O64" s="21"/>
      <c r="P64" s="21"/>
      <c r="Q64" s="21"/>
      <c r="R64" s="9"/>
      <c r="S64" s="9"/>
      <c r="T64" s="9"/>
      <c r="U64" s="9"/>
      <c r="V64" s="9"/>
      <c r="W64" s="9"/>
      <c r="X64" s="8"/>
      <c r="Y64" s="19"/>
    </row>
    <row r="65" spans="10:25" x14ac:dyDescent="0.2">
      <c r="J65" s="21"/>
      <c r="K65" s="21"/>
      <c r="L65" s="21"/>
      <c r="M65" s="21"/>
      <c r="N65" s="21"/>
      <c r="O65" s="21"/>
      <c r="P65" s="21"/>
      <c r="Q65" s="21"/>
      <c r="R65" s="9"/>
      <c r="S65" s="9"/>
      <c r="T65" s="9"/>
      <c r="U65" s="9"/>
      <c r="V65" s="9"/>
      <c r="W65" s="9"/>
      <c r="X65" s="8"/>
      <c r="Y65" s="19"/>
    </row>
    <row r="66" spans="10:25" x14ac:dyDescent="0.2">
      <c r="J66" s="21"/>
      <c r="K66" s="21"/>
      <c r="L66" s="21"/>
      <c r="M66" s="21"/>
      <c r="N66" s="21"/>
      <c r="O66" s="21"/>
      <c r="P66" s="21"/>
      <c r="Q66" s="21"/>
      <c r="R66" s="9"/>
      <c r="S66" s="9"/>
      <c r="T66" s="9"/>
      <c r="U66" s="9"/>
      <c r="V66" s="9"/>
      <c r="W66" s="9"/>
      <c r="X66" s="8"/>
      <c r="Y66" s="19"/>
    </row>
    <row r="67" spans="10:25" x14ac:dyDescent="0.2">
      <c r="J67" s="21"/>
      <c r="K67" s="21"/>
      <c r="L67" s="21"/>
      <c r="M67" s="21"/>
      <c r="N67" s="21"/>
      <c r="O67" s="21"/>
      <c r="P67" s="21"/>
      <c r="Q67" s="21"/>
      <c r="R67" s="9"/>
      <c r="S67" s="9"/>
      <c r="T67" s="9"/>
      <c r="U67" s="9"/>
      <c r="V67" s="9"/>
      <c r="W67" s="9"/>
      <c r="X67" s="8"/>
      <c r="Y67" s="19"/>
    </row>
    <row r="68" spans="10:25" x14ac:dyDescent="0.2">
      <c r="J68" s="21"/>
      <c r="K68" s="21"/>
      <c r="L68" s="21"/>
      <c r="M68" s="21"/>
      <c r="N68" s="21"/>
      <c r="O68" s="21"/>
      <c r="P68" s="21"/>
      <c r="Q68" s="21"/>
      <c r="R68" s="9"/>
      <c r="S68" s="9"/>
      <c r="T68" s="9"/>
      <c r="U68" s="9"/>
      <c r="V68" s="9"/>
      <c r="W68" s="9"/>
      <c r="X68" s="8"/>
      <c r="Y68" s="19"/>
    </row>
    <row r="69" spans="10:25" x14ac:dyDescent="0.2">
      <c r="J69" s="21"/>
      <c r="K69" s="21"/>
      <c r="L69" s="21"/>
      <c r="M69" s="21"/>
      <c r="N69" s="21"/>
      <c r="O69" s="21"/>
      <c r="P69" s="21"/>
      <c r="Q69" s="21"/>
      <c r="R69" s="9"/>
      <c r="S69" s="9"/>
      <c r="T69" s="9"/>
      <c r="U69" s="9"/>
      <c r="V69" s="9"/>
      <c r="W69" s="9"/>
      <c r="X69" s="8"/>
      <c r="Y69" s="19"/>
    </row>
    <row r="70" spans="10:25" x14ac:dyDescent="0.2">
      <c r="J70" s="21"/>
      <c r="K70" s="21"/>
      <c r="L70" s="21"/>
      <c r="M70" s="21"/>
      <c r="N70" s="21"/>
      <c r="O70" s="21"/>
      <c r="P70" s="21"/>
      <c r="Q70" s="21"/>
      <c r="R70" s="9"/>
      <c r="S70" s="9"/>
      <c r="T70" s="9"/>
      <c r="U70" s="9"/>
      <c r="V70" s="9"/>
      <c r="W70" s="9"/>
      <c r="X70" s="8"/>
      <c r="Y70" s="19"/>
    </row>
    <row r="71" spans="10:25" x14ac:dyDescent="0.2">
      <c r="J71" s="21"/>
      <c r="K71" s="21"/>
      <c r="L71" s="21"/>
      <c r="M71" s="21"/>
      <c r="N71" s="21"/>
      <c r="O71" s="21"/>
      <c r="P71" s="21"/>
      <c r="Q71" s="21"/>
      <c r="R71" s="9"/>
      <c r="S71" s="9"/>
      <c r="T71" s="9"/>
      <c r="U71" s="9"/>
      <c r="V71" s="9"/>
      <c r="W71" s="9"/>
      <c r="X71" s="8"/>
      <c r="Y71" s="19"/>
    </row>
    <row r="72" spans="10:25" x14ac:dyDescent="0.2">
      <c r="J72" s="21"/>
      <c r="K72" s="21"/>
      <c r="L72" s="21"/>
      <c r="M72" s="21"/>
      <c r="N72" s="21"/>
      <c r="O72" s="21"/>
      <c r="P72" s="21"/>
      <c r="Q72" s="21"/>
      <c r="R72" s="9"/>
      <c r="S72" s="9"/>
      <c r="T72" s="9"/>
      <c r="U72" s="9"/>
      <c r="V72" s="9"/>
      <c r="W72" s="9"/>
      <c r="X72" s="8"/>
      <c r="Y72" s="19"/>
    </row>
    <row r="73" spans="10:25" x14ac:dyDescent="0.2">
      <c r="J73" s="21"/>
      <c r="K73" s="21"/>
      <c r="L73" s="21"/>
      <c r="M73" s="21"/>
      <c r="N73" s="21"/>
      <c r="O73" s="21"/>
      <c r="P73" s="21"/>
      <c r="Q73" s="21"/>
      <c r="R73" s="9"/>
      <c r="S73" s="9"/>
      <c r="T73" s="9"/>
      <c r="U73" s="9"/>
      <c r="V73" s="9"/>
      <c r="W73" s="9"/>
      <c r="X73" s="8"/>
      <c r="Y73" s="19"/>
    </row>
    <row r="74" spans="10:25" x14ac:dyDescent="0.2">
      <c r="J74" s="21"/>
      <c r="K74" s="21"/>
      <c r="L74" s="21"/>
      <c r="M74" s="21"/>
      <c r="N74" s="21"/>
      <c r="O74" s="21"/>
      <c r="P74" s="21"/>
      <c r="Q74" s="21"/>
      <c r="R74" s="9"/>
      <c r="S74" s="9"/>
      <c r="T74" s="9"/>
      <c r="U74" s="9"/>
      <c r="V74" s="9"/>
      <c r="W74" s="9"/>
      <c r="X74" s="8"/>
      <c r="Y74" s="19"/>
    </row>
    <row r="75" spans="10:25" x14ac:dyDescent="0.2">
      <c r="J75" s="21"/>
      <c r="K75" s="21"/>
      <c r="L75" s="21"/>
      <c r="M75" s="21"/>
      <c r="N75" s="21"/>
      <c r="O75" s="21"/>
      <c r="P75" s="21"/>
      <c r="Q75" s="21"/>
      <c r="R75" s="9"/>
      <c r="S75" s="9"/>
      <c r="T75" s="9"/>
      <c r="U75" s="9"/>
      <c r="V75" s="9"/>
      <c r="W75" s="9"/>
      <c r="X75" s="8"/>
      <c r="Y75" s="19"/>
    </row>
    <row r="76" spans="10:25" x14ac:dyDescent="0.2">
      <c r="J76" s="21"/>
      <c r="K76" s="21"/>
      <c r="L76" s="21"/>
      <c r="M76" s="21"/>
      <c r="N76" s="21"/>
      <c r="O76" s="21"/>
      <c r="P76" s="21"/>
      <c r="Q76" s="21"/>
      <c r="R76" s="9"/>
      <c r="S76" s="9"/>
      <c r="T76" s="9"/>
      <c r="U76" s="9"/>
      <c r="V76" s="9"/>
      <c r="W76" s="9"/>
      <c r="X76" s="8"/>
      <c r="Y76" s="19"/>
    </row>
    <row r="77" spans="10:25" x14ac:dyDescent="0.2">
      <c r="J77" s="21"/>
      <c r="K77" s="21"/>
      <c r="L77" s="21"/>
      <c r="M77" s="21"/>
      <c r="N77" s="21"/>
      <c r="O77" s="21"/>
      <c r="P77" s="21"/>
      <c r="Q77" s="21"/>
      <c r="R77" s="9"/>
      <c r="S77" s="9"/>
      <c r="T77" s="9"/>
      <c r="U77" s="9"/>
      <c r="V77" s="9"/>
      <c r="W77" s="9"/>
      <c r="X77" s="8"/>
      <c r="Y77" s="19"/>
    </row>
    <row r="78" spans="10:25" x14ac:dyDescent="0.2">
      <c r="J78" s="21"/>
      <c r="K78" s="21"/>
      <c r="L78" s="21"/>
      <c r="M78" s="21"/>
      <c r="N78" s="21"/>
      <c r="O78" s="21"/>
      <c r="P78" s="21"/>
      <c r="Q78" s="21"/>
      <c r="R78" s="9"/>
      <c r="S78" s="9"/>
      <c r="T78" s="9"/>
      <c r="U78" s="9"/>
      <c r="V78" s="9"/>
      <c r="W78" s="9"/>
      <c r="X78" s="8"/>
      <c r="Y78" s="19"/>
    </row>
    <row r="79" spans="10:25" x14ac:dyDescent="0.2">
      <c r="J79" s="21"/>
      <c r="K79" s="21"/>
      <c r="L79" s="21"/>
      <c r="M79" s="21"/>
      <c r="N79" s="21"/>
      <c r="O79" s="21"/>
      <c r="P79" s="21"/>
      <c r="Q79" s="21"/>
      <c r="R79" s="9"/>
      <c r="S79" s="9"/>
      <c r="T79" s="9"/>
      <c r="U79" s="9"/>
      <c r="V79" s="9"/>
      <c r="W79" s="9"/>
      <c r="X79" s="8"/>
      <c r="Y79" s="19"/>
    </row>
    <row r="80" spans="10:25" x14ac:dyDescent="0.2">
      <c r="J80" s="21"/>
      <c r="K80" s="21"/>
      <c r="L80" s="21"/>
      <c r="M80" s="21"/>
      <c r="N80" s="21"/>
      <c r="O80" s="21"/>
      <c r="P80" s="21"/>
      <c r="Q80" s="21"/>
      <c r="R80" s="9"/>
      <c r="S80" s="9"/>
      <c r="T80" s="9"/>
      <c r="U80" s="9"/>
      <c r="V80" s="9"/>
      <c r="W80" s="9"/>
      <c r="X80" s="8"/>
      <c r="Y80" s="19"/>
    </row>
    <row r="81" spans="10:25" x14ac:dyDescent="0.2">
      <c r="J81" s="21"/>
      <c r="K81" s="21"/>
      <c r="L81" s="21"/>
      <c r="M81" s="21"/>
      <c r="N81" s="21"/>
      <c r="O81" s="21"/>
      <c r="P81" s="21"/>
      <c r="Q81" s="21"/>
      <c r="R81" s="9"/>
      <c r="S81" s="9"/>
      <c r="T81" s="9"/>
      <c r="U81" s="9"/>
      <c r="V81" s="9"/>
      <c r="W81" s="9"/>
      <c r="X81" s="8"/>
      <c r="Y81" s="19"/>
    </row>
    <row r="82" spans="10:25" x14ac:dyDescent="0.2">
      <c r="J82" s="21"/>
      <c r="K82" s="21"/>
      <c r="L82" s="21"/>
      <c r="M82" s="21"/>
      <c r="N82" s="21"/>
      <c r="O82" s="21"/>
      <c r="P82" s="21"/>
      <c r="Q82" s="21"/>
      <c r="R82" s="9"/>
      <c r="S82" s="9"/>
      <c r="T82" s="9"/>
      <c r="U82" s="9"/>
      <c r="V82" s="9"/>
      <c r="W82" s="9"/>
      <c r="X82" s="8"/>
      <c r="Y82" s="19"/>
    </row>
    <row r="83" spans="10:25" x14ac:dyDescent="0.2">
      <c r="J83" s="21"/>
      <c r="K83" s="21"/>
      <c r="L83" s="21"/>
      <c r="M83" s="21"/>
      <c r="N83" s="21"/>
      <c r="O83" s="21"/>
      <c r="P83" s="21"/>
      <c r="Q83" s="21"/>
      <c r="R83" s="9"/>
      <c r="S83" s="9"/>
      <c r="T83" s="9"/>
      <c r="U83" s="9"/>
      <c r="V83" s="9"/>
      <c r="W83" s="9"/>
      <c r="X83" s="8"/>
      <c r="Y83" s="19"/>
    </row>
    <row r="84" spans="10:25" x14ac:dyDescent="0.2">
      <c r="J84" s="21"/>
      <c r="K84" s="21"/>
      <c r="L84" s="21"/>
      <c r="M84" s="21"/>
      <c r="N84" s="21"/>
      <c r="O84" s="21"/>
      <c r="P84" s="21"/>
      <c r="Q84" s="21"/>
      <c r="R84" s="9"/>
      <c r="S84" s="9"/>
      <c r="T84" s="9"/>
      <c r="U84" s="9"/>
      <c r="V84" s="9"/>
      <c r="W84" s="9"/>
      <c r="X84" s="8"/>
      <c r="Y84" s="19"/>
    </row>
    <row r="85" spans="10:25" x14ac:dyDescent="0.2">
      <c r="J85" s="21"/>
      <c r="K85" s="21"/>
      <c r="L85" s="21"/>
      <c r="M85" s="21"/>
      <c r="N85" s="21"/>
      <c r="O85" s="21"/>
      <c r="P85" s="21"/>
      <c r="Q85" s="21"/>
      <c r="R85" s="9"/>
      <c r="S85" s="9"/>
      <c r="T85" s="9"/>
      <c r="U85" s="9"/>
      <c r="V85" s="9"/>
      <c r="W85" s="9"/>
      <c r="X85" s="8"/>
      <c r="Y85" s="19"/>
    </row>
    <row r="86" spans="10:25" x14ac:dyDescent="0.2">
      <c r="J86" s="21"/>
      <c r="K86" s="21"/>
      <c r="L86" s="21"/>
      <c r="M86" s="21"/>
      <c r="N86" s="21"/>
      <c r="O86" s="21"/>
      <c r="P86" s="21"/>
      <c r="Q86" s="21"/>
      <c r="R86" s="9"/>
      <c r="S86" s="9"/>
      <c r="T86" s="9"/>
      <c r="U86" s="9"/>
      <c r="V86" s="9"/>
      <c r="W86" s="9"/>
      <c r="X86" s="8"/>
      <c r="Y86" s="19"/>
    </row>
    <row r="87" spans="10:25" x14ac:dyDescent="0.2">
      <c r="J87" s="21"/>
      <c r="K87" s="21"/>
      <c r="L87" s="21"/>
      <c r="M87" s="21"/>
      <c r="N87" s="21"/>
      <c r="O87" s="21"/>
      <c r="P87" s="21"/>
      <c r="Q87" s="21"/>
      <c r="R87" s="9"/>
      <c r="S87" s="9"/>
      <c r="T87" s="9"/>
      <c r="U87" s="9"/>
      <c r="V87" s="9"/>
      <c r="W87" s="9"/>
      <c r="X87" s="8"/>
      <c r="Y87" s="19"/>
    </row>
    <row r="88" spans="10:25" x14ac:dyDescent="0.2">
      <c r="J88" s="21"/>
      <c r="K88" s="21"/>
      <c r="L88" s="21"/>
      <c r="M88" s="21"/>
      <c r="N88" s="21"/>
      <c r="O88" s="21"/>
      <c r="P88" s="21"/>
      <c r="Q88" s="21"/>
      <c r="R88" s="9"/>
      <c r="S88" s="9"/>
      <c r="T88" s="9"/>
      <c r="U88" s="9"/>
      <c r="V88" s="9"/>
      <c r="W88" s="9"/>
      <c r="X88" s="8"/>
      <c r="Y88" s="19"/>
    </row>
    <row r="89" spans="10:25" x14ac:dyDescent="0.2">
      <c r="J89" s="21"/>
      <c r="K89" s="21"/>
      <c r="L89" s="21"/>
      <c r="M89" s="21"/>
      <c r="N89" s="21"/>
      <c r="O89" s="21"/>
      <c r="P89" s="21"/>
      <c r="Q89" s="21"/>
      <c r="R89" s="9"/>
      <c r="S89" s="9"/>
      <c r="T89" s="9"/>
      <c r="U89" s="9"/>
      <c r="V89" s="9"/>
      <c r="W89" s="9"/>
      <c r="X89" s="8"/>
      <c r="Y89" s="19"/>
    </row>
    <row r="90" spans="10:25" x14ac:dyDescent="0.2">
      <c r="J90" s="21"/>
      <c r="K90" s="21"/>
      <c r="L90" s="21"/>
      <c r="M90" s="21"/>
      <c r="N90" s="21"/>
      <c r="O90" s="21"/>
      <c r="P90" s="21"/>
      <c r="Q90" s="21"/>
      <c r="R90" s="9"/>
      <c r="S90" s="9"/>
      <c r="T90" s="9"/>
      <c r="U90" s="9"/>
      <c r="V90" s="9"/>
      <c r="W90" s="9"/>
      <c r="X90" s="8"/>
      <c r="Y90" s="19"/>
    </row>
    <row r="91" spans="10:25" x14ac:dyDescent="0.2">
      <c r="J91" s="21"/>
      <c r="K91" s="21"/>
      <c r="L91" s="21"/>
      <c r="M91" s="21"/>
      <c r="N91" s="21"/>
      <c r="O91" s="21"/>
      <c r="P91" s="21"/>
      <c r="Q91" s="21"/>
      <c r="R91" s="9"/>
      <c r="S91" s="9"/>
      <c r="T91" s="9"/>
      <c r="U91" s="9"/>
      <c r="V91" s="9"/>
      <c r="W91" s="9"/>
      <c r="X91" s="8"/>
      <c r="Y91" s="19"/>
    </row>
    <row r="92" spans="10:25" x14ac:dyDescent="0.2">
      <c r="J92" s="21"/>
      <c r="K92" s="21"/>
      <c r="L92" s="21"/>
      <c r="M92" s="21"/>
      <c r="N92" s="21"/>
      <c r="O92" s="21"/>
      <c r="P92" s="21"/>
      <c r="Q92" s="21"/>
      <c r="R92" s="9"/>
      <c r="S92" s="9"/>
      <c r="T92" s="9"/>
      <c r="U92" s="9"/>
      <c r="V92" s="9"/>
      <c r="W92" s="9"/>
      <c r="X92" s="8"/>
      <c r="Y92" s="19"/>
    </row>
    <row r="93" spans="10:25" x14ac:dyDescent="0.2">
      <c r="J93" s="21"/>
      <c r="K93" s="21"/>
      <c r="L93" s="21"/>
      <c r="M93" s="21"/>
      <c r="N93" s="21"/>
      <c r="O93" s="21"/>
      <c r="P93" s="21"/>
      <c r="Q93" s="21"/>
      <c r="R93" s="9"/>
      <c r="S93" s="9"/>
      <c r="T93" s="9"/>
      <c r="U93" s="9"/>
      <c r="V93" s="9"/>
      <c r="W93" s="9"/>
      <c r="X93" s="8"/>
      <c r="Y93" s="19"/>
    </row>
    <row r="94" spans="10:25" x14ac:dyDescent="0.2">
      <c r="J94" s="21"/>
      <c r="K94" s="21"/>
      <c r="L94" s="21"/>
      <c r="M94" s="21"/>
      <c r="N94" s="21"/>
      <c r="O94" s="21"/>
      <c r="P94" s="21"/>
      <c r="Q94" s="21"/>
      <c r="R94" s="9"/>
      <c r="S94" s="9"/>
      <c r="T94" s="9"/>
      <c r="U94" s="9"/>
      <c r="V94" s="9"/>
      <c r="W94" s="9"/>
      <c r="X94" s="8"/>
      <c r="Y94" s="19"/>
    </row>
    <row r="95" spans="10:25" x14ac:dyDescent="0.2">
      <c r="J95" s="21"/>
      <c r="K95" s="21"/>
      <c r="L95" s="21"/>
      <c r="M95" s="21"/>
      <c r="N95" s="21"/>
      <c r="O95" s="21"/>
      <c r="P95" s="21"/>
      <c r="Q95" s="21"/>
      <c r="R95" s="9"/>
      <c r="S95" s="9"/>
      <c r="T95" s="9"/>
      <c r="U95" s="9"/>
      <c r="V95" s="9"/>
      <c r="W95" s="9"/>
      <c r="X95" s="8"/>
      <c r="Y95" s="19"/>
    </row>
    <row r="96" spans="10:25" x14ac:dyDescent="0.2">
      <c r="J96" s="21"/>
      <c r="K96" s="21"/>
      <c r="L96" s="21"/>
      <c r="M96" s="21"/>
      <c r="N96" s="21"/>
      <c r="O96" s="21"/>
      <c r="P96" s="21"/>
      <c r="Q96" s="21"/>
      <c r="R96" s="9"/>
      <c r="S96" s="9"/>
      <c r="T96" s="9"/>
      <c r="U96" s="9"/>
      <c r="V96" s="9"/>
      <c r="W96" s="9"/>
      <c r="X96" s="8"/>
      <c r="Y96" s="19"/>
    </row>
    <row r="97" spans="10:25" x14ac:dyDescent="0.2">
      <c r="J97" s="21"/>
      <c r="K97" s="21"/>
      <c r="L97" s="21"/>
      <c r="M97" s="21"/>
      <c r="N97" s="21"/>
      <c r="O97" s="21"/>
      <c r="P97" s="21"/>
      <c r="Q97" s="21"/>
      <c r="R97" s="9"/>
      <c r="S97" s="9"/>
      <c r="T97" s="9"/>
      <c r="U97" s="9"/>
      <c r="V97" s="9"/>
      <c r="W97" s="9"/>
      <c r="X97" s="8"/>
      <c r="Y97" s="19"/>
    </row>
    <row r="98" spans="10:25" x14ac:dyDescent="0.2">
      <c r="J98" s="21"/>
      <c r="K98" s="21"/>
      <c r="L98" s="21"/>
      <c r="M98" s="21"/>
      <c r="N98" s="21"/>
      <c r="O98" s="21"/>
      <c r="P98" s="21"/>
      <c r="Q98" s="21"/>
      <c r="R98" s="9"/>
      <c r="S98" s="9"/>
      <c r="T98" s="9"/>
      <c r="U98" s="9"/>
      <c r="V98" s="9"/>
      <c r="W98" s="9"/>
      <c r="X98" s="8"/>
      <c r="Y98" s="19"/>
    </row>
    <row r="99" spans="10:25" x14ac:dyDescent="0.2">
      <c r="J99" s="21"/>
      <c r="K99" s="21"/>
      <c r="L99" s="21"/>
      <c r="M99" s="21"/>
      <c r="N99" s="21"/>
      <c r="O99" s="21"/>
      <c r="P99" s="21"/>
      <c r="Q99" s="21"/>
      <c r="R99" s="9"/>
      <c r="S99" s="9"/>
      <c r="T99" s="9"/>
      <c r="U99" s="9"/>
      <c r="V99" s="9"/>
      <c r="W99" s="9"/>
      <c r="X99" s="8"/>
      <c r="Y99" s="19"/>
    </row>
    <row r="100" spans="10:25" x14ac:dyDescent="0.2">
      <c r="J100" s="21"/>
      <c r="K100" s="21"/>
      <c r="L100" s="21"/>
      <c r="M100" s="21"/>
      <c r="N100" s="21"/>
      <c r="O100" s="21"/>
      <c r="P100" s="21"/>
      <c r="Q100" s="21"/>
      <c r="R100" s="9"/>
      <c r="S100" s="9"/>
      <c r="T100" s="9"/>
      <c r="U100" s="9"/>
      <c r="V100" s="9"/>
      <c r="W100" s="9"/>
      <c r="X100" s="8"/>
      <c r="Y100" s="19"/>
    </row>
    <row r="101" spans="10:25" x14ac:dyDescent="0.2">
      <c r="J101" s="21"/>
      <c r="K101" s="21"/>
      <c r="L101" s="21"/>
      <c r="M101" s="21"/>
      <c r="N101" s="21"/>
      <c r="O101" s="21"/>
      <c r="P101" s="21"/>
      <c r="Q101" s="21"/>
      <c r="R101" s="9"/>
      <c r="S101" s="9"/>
      <c r="T101" s="9"/>
      <c r="U101" s="9"/>
      <c r="V101" s="9"/>
      <c r="W101" s="9"/>
      <c r="X101" s="8"/>
      <c r="Y101" s="19"/>
    </row>
    <row r="102" spans="10:25" x14ac:dyDescent="0.2">
      <c r="J102" s="21"/>
      <c r="K102" s="21"/>
      <c r="L102" s="21"/>
      <c r="M102" s="21"/>
      <c r="N102" s="21"/>
      <c r="O102" s="21"/>
      <c r="P102" s="21"/>
      <c r="Q102" s="21"/>
      <c r="R102" s="9"/>
      <c r="S102" s="9"/>
      <c r="T102" s="9"/>
      <c r="U102" s="9"/>
      <c r="V102" s="9"/>
      <c r="W102" s="9"/>
      <c r="X102" s="8"/>
      <c r="Y102" s="19"/>
    </row>
    <row r="103" spans="10:25" x14ac:dyDescent="0.2">
      <c r="J103" s="21"/>
      <c r="K103" s="21"/>
      <c r="L103" s="21"/>
      <c r="M103" s="21"/>
      <c r="N103" s="21"/>
      <c r="O103" s="21"/>
      <c r="P103" s="21"/>
      <c r="Q103" s="21"/>
      <c r="R103" s="9"/>
      <c r="S103" s="9"/>
      <c r="T103" s="9"/>
      <c r="U103" s="9"/>
      <c r="V103" s="9"/>
      <c r="W103" s="9"/>
      <c r="X103" s="8"/>
      <c r="Y103" s="19"/>
    </row>
    <row r="104" spans="10:25" x14ac:dyDescent="0.2">
      <c r="J104" s="21"/>
      <c r="K104" s="21"/>
      <c r="L104" s="21"/>
      <c r="M104" s="21"/>
      <c r="N104" s="21"/>
      <c r="O104" s="21"/>
      <c r="P104" s="21"/>
      <c r="Q104" s="21"/>
      <c r="R104" s="9"/>
      <c r="S104" s="9"/>
      <c r="T104" s="9"/>
      <c r="U104" s="9"/>
      <c r="V104" s="9"/>
      <c r="W104" s="9"/>
      <c r="X104" s="8"/>
      <c r="Y104" s="19"/>
    </row>
    <row r="105" spans="10:25" x14ac:dyDescent="0.2">
      <c r="J105" s="21"/>
      <c r="K105" s="21"/>
      <c r="L105" s="21"/>
      <c r="M105" s="21"/>
      <c r="N105" s="21"/>
      <c r="O105" s="21"/>
      <c r="P105" s="21"/>
      <c r="Q105" s="21"/>
      <c r="R105" s="9"/>
      <c r="S105" s="9"/>
      <c r="T105" s="9"/>
      <c r="U105" s="9"/>
      <c r="V105" s="9"/>
      <c r="W105" s="9"/>
      <c r="X105" s="8"/>
      <c r="Y105" s="19"/>
    </row>
    <row r="106" spans="10:25" x14ac:dyDescent="0.2">
      <c r="J106" s="21"/>
      <c r="K106" s="21"/>
      <c r="L106" s="21"/>
      <c r="M106" s="21"/>
      <c r="N106" s="21"/>
      <c r="O106" s="21"/>
      <c r="P106" s="21"/>
      <c r="Q106" s="21"/>
      <c r="R106" s="9"/>
      <c r="S106" s="9"/>
      <c r="T106" s="9"/>
      <c r="U106" s="9"/>
      <c r="V106" s="9"/>
      <c r="W106" s="9"/>
      <c r="X106" s="8"/>
      <c r="Y106" s="19"/>
    </row>
    <row r="107" spans="10:25" x14ac:dyDescent="0.2">
      <c r="J107" s="21"/>
      <c r="K107" s="21"/>
      <c r="L107" s="21"/>
      <c r="M107" s="21"/>
      <c r="N107" s="21"/>
      <c r="O107" s="21"/>
      <c r="P107" s="21"/>
      <c r="Q107" s="21"/>
      <c r="R107" s="9"/>
      <c r="S107" s="9"/>
      <c r="T107" s="9"/>
      <c r="U107" s="9"/>
      <c r="V107" s="9"/>
      <c r="W107" s="9"/>
      <c r="X107" s="8"/>
      <c r="Y107" s="19"/>
    </row>
    <row r="108" spans="10:25" x14ac:dyDescent="0.2">
      <c r="J108" s="21"/>
      <c r="K108" s="21"/>
      <c r="L108" s="21"/>
      <c r="M108" s="21"/>
      <c r="N108" s="21"/>
      <c r="O108" s="21"/>
      <c r="P108" s="21"/>
      <c r="Q108" s="21"/>
      <c r="R108" s="9"/>
      <c r="S108" s="9"/>
      <c r="T108" s="9"/>
      <c r="U108" s="9"/>
      <c r="V108" s="9"/>
      <c r="W108" s="9"/>
      <c r="X108" s="8"/>
      <c r="Y108" s="19"/>
    </row>
    <row r="109" spans="10:25" x14ac:dyDescent="0.2">
      <c r="J109" s="21"/>
      <c r="K109" s="21"/>
      <c r="L109" s="21"/>
      <c r="M109" s="21"/>
      <c r="N109" s="21"/>
      <c r="O109" s="21"/>
      <c r="P109" s="21"/>
      <c r="Q109" s="21"/>
      <c r="R109" s="9"/>
      <c r="S109" s="9"/>
      <c r="T109" s="9"/>
      <c r="U109" s="9"/>
      <c r="V109" s="9"/>
      <c r="W109" s="9"/>
      <c r="X109" s="8"/>
      <c r="Y109" s="19"/>
    </row>
    <row r="110" spans="10:25" x14ac:dyDescent="0.2">
      <c r="J110" s="21"/>
      <c r="K110" s="21"/>
      <c r="L110" s="21"/>
      <c r="M110" s="21"/>
      <c r="N110" s="21"/>
      <c r="O110" s="21"/>
      <c r="P110" s="21"/>
      <c r="Q110" s="21"/>
      <c r="R110" s="9"/>
      <c r="S110" s="9"/>
      <c r="T110" s="9"/>
      <c r="U110" s="9"/>
      <c r="V110" s="9"/>
      <c r="W110" s="9"/>
      <c r="X110" s="8"/>
      <c r="Y110" s="19"/>
    </row>
    <row r="111" spans="10:25" x14ac:dyDescent="0.2">
      <c r="J111" s="21"/>
      <c r="K111" s="21"/>
      <c r="L111" s="21"/>
      <c r="M111" s="21"/>
      <c r="N111" s="21"/>
      <c r="O111" s="21"/>
      <c r="P111" s="21"/>
      <c r="Q111" s="21"/>
      <c r="R111" s="9"/>
      <c r="S111" s="9"/>
      <c r="T111" s="9"/>
      <c r="U111" s="9"/>
      <c r="V111" s="9"/>
      <c r="W111" s="9"/>
      <c r="X111" s="8"/>
      <c r="Y111" s="19"/>
    </row>
    <row r="112" spans="10:25" x14ac:dyDescent="0.2">
      <c r="J112" s="21"/>
      <c r="K112" s="21"/>
      <c r="L112" s="21"/>
      <c r="M112" s="21"/>
      <c r="N112" s="21"/>
      <c r="O112" s="21"/>
      <c r="P112" s="21"/>
      <c r="Q112" s="21"/>
      <c r="R112" s="9"/>
      <c r="S112" s="9"/>
      <c r="T112" s="9"/>
      <c r="U112" s="9"/>
      <c r="V112" s="9"/>
      <c r="W112" s="9"/>
      <c r="X112" s="8"/>
      <c r="Y112" s="19"/>
    </row>
    <row r="113" spans="10:25" x14ac:dyDescent="0.2">
      <c r="J113" s="21"/>
      <c r="K113" s="21"/>
      <c r="L113" s="21"/>
      <c r="M113" s="21"/>
      <c r="N113" s="21"/>
      <c r="O113" s="21"/>
      <c r="P113" s="21"/>
      <c r="Q113" s="21"/>
      <c r="R113" s="9"/>
      <c r="S113" s="9"/>
      <c r="T113" s="9"/>
      <c r="U113" s="9"/>
      <c r="V113" s="9"/>
      <c r="W113" s="9"/>
      <c r="X113" s="8"/>
      <c r="Y113" s="19"/>
    </row>
    <row r="114" spans="10:25" x14ac:dyDescent="0.2">
      <c r="J114" s="21"/>
      <c r="K114" s="21"/>
      <c r="L114" s="21"/>
      <c r="M114" s="21"/>
      <c r="N114" s="21"/>
      <c r="O114" s="21"/>
      <c r="P114" s="21"/>
      <c r="Q114" s="21"/>
      <c r="R114" s="9"/>
      <c r="S114" s="9"/>
      <c r="T114" s="9"/>
      <c r="U114" s="9"/>
      <c r="V114" s="9"/>
      <c r="W114" s="9"/>
      <c r="X114" s="8"/>
      <c r="Y114" s="19"/>
    </row>
    <row r="115" spans="10:25" x14ac:dyDescent="0.2">
      <c r="J115" s="21"/>
      <c r="K115" s="21"/>
      <c r="L115" s="21"/>
      <c r="M115" s="21"/>
      <c r="N115" s="21"/>
      <c r="O115" s="21"/>
      <c r="P115" s="21"/>
      <c r="Q115" s="21"/>
      <c r="R115" s="9"/>
      <c r="S115" s="9"/>
      <c r="T115" s="9"/>
      <c r="U115" s="9"/>
      <c r="V115" s="9"/>
      <c r="W115" s="9"/>
      <c r="X115" s="8"/>
      <c r="Y115" s="19"/>
    </row>
    <row r="116" spans="10:25" x14ac:dyDescent="0.2">
      <c r="J116" s="21"/>
      <c r="K116" s="21"/>
      <c r="L116" s="21"/>
      <c r="M116" s="21"/>
      <c r="N116" s="21"/>
      <c r="O116" s="21"/>
      <c r="P116" s="21"/>
      <c r="Q116" s="21"/>
      <c r="R116" s="9"/>
      <c r="S116" s="9"/>
      <c r="T116" s="9"/>
      <c r="U116" s="9"/>
      <c r="V116" s="9"/>
      <c r="W116" s="9"/>
      <c r="X116" s="8"/>
      <c r="Y116" s="19"/>
    </row>
    <row r="117" spans="10:25" x14ac:dyDescent="0.2">
      <c r="J117" s="21"/>
      <c r="K117" s="21"/>
      <c r="L117" s="21"/>
      <c r="M117" s="21"/>
      <c r="N117" s="21"/>
      <c r="O117" s="21"/>
      <c r="P117" s="21"/>
      <c r="Q117" s="21"/>
      <c r="R117" s="9"/>
      <c r="S117" s="9"/>
      <c r="T117" s="9"/>
      <c r="U117" s="9"/>
      <c r="V117" s="9"/>
      <c r="W117" s="9"/>
      <c r="X117" s="8"/>
      <c r="Y117" s="19"/>
    </row>
    <row r="118" spans="10:25" x14ac:dyDescent="0.2">
      <c r="J118" s="21"/>
      <c r="K118" s="21"/>
      <c r="L118" s="21"/>
      <c r="M118" s="21"/>
      <c r="N118" s="21"/>
      <c r="O118" s="21"/>
      <c r="P118" s="21"/>
      <c r="Q118" s="21"/>
      <c r="R118" s="9"/>
      <c r="S118" s="9"/>
      <c r="T118" s="9"/>
      <c r="U118" s="9"/>
      <c r="V118" s="9"/>
      <c r="W118" s="9"/>
      <c r="X118" s="8"/>
      <c r="Y118" s="19"/>
    </row>
    <row r="119" spans="10:25" x14ac:dyDescent="0.2">
      <c r="J119" s="21"/>
      <c r="K119" s="21"/>
      <c r="L119" s="21"/>
      <c r="M119" s="21"/>
      <c r="N119" s="21"/>
      <c r="O119" s="21"/>
      <c r="P119" s="21"/>
      <c r="Q119" s="21"/>
      <c r="R119" s="9"/>
      <c r="S119" s="9"/>
      <c r="T119" s="9"/>
      <c r="U119" s="9"/>
      <c r="V119" s="9"/>
      <c r="W119" s="9"/>
      <c r="X119" s="8"/>
      <c r="Y119" s="19"/>
    </row>
    <row r="120" spans="10:25" x14ac:dyDescent="0.2">
      <c r="J120" s="21"/>
      <c r="K120" s="21"/>
      <c r="L120" s="21"/>
      <c r="M120" s="21"/>
      <c r="N120" s="21"/>
      <c r="O120" s="21"/>
      <c r="P120" s="21"/>
      <c r="Q120" s="21"/>
      <c r="R120" s="9"/>
      <c r="S120" s="9"/>
      <c r="T120" s="9"/>
      <c r="U120" s="9"/>
      <c r="V120" s="9"/>
      <c r="W120" s="9"/>
      <c r="X120" s="8"/>
      <c r="Y120" s="19"/>
    </row>
    <row r="121" spans="10:25" x14ac:dyDescent="0.2">
      <c r="J121" s="21"/>
      <c r="K121" s="21"/>
      <c r="L121" s="21"/>
      <c r="M121" s="21"/>
      <c r="N121" s="21"/>
      <c r="O121" s="21"/>
      <c r="P121" s="21"/>
      <c r="Q121" s="21"/>
      <c r="R121" s="9"/>
      <c r="S121" s="9"/>
      <c r="T121" s="9"/>
      <c r="U121" s="9"/>
      <c r="V121" s="9"/>
      <c r="W121" s="9"/>
      <c r="X121" s="8"/>
      <c r="Y121" s="19"/>
    </row>
    <row r="122" spans="10:25" x14ac:dyDescent="0.2">
      <c r="J122" s="21"/>
      <c r="K122" s="21"/>
      <c r="L122" s="21"/>
      <c r="M122" s="21"/>
      <c r="N122" s="21"/>
      <c r="O122" s="21"/>
      <c r="P122" s="21"/>
      <c r="Q122" s="21"/>
      <c r="R122" s="9"/>
      <c r="S122" s="9"/>
      <c r="T122" s="9"/>
      <c r="U122" s="9"/>
      <c r="V122" s="9"/>
      <c r="W122" s="9"/>
      <c r="X122" s="8"/>
      <c r="Y122" s="19"/>
    </row>
    <row r="123" spans="10:25" x14ac:dyDescent="0.2">
      <c r="J123" s="21"/>
      <c r="K123" s="21"/>
      <c r="L123" s="21"/>
      <c r="M123" s="21"/>
      <c r="N123" s="21"/>
      <c r="O123" s="21"/>
      <c r="P123" s="21"/>
      <c r="Q123" s="21"/>
      <c r="R123" s="9"/>
      <c r="S123" s="9"/>
      <c r="T123" s="9"/>
      <c r="U123" s="9"/>
      <c r="V123" s="9"/>
      <c r="W123" s="9"/>
      <c r="X123" s="8"/>
      <c r="Y123" s="19"/>
    </row>
    <row r="124" spans="10:25" x14ac:dyDescent="0.2">
      <c r="J124" s="21"/>
      <c r="K124" s="21"/>
      <c r="L124" s="21"/>
      <c r="M124" s="21"/>
      <c r="N124" s="21"/>
      <c r="O124" s="21"/>
      <c r="P124" s="21"/>
      <c r="Q124" s="21"/>
      <c r="R124" s="9"/>
      <c r="S124" s="9"/>
      <c r="T124" s="9"/>
      <c r="U124" s="9"/>
      <c r="V124" s="9"/>
      <c r="W124" s="9"/>
      <c r="X124" s="8"/>
      <c r="Y124" s="19"/>
    </row>
    <row r="125" spans="10:25" x14ac:dyDescent="0.2">
      <c r="J125" s="21"/>
      <c r="K125" s="21"/>
      <c r="L125" s="21"/>
      <c r="M125" s="21"/>
      <c r="N125" s="21"/>
      <c r="O125" s="21"/>
      <c r="P125" s="21"/>
      <c r="Q125" s="21"/>
      <c r="R125" s="9"/>
      <c r="S125" s="9"/>
      <c r="T125" s="9"/>
      <c r="U125" s="9"/>
      <c r="V125" s="9"/>
      <c r="W125" s="9"/>
      <c r="X125" s="8"/>
      <c r="Y125" s="19"/>
    </row>
    <row r="126" spans="10:25" x14ac:dyDescent="0.2">
      <c r="J126" s="21"/>
      <c r="K126" s="21"/>
      <c r="L126" s="21"/>
      <c r="M126" s="21"/>
      <c r="N126" s="21"/>
      <c r="O126" s="21"/>
      <c r="P126" s="21"/>
      <c r="Q126" s="21"/>
      <c r="R126" s="9"/>
      <c r="S126" s="9"/>
      <c r="T126" s="9"/>
      <c r="U126" s="9"/>
      <c r="V126" s="9"/>
      <c r="W126" s="9"/>
      <c r="X126" s="8"/>
      <c r="Y126" s="19"/>
    </row>
    <row r="127" spans="10:25" x14ac:dyDescent="0.2">
      <c r="J127" s="21"/>
      <c r="K127" s="21"/>
      <c r="L127" s="21"/>
      <c r="M127" s="21"/>
      <c r="N127" s="21"/>
      <c r="O127" s="21"/>
      <c r="P127" s="21"/>
      <c r="Q127" s="21"/>
      <c r="R127" s="9"/>
      <c r="S127" s="9"/>
      <c r="T127" s="9"/>
      <c r="U127" s="9"/>
      <c r="V127" s="9"/>
      <c r="W127" s="9"/>
      <c r="X127" s="8"/>
      <c r="Y127" s="19"/>
    </row>
    <row r="128" spans="10:25" x14ac:dyDescent="0.2">
      <c r="J128" s="21"/>
      <c r="K128" s="21"/>
      <c r="L128" s="21"/>
      <c r="M128" s="21"/>
      <c r="N128" s="21"/>
      <c r="O128" s="21"/>
      <c r="P128" s="21"/>
      <c r="Q128" s="21"/>
      <c r="R128" s="9"/>
      <c r="S128" s="9"/>
      <c r="T128" s="9"/>
      <c r="U128" s="9"/>
      <c r="V128" s="9"/>
      <c r="W128" s="9"/>
      <c r="X128" s="8"/>
      <c r="Y128" s="19"/>
    </row>
    <row r="129" spans="10:25" x14ac:dyDescent="0.2">
      <c r="J129" s="21"/>
      <c r="K129" s="21"/>
      <c r="L129" s="21"/>
      <c r="M129" s="21"/>
      <c r="N129" s="21"/>
      <c r="O129" s="21"/>
      <c r="P129" s="21"/>
      <c r="Q129" s="21"/>
      <c r="R129" s="9"/>
      <c r="S129" s="9"/>
      <c r="T129" s="9"/>
      <c r="U129" s="9"/>
      <c r="V129" s="9"/>
      <c r="W129" s="9"/>
      <c r="X129" s="8"/>
      <c r="Y129" s="19"/>
    </row>
    <row r="130" spans="10:25" x14ac:dyDescent="0.2">
      <c r="J130" s="21"/>
      <c r="K130" s="21"/>
      <c r="L130" s="21"/>
      <c r="M130" s="21"/>
      <c r="N130" s="21"/>
      <c r="O130" s="21"/>
      <c r="P130" s="21"/>
      <c r="Q130" s="21"/>
      <c r="R130" s="9"/>
      <c r="S130" s="9"/>
      <c r="T130" s="9"/>
      <c r="U130" s="9"/>
      <c r="V130" s="9"/>
      <c r="W130" s="9"/>
      <c r="X130" s="8"/>
      <c r="Y130" s="19"/>
    </row>
    <row r="131" spans="10:25" x14ac:dyDescent="0.2">
      <c r="J131" s="21"/>
      <c r="K131" s="21"/>
      <c r="L131" s="21"/>
      <c r="M131" s="21"/>
      <c r="N131" s="21"/>
      <c r="O131" s="21"/>
      <c r="P131" s="21"/>
      <c r="Q131" s="21"/>
      <c r="R131" s="9"/>
      <c r="S131" s="9"/>
      <c r="T131" s="9"/>
      <c r="U131" s="9"/>
      <c r="V131" s="9"/>
      <c r="W131" s="9"/>
      <c r="X131" s="8"/>
      <c r="Y131" s="19"/>
    </row>
    <row r="132" spans="10:25" x14ac:dyDescent="0.2">
      <c r="J132" s="21"/>
      <c r="K132" s="21"/>
      <c r="L132" s="21"/>
      <c r="M132" s="21"/>
      <c r="N132" s="21"/>
      <c r="O132" s="21"/>
      <c r="P132" s="21"/>
      <c r="Q132" s="21"/>
      <c r="R132" s="9"/>
      <c r="S132" s="9"/>
      <c r="T132" s="9"/>
      <c r="U132" s="9"/>
      <c r="V132" s="9"/>
      <c r="W132" s="9"/>
      <c r="X132" s="8"/>
      <c r="Y132" s="19"/>
    </row>
    <row r="133" spans="10:25" x14ac:dyDescent="0.2">
      <c r="J133" s="21"/>
      <c r="K133" s="21"/>
      <c r="L133" s="21"/>
      <c r="M133" s="21"/>
      <c r="N133" s="21"/>
      <c r="O133" s="21"/>
      <c r="P133" s="21"/>
      <c r="Q133" s="21"/>
      <c r="R133" s="9"/>
      <c r="S133" s="9"/>
      <c r="T133" s="9"/>
      <c r="U133" s="9"/>
      <c r="V133" s="9"/>
      <c r="W133" s="9"/>
      <c r="X133" s="8"/>
      <c r="Y133" s="19"/>
    </row>
    <row r="134" spans="10:25" x14ac:dyDescent="0.2">
      <c r="J134" s="21"/>
      <c r="K134" s="21"/>
      <c r="L134" s="21"/>
      <c r="M134" s="21"/>
      <c r="N134" s="21"/>
      <c r="O134" s="21"/>
      <c r="P134" s="21"/>
      <c r="Q134" s="21"/>
      <c r="R134" s="9"/>
      <c r="S134" s="9"/>
      <c r="T134" s="9"/>
      <c r="U134" s="9"/>
      <c r="V134" s="9"/>
      <c r="W134" s="9"/>
      <c r="X134" s="8"/>
      <c r="Y134" s="19"/>
    </row>
    <row r="135" spans="10:25" x14ac:dyDescent="0.2">
      <c r="J135" s="21"/>
      <c r="K135" s="21"/>
      <c r="L135" s="21"/>
      <c r="M135" s="21"/>
      <c r="N135" s="21"/>
      <c r="O135" s="21"/>
      <c r="P135" s="21"/>
      <c r="Q135" s="21"/>
      <c r="R135" s="9"/>
      <c r="S135" s="9"/>
      <c r="T135" s="9"/>
      <c r="U135" s="9"/>
      <c r="V135" s="9"/>
      <c r="W135" s="9"/>
      <c r="X135" s="8"/>
      <c r="Y135" s="19"/>
    </row>
    <row r="136" spans="10:25" x14ac:dyDescent="0.2">
      <c r="J136" s="21"/>
      <c r="K136" s="21"/>
      <c r="L136" s="21"/>
      <c r="M136" s="21"/>
      <c r="N136" s="21"/>
      <c r="O136" s="21"/>
      <c r="P136" s="21"/>
      <c r="Q136" s="21"/>
      <c r="R136" s="9"/>
      <c r="S136" s="9"/>
      <c r="T136" s="9"/>
      <c r="U136" s="9"/>
      <c r="V136" s="9"/>
      <c r="W136" s="9"/>
      <c r="X136" s="8"/>
      <c r="Y136" s="19"/>
    </row>
    <row r="137" spans="10:25" x14ac:dyDescent="0.2">
      <c r="J137" s="21"/>
      <c r="K137" s="21"/>
      <c r="L137" s="21"/>
      <c r="M137" s="21"/>
      <c r="N137" s="21"/>
      <c r="O137" s="21"/>
      <c r="P137" s="21"/>
      <c r="Q137" s="21"/>
      <c r="R137" s="9"/>
      <c r="S137" s="9"/>
      <c r="T137" s="9"/>
      <c r="U137" s="9"/>
      <c r="V137" s="9"/>
      <c r="W137" s="9"/>
      <c r="X137" s="8"/>
      <c r="Y137" s="19"/>
    </row>
    <row r="138" spans="10:25" x14ac:dyDescent="0.2">
      <c r="J138" s="21"/>
      <c r="K138" s="21"/>
      <c r="L138" s="21"/>
      <c r="M138" s="21"/>
      <c r="N138" s="21"/>
      <c r="O138" s="21"/>
      <c r="P138" s="21"/>
      <c r="Q138" s="21"/>
      <c r="R138" s="9"/>
      <c r="S138" s="9"/>
      <c r="T138" s="9"/>
      <c r="U138" s="9"/>
      <c r="V138" s="9"/>
      <c r="W138" s="9"/>
      <c r="X138" s="8"/>
      <c r="Y138" s="19"/>
    </row>
    <row r="139" spans="10:25" x14ac:dyDescent="0.2">
      <c r="J139" s="21"/>
      <c r="K139" s="21"/>
      <c r="L139" s="21"/>
      <c r="M139" s="21"/>
      <c r="N139" s="21"/>
      <c r="O139" s="21"/>
      <c r="P139" s="21"/>
      <c r="Q139" s="21"/>
      <c r="R139" s="9"/>
      <c r="S139" s="9"/>
      <c r="T139" s="9"/>
      <c r="U139" s="9"/>
      <c r="V139" s="9"/>
      <c r="W139" s="9"/>
      <c r="X139" s="8"/>
      <c r="Y139" s="19"/>
    </row>
    <row r="140" spans="10:25" x14ac:dyDescent="0.2">
      <c r="J140" s="21"/>
      <c r="K140" s="21"/>
      <c r="L140" s="21"/>
      <c r="M140" s="21"/>
      <c r="N140" s="21"/>
      <c r="O140" s="21"/>
      <c r="P140" s="21"/>
      <c r="Q140" s="21"/>
      <c r="R140" s="9"/>
      <c r="S140" s="9"/>
      <c r="T140" s="9"/>
      <c r="U140" s="9"/>
      <c r="V140" s="9"/>
      <c r="W140" s="9"/>
      <c r="X140" s="8"/>
      <c r="Y140" s="19"/>
    </row>
    <row r="141" spans="10:25" x14ac:dyDescent="0.2">
      <c r="J141" s="21"/>
      <c r="K141" s="21"/>
      <c r="L141" s="21"/>
      <c r="M141" s="21"/>
      <c r="N141" s="21"/>
      <c r="O141" s="21"/>
      <c r="P141" s="21"/>
      <c r="Q141" s="21"/>
      <c r="R141" s="9"/>
      <c r="S141" s="9"/>
      <c r="T141" s="9"/>
      <c r="U141" s="9"/>
      <c r="V141" s="9"/>
      <c r="W141" s="9"/>
      <c r="X141" s="8"/>
      <c r="Y141" s="19"/>
    </row>
    <row r="142" spans="10:25" x14ac:dyDescent="0.2">
      <c r="J142" s="21"/>
      <c r="K142" s="21"/>
      <c r="L142" s="21"/>
      <c r="M142" s="21"/>
      <c r="N142" s="21"/>
      <c r="O142" s="21"/>
      <c r="P142" s="21"/>
      <c r="Q142" s="21"/>
      <c r="R142" s="9"/>
      <c r="S142" s="9"/>
      <c r="T142" s="9"/>
      <c r="U142" s="9"/>
      <c r="V142" s="9"/>
      <c r="W142" s="9"/>
      <c r="X142" s="8"/>
      <c r="Y142" s="19"/>
    </row>
    <row r="143" spans="10:25" x14ac:dyDescent="0.2">
      <c r="J143" s="21"/>
      <c r="K143" s="21"/>
      <c r="L143" s="21"/>
      <c r="M143" s="21"/>
      <c r="N143" s="21"/>
      <c r="O143" s="21"/>
      <c r="P143" s="21"/>
      <c r="Q143" s="21"/>
      <c r="R143" s="9"/>
      <c r="S143" s="9"/>
      <c r="T143" s="9"/>
      <c r="U143" s="9"/>
      <c r="V143" s="9"/>
      <c r="W143" s="9"/>
      <c r="X143" s="8"/>
      <c r="Y143" s="19"/>
    </row>
    <row r="144" spans="10:25" x14ac:dyDescent="0.2">
      <c r="J144" s="21"/>
      <c r="K144" s="21"/>
      <c r="L144" s="21"/>
      <c r="M144" s="21"/>
      <c r="N144" s="21"/>
      <c r="O144" s="21"/>
      <c r="P144" s="21"/>
      <c r="Q144" s="21"/>
      <c r="R144" s="9"/>
      <c r="S144" s="9"/>
      <c r="T144" s="9"/>
      <c r="U144" s="9"/>
      <c r="V144" s="9"/>
      <c r="W144" s="9"/>
      <c r="X144" s="8"/>
      <c r="Y144" s="19"/>
    </row>
    <row r="145" spans="10:25" x14ac:dyDescent="0.2">
      <c r="J145" s="21"/>
      <c r="K145" s="21"/>
      <c r="L145" s="21"/>
      <c r="M145" s="21"/>
      <c r="N145" s="21"/>
      <c r="O145" s="21"/>
      <c r="P145" s="21"/>
      <c r="Q145" s="21"/>
      <c r="R145" s="9"/>
      <c r="S145" s="9"/>
      <c r="T145" s="9"/>
      <c r="U145" s="9"/>
      <c r="V145" s="9"/>
      <c r="W145" s="9"/>
      <c r="X145" s="8"/>
      <c r="Y145" s="19"/>
    </row>
    <row r="146" spans="10:25" x14ac:dyDescent="0.2">
      <c r="J146" s="21"/>
      <c r="K146" s="21"/>
      <c r="L146" s="21"/>
      <c r="M146" s="21"/>
      <c r="N146" s="21"/>
      <c r="O146" s="21"/>
      <c r="P146" s="21"/>
      <c r="Q146" s="21"/>
      <c r="R146" s="9"/>
      <c r="S146" s="9"/>
      <c r="T146" s="9"/>
      <c r="U146" s="9"/>
      <c r="V146" s="9"/>
      <c r="W146" s="9"/>
      <c r="X146" s="8"/>
      <c r="Y146" s="19"/>
    </row>
    <row r="147" spans="10:25" x14ac:dyDescent="0.2">
      <c r="J147" s="21"/>
      <c r="K147" s="21"/>
      <c r="L147" s="21"/>
      <c r="M147" s="21"/>
      <c r="N147" s="21"/>
      <c r="O147" s="21"/>
      <c r="P147" s="21"/>
      <c r="Q147" s="21"/>
      <c r="R147" s="9"/>
      <c r="S147" s="9"/>
      <c r="T147" s="9"/>
      <c r="U147" s="9"/>
      <c r="V147" s="9"/>
      <c r="W147" s="9"/>
      <c r="X147" s="8"/>
      <c r="Y147" s="19"/>
    </row>
    <row r="148" spans="10:25" x14ac:dyDescent="0.2">
      <c r="J148" s="21"/>
      <c r="K148" s="21"/>
      <c r="L148" s="21"/>
      <c r="M148" s="21"/>
      <c r="N148" s="21"/>
      <c r="O148" s="21"/>
      <c r="P148" s="21"/>
      <c r="Q148" s="21"/>
      <c r="R148" s="9"/>
      <c r="S148" s="9"/>
      <c r="T148" s="9"/>
      <c r="U148" s="9"/>
      <c r="V148" s="9"/>
      <c r="W148" s="9"/>
      <c r="X148" s="8"/>
      <c r="Y148" s="19"/>
    </row>
    <row r="149" spans="10:25" x14ac:dyDescent="0.2">
      <c r="J149" s="21"/>
      <c r="K149" s="21"/>
      <c r="L149" s="21"/>
      <c r="M149" s="21"/>
      <c r="N149" s="21"/>
      <c r="O149" s="21"/>
      <c r="P149" s="21"/>
      <c r="Q149" s="21"/>
      <c r="R149" s="9"/>
      <c r="S149" s="9"/>
      <c r="T149" s="9"/>
      <c r="U149" s="9"/>
      <c r="V149" s="9"/>
      <c r="W149" s="9"/>
      <c r="X149" s="8"/>
      <c r="Y149" s="19"/>
    </row>
    <row r="150" spans="10:25" x14ac:dyDescent="0.2">
      <c r="J150" s="21"/>
      <c r="K150" s="21"/>
      <c r="L150" s="21"/>
      <c r="M150" s="21"/>
      <c r="N150" s="21"/>
      <c r="O150" s="21"/>
      <c r="P150" s="21"/>
      <c r="Q150" s="21"/>
      <c r="R150" s="9"/>
      <c r="S150" s="9"/>
      <c r="T150" s="9"/>
      <c r="U150" s="9"/>
      <c r="V150" s="9"/>
      <c r="W150" s="9"/>
      <c r="X150" s="8"/>
      <c r="Y150" s="19"/>
    </row>
    <row r="151" spans="10:25" x14ac:dyDescent="0.2">
      <c r="J151" s="21"/>
      <c r="K151" s="21"/>
      <c r="L151" s="21"/>
      <c r="M151" s="21"/>
      <c r="N151" s="21"/>
      <c r="O151" s="21"/>
      <c r="P151" s="21"/>
      <c r="Q151" s="21"/>
      <c r="R151" s="9"/>
      <c r="S151" s="9"/>
      <c r="T151" s="9"/>
      <c r="U151" s="9"/>
      <c r="V151" s="9"/>
      <c r="W151" s="9"/>
      <c r="X151" s="8"/>
      <c r="Y151" s="19"/>
    </row>
    <row r="152" spans="10:25" x14ac:dyDescent="0.2">
      <c r="J152" s="21"/>
      <c r="K152" s="21"/>
      <c r="L152" s="21"/>
      <c r="M152" s="21"/>
      <c r="N152" s="21"/>
      <c r="O152" s="21"/>
      <c r="P152" s="21"/>
      <c r="Q152" s="21"/>
      <c r="R152" s="9"/>
      <c r="S152" s="9"/>
      <c r="T152" s="9"/>
      <c r="U152" s="9"/>
      <c r="V152" s="9"/>
      <c r="W152" s="9"/>
      <c r="X152" s="8"/>
      <c r="Y152" s="19"/>
    </row>
    <row r="153" spans="10:25" x14ac:dyDescent="0.2">
      <c r="J153" s="21"/>
      <c r="K153" s="21"/>
      <c r="L153" s="21"/>
      <c r="M153" s="21"/>
      <c r="N153" s="21"/>
      <c r="O153" s="21"/>
      <c r="P153" s="21"/>
      <c r="Q153" s="21"/>
      <c r="R153" s="9"/>
      <c r="S153" s="9"/>
      <c r="T153" s="9"/>
      <c r="U153" s="9"/>
      <c r="V153" s="9"/>
      <c r="W153" s="9"/>
      <c r="X153" s="8"/>
      <c r="Y153" s="19"/>
    </row>
    <row r="154" spans="10:25" x14ac:dyDescent="0.2">
      <c r="J154" s="21"/>
      <c r="K154" s="21"/>
      <c r="L154" s="21"/>
      <c r="M154" s="21"/>
      <c r="N154" s="21"/>
      <c r="O154" s="21"/>
      <c r="P154" s="21"/>
      <c r="Q154" s="21"/>
      <c r="R154" s="9"/>
      <c r="S154" s="9"/>
      <c r="T154" s="9"/>
      <c r="U154" s="9"/>
      <c r="V154" s="9"/>
      <c r="W154" s="9"/>
      <c r="X154" s="8"/>
      <c r="Y154" s="19"/>
    </row>
    <row r="155" spans="10:25" x14ac:dyDescent="0.2">
      <c r="J155" s="21"/>
      <c r="K155" s="21"/>
      <c r="L155" s="21"/>
      <c r="M155" s="21"/>
      <c r="N155" s="21"/>
      <c r="O155" s="21"/>
      <c r="P155" s="21"/>
      <c r="Q155" s="21"/>
      <c r="R155" s="9"/>
      <c r="S155" s="9"/>
      <c r="T155" s="9"/>
      <c r="U155" s="9"/>
      <c r="V155" s="9"/>
      <c r="W155" s="9"/>
      <c r="X155" s="8"/>
      <c r="Y155" s="19"/>
    </row>
    <row r="156" spans="10:25" x14ac:dyDescent="0.2">
      <c r="J156" s="21"/>
      <c r="K156" s="21"/>
      <c r="L156" s="21"/>
      <c r="M156" s="21"/>
      <c r="N156" s="21"/>
      <c r="O156" s="21"/>
      <c r="P156" s="21"/>
      <c r="Q156" s="21"/>
      <c r="R156" s="9"/>
      <c r="S156" s="9"/>
      <c r="T156" s="9"/>
      <c r="U156" s="9"/>
      <c r="V156" s="9"/>
      <c r="W156" s="9"/>
      <c r="X156" s="8"/>
      <c r="Y156" s="19"/>
    </row>
    <row r="157" spans="10:25" x14ac:dyDescent="0.2">
      <c r="J157" s="21"/>
      <c r="K157" s="21"/>
      <c r="L157" s="21"/>
      <c r="M157" s="21"/>
      <c r="N157" s="21"/>
      <c r="O157" s="21"/>
      <c r="P157" s="21"/>
      <c r="Q157" s="21"/>
      <c r="R157" s="9"/>
      <c r="S157" s="9"/>
      <c r="T157" s="9"/>
      <c r="U157" s="9"/>
      <c r="V157" s="9"/>
      <c r="W157" s="9"/>
      <c r="X157" s="8"/>
      <c r="Y157" s="19"/>
    </row>
    <row r="158" spans="10:25" x14ac:dyDescent="0.2">
      <c r="J158" s="21"/>
      <c r="K158" s="21"/>
      <c r="L158" s="21"/>
      <c r="M158" s="21"/>
      <c r="N158" s="21"/>
      <c r="O158" s="21"/>
      <c r="P158" s="21"/>
      <c r="Q158" s="21"/>
      <c r="R158" s="9"/>
      <c r="S158" s="9"/>
      <c r="T158" s="9"/>
      <c r="U158" s="9"/>
      <c r="V158" s="9"/>
      <c r="W158" s="9"/>
      <c r="X158" s="8"/>
      <c r="Y158" s="19"/>
    </row>
    <row r="159" spans="10:25" x14ac:dyDescent="0.2">
      <c r="J159" s="21"/>
      <c r="K159" s="21"/>
      <c r="L159" s="21"/>
      <c r="M159" s="21"/>
      <c r="N159" s="21"/>
      <c r="O159" s="21"/>
      <c r="P159" s="21"/>
      <c r="Q159" s="21"/>
      <c r="R159" s="9"/>
      <c r="S159" s="9"/>
      <c r="T159" s="9"/>
      <c r="U159" s="9"/>
      <c r="V159" s="9"/>
      <c r="W159" s="9"/>
      <c r="X159" s="8"/>
      <c r="Y159" s="19"/>
    </row>
    <row r="160" spans="10:25" x14ac:dyDescent="0.2">
      <c r="J160" s="21"/>
      <c r="K160" s="21"/>
      <c r="L160" s="21"/>
      <c r="M160" s="21"/>
      <c r="N160" s="21"/>
      <c r="O160" s="21"/>
      <c r="P160" s="21"/>
      <c r="Q160" s="21"/>
      <c r="R160" s="9"/>
      <c r="S160" s="9"/>
      <c r="T160" s="9"/>
      <c r="U160" s="9"/>
      <c r="V160" s="9"/>
      <c r="W160" s="9"/>
      <c r="X160" s="8"/>
      <c r="Y160" s="19"/>
    </row>
    <row r="161" spans="10:25" x14ac:dyDescent="0.2">
      <c r="J161" s="21"/>
      <c r="K161" s="21"/>
      <c r="L161" s="21"/>
      <c r="M161" s="21"/>
      <c r="N161" s="21"/>
      <c r="O161" s="21"/>
      <c r="P161" s="21"/>
      <c r="Q161" s="21"/>
      <c r="R161" s="9"/>
      <c r="S161" s="9"/>
      <c r="T161" s="9"/>
      <c r="U161" s="9"/>
      <c r="V161" s="9"/>
      <c r="W161" s="9"/>
      <c r="X161" s="8"/>
      <c r="Y161" s="19"/>
    </row>
    <row r="162" spans="10:25" x14ac:dyDescent="0.2">
      <c r="J162" s="21"/>
      <c r="K162" s="21"/>
      <c r="L162" s="21"/>
      <c r="M162" s="21"/>
      <c r="N162" s="21"/>
      <c r="O162" s="21"/>
      <c r="P162" s="21"/>
      <c r="Q162" s="21"/>
      <c r="R162" s="9"/>
      <c r="S162" s="9"/>
      <c r="T162" s="9"/>
      <c r="U162" s="9"/>
      <c r="V162" s="9"/>
      <c r="W162" s="9"/>
      <c r="X162" s="8"/>
      <c r="Y162" s="19"/>
    </row>
    <row r="163" spans="10:25" x14ac:dyDescent="0.2">
      <c r="J163" s="21"/>
      <c r="K163" s="21"/>
      <c r="L163" s="21"/>
      <c r="M163" s="21"/>
      <c r="N163" s="21"/>
      <c r="O163" s="21"/>
      <c r="P163" s="21"/>
      <c r="Q163" s="21"/>
      <c r="R163" s="9"/>
      <c r="S163" s="9"/>
      <c r="T163" s="9"/>
      <c r="U163" s="9"/>
      <c r="V163" s="9"/>
      <c r="W163" s="9"/>
      <c r="X163" s="8"/>
      <c r="Y163" s="19"/>
    </row>
    <row r="164" spans="10:25" x14ac:dyDescent="0.2">
      <c r="J164" s="21"/>
      <c r="K164" s="21"/>
      <c r="L164" s="21"/>
      <c r="M164" s="21"/>
      <c r="N164" s="21"/>
      <c r="O164" s="21"/>
      <c r="P164" s="21"/>
      <c r="Q164" s="21"/>
      <c r="R164" s="9"/>
      <c r="S164" s="9"/>
      <c r="T164" s="9"/>
      <c r="U164" s="9"/>
      <c r="V164" s="9"/>
      <c r="W164" s="9"/>
      <c r="X164" s="8"/>
      <c r="Y164" s="19"/>
    </row>
    <row r="165" spans="10:25" x14ac:dyDescent="0.2">
      <c r="J165" s="21"/>
      <c r="K165" s="21"/>
      <c r="L165" s="21"/>
      <c r="M165" s="21"/>
      <c r="N165" s="21"/>
      <c r="O165" s="21"/>
      <c r="P165" s="21"/>
      <c r="Q165" s="21"/>
      <c r="R165" s="9"/>
      <c r="S165" s="9"/>
      <c r="T165" s="9"/>
      <c r="U165" s="9"/>
      <c r="V165" s="9"/>
      <c r="W165" s="9"/>
      <c r="X165" s="8"/>
      <c r="Y165" s="19"/>
    </row>
    <row r="166" spans="10:25" x14ac:dyDescent="0.2">
      <c r="J166" s="21"/>
      <c r="K166" s="21"/>
      <c r="L166" s="21"/>
      <c r="M166" s="21"/>
      <c r="N166" s="21"/>
      <c r="O166" s="21"/>
      <c r="P166" s="21"/>
      <c r="Q166" s="21"/>
      <c r="R166" s="9"/>
      <c r="S166" s="9"/>
      <c r="T166" s="9"/>
      <c r="U166" s="9"/>
      <c r="V166" s="9"/>
      <c r="W166" s="9"/>
      <c r="X166" s="8"/>
      <c r="Y166" s="19"/>
    </row>
    <row r="167" spans="10:25" x14ac:dyDescent="0.2">
      <c r="J167" s="21"/>
      <c r="K167" s="21"/>
      <c r="L167" s="21"/>
      <c r="M167" s="21"/>
      <c r="N167" s="21"/>
      <c r="O167" s="21"/>
      <c r="P167" s="21"/>
      <c r="Q167" s="21"/>
      <c r="R167" s="9"/>
      <c r="S167" s="9"/>
      <c r="T167" s="9"/>
      <c r="U167" s="9"/>
      <c r="V167" s="9"/>
      <c r="W167" s="9"/>
      <c r="X167" s="8"/>
      <c r="Y167" s="19"/>
    </row>
    <row r="168" spans="10:25" x14ac:dyDescent="0.2">
      <c r="J168" s="21"/>
      <c r="K168" s="21"/>
      <c r="L168" s="21"/>
      <c r="M168" s="21"/>
      <c r="N168" s="21"/>
      <c r="O168" s="21"/>
      <c r="P168" s="21"/>
      <c r="Q168" s="21"/>
      <c r="R168" s="9"/>
      <c r="S168" s="9"/>
      <c r="T168" s="9"/>
      <c r="U168" s="9"/>
      <c r="V168" s="9"/>
      <c r="W168" s="9"/>
      <c r="X168" s="8"/>
      <c r="Y168" s="19"/>
    </row>
    <row r="169" spans="10:25" x14ac:dyDescent="0.2">
      <c r="J169" s="21"/>
      <c r="K169" s="21"/>
      <c r="L169" s="21"/>
      <c r="M169" s="21"/>
      <c r="N169" s="21"/>
      <c r="O169" s="21"/>
      <c r="P169" s="21"/>
      <c r="Q169" s="21"/>
      <c r="R169" s="9"/>
      <c r="S169" s="9"/>
      <c r="T169" s="9"/>
      <c r="U169" s="9"/>
      <c r="V169" s="9"/>
      <c r="W169" s="9"/>
      <c r="X169" s="8"/>
      <c r="Y169" s="19"/>
    </row>
    <row r="170" spans="10:25" x14ac:dyDescent="0.2">
      <c r="J170" s="21"/>
      <c r="K170" s="21"/>
      <c r="L170" s="21"/>
      <c r="M170" s="21"/>
      <c r="N170" s="21"/>
      <c r="O170" s="21"/>
      <c r="P170" s="21"/>
      <c r="Q170" s="21"/>
      <c r="R170" s="9"/>
      <c r="S170" s="9"/>
      <c r="T170" s="9"/>
      <c r="U170" s="9"/>
      <c r="V170" s="9"/>
      <c r="W170" s="9"/>
      <c r="X170" s="8"/>
      <c r="Y170" s="19"/>
    </row>
    <row r="171" spans="10:25" x14ac:dyDescent="0.2">
      <c r="J171" s="21"/>
      <c r="K171" s="21"/>
      <c r="L171" s="21"/>
      <c r="M171" s="21"/>
      <c r="N171" s="21"/>
      <c r="O171" s="21"/>
      <c r="P171" s="21"/>
      <c r="Q171" s="21"/>
      <c r="R171" s="9"/>
      <c r="S171" s="9"/>
      <c r="T171" s="9"/>
      <c r="U171" s="9"/>
      <c r="V171" s="9"/>
      <c r="W171" s="9"/>
      <c r="X171" s="8"/>
      <c r="Y171" s="19"/>
    </row>
    <row r="172" spans="10:25" x14ac:dyDescent="0.2">
      <c r="J172" s="21"/>
      <c r="K172" s="21"/>
      <c r="L172" s="21"/>
      <c r="M172" s="21"/>
      <c r="N172" s="21"/>
      <c r="O172" s="21"/>
      <c r="P172" s="21"/>
      <c r="Q172" s="21"/>
      <c r="R172" s="9"/>
      <c r="S172" s="9"/>
      <c r="T172" s="9"/>
      <c r="U172" s="9"/>
      <c r="V172" s="9"/>
      <c r="W172" s="9"/>
      <c r="X172" s="8"/>
      <c r="Y172" s="19"/>
    </row>
    <row r="173" spans="10:25" x14ac:dyDescent="0.2">
      <c r="J173" s="21"/>
      <c r="K173" s="21"/>
      <c r="L173" s="21"/>
      <c r="M173" s="21"/>
      <c r="N173" s="21"/>
      <c r="O173" s="21"/>
      <c r="P173" s="21"/>
      <c r="Q173" s="21"/>
      <c r="R173" s="9"/>
      <c r="S173" s="9"/>
      <c r="T173" s="9"/>
      <c r="U173" s="9"/>
      <c r="V173" s="9"/>
      <c r="W173" s="9"/>
      <c r="X173" s="8"/>
      <c r="Y173" s="19"/>
    </row>
    <row r="174" spans="10:25" x14ac:dyDescent="0.2">
      <c r="J174" s="21"/>
      <c r="K174" s="21"/>
      <c r="L174" s="21"/>
      <c r="M174" s="21"/>
      <c r="N174" s="21"/>
      <c r="O174" s="21"/>
      <c r="P174" s="21"/>
      <c r="Q174" s="21"/>
      <c r="R174" s="9"/>
      <c r="S174" s="9"/>
      <c r="T174" s="9"/>
      <c r="U174" s="9"/>
      <c r="V174" s="9"/>
      <c r="W174" s="9"/>
      <c r="X174" s="8"/>
      <c r="Y174" s="19"/>
    </row>
    <row r="175" spans="10:25" x14ac:dyDescent="0.2">
      <c r="J175" s="21"/>
      <c r="K175" s="21"/>
      <c r="L175" s="21"/>
      <c r="M175" s="21"/>
      <c r="N175" s="21"/>
      <c r="O175" s="21"/>
      <c r="P175" s="21"/>
      <c r="Q175" s="21"/>
      <c r="R175" s="9"/>
      <c r="S175" s="9"/>
      <c r="T175" s="9"/>
      <c r="U175" s="9"/>
      <c r="V175" s="9"/>
      <c r="W175" s="9"/>
      <c r="X175" s="8"/>
      <c r="Y175" s="19"/>
    </row>
    <row r="176" spans="10:25" x14ac:dyDescent="0.2">
      <c r="J176" s="21"/>
      <c r="K176" s="21"/>
      <c r="L176" s="21"/>
      <c r="M176" s="21"/>
      <c r="N176" s="21"/>
      <c r="O176" s="21"/>
      <c r="P176" s="21"/>
      <c r="Q176" s="21"/>
      <c r="R176" s="9"/>
      <c r="S176" s="9"/>
      <c r="T176" s="9"/>
      <c r="U176" s="9"/>
      <c r="V176" s="9"/>
      <c r="W176" s="9"/>
      <c r="X176" s="8"/>
      <c r="Y176" s="19"/>
    </row>
    <row r="177" spans="10:25" x14ac:dyDescent="0.2">
      <c r="J177" s="21"/>
      <c r="K177" s="21"/>
      <c r="L177" s="21"/>
      <c r="M177" s="21"/>
      <c r="N177" s="21"/>
      <c r="O177" s="21"/>
      <c r="P177" s="21"/>
      <c r="Q177" s="21"/>
      <c r="R177" s="9"/>
      <c r="S177" s="9"/>
      <c r="T177" s="9"/>
      <c r="U177" s="9"/>
      <c r="V177" s="9"/>
      <c r="W177" s="9"/>
      <c r="X177" s="8"/>
      <c r="Y177" s="19"/>
    </row>
    <row r="178" spans="10:25" x14ac:dyDescent="0.2">
      <c r="J178" s="21"/>
      <c r="K178" s="21"/>
      <c r="L178" s="21"/>
      <c r="M178" s="21"/>
      <c r="N178" s="21"/>
      <c r="O178" s="21"/>
      <c r="P178" s="21"/>
      <c r="Q178" s="21"/>
      <c r="R178" s="9"/>
      <c r="S178" s="9"/>
      <c r="T178" s="9"/>
      <c r="U178" s="9"/>
      <c r="V178" s="9"/>
      <c r="W178" s="9"/>
      <c r="X178" s="8"/>
      <c r="Y178" s="19"/>
    </row>
    <row r="179" spans="10:25" x14ac:dyDescent="0.2">
      <c r="J179" s="21"/>
      <c r="K179" s="21"/>
      <c r="L179" s="21"/>
      <c r="M179" s="21"/>
      <c r="N179" s="21"/>
      <c r="O179" s="21"/>
      <c r="P179" s="21"/>
      <c r="Q179" s="21"/>
      <c r="R179" s="9"/>
      <c r="S179" s="9"/>
      <c r="T179" s="9"/>
      <c r="U179" s="9"/>
      <c r="V179" s="9"/>
      <c r="W179" s="9"/>
      <c r="X179" s="8"/>
      <c r="Y179" s="19"/>
    </row>
    <row r="180" spans="10:25" x14ac:dyDescent="0.2">
      <c r="J180" s="21"/>
      <c r="K180" s="21"/>
      <c r="L180" s="21"/>
      <c r="M180" s="21"/>
      <c r="N180" s="21"/>
      <c r="O180" s="21"/>
      <c r="P180" s="21"/>
      <c r="Q180" s="21"/>
      <c r="R180" s="9"/>
      <c r="S180" s="9"/>
      <c r="T180" s="9"/>
      <c r="U180" s="9"/>
      <c r="V180" s="9"/>
      <c r="W180" s="9"/>
      <c r="X180" s="8"/>
      <c r="Y180" s="19"/>
    </row>
    <row r="181" spans="10:25" x14ac:dyDescent="0.2">
      <c r="J181" s="21"/>
      <c r="K181" s="21"/>
      <c r="L181" s="21"/>
      <c r="M181" s="21"/>
      <c r="N181" s="21"/>
      <c r="O181" s="21"/>
      <c r="P181" s="21"/>
      <c r="Q181" s="21"/>
      <c r="R181" s="9"/>
      <c r="S181" s="9"/>
      <c r="T181" s="9"/>
      <c r="U181" s="9"/>
      <c r="V181" s="9"/>
      <c r="W181" s="9"/>
      <c r="X181" s="8"/>
      <c r="Y181" s="19"/>
    </row>
    <row r="182" spans="10:25" x14ac:dyDescent="0.2">
      <c r="J182" s="21"/>
      <c r="K182" s="21"/>
      <c r="L182" s="21"/>
      <c r="M182" s="21"/>
      <c r="N182" s="21"/>
      <c r="O182" s="21"/>
      <c r="P182" s="21"/>
      <c r="Q182" s="21"/>
      <c r="R182" s="9"/>
      <c r="S182" s="9"/>
      <c r="T182" s="9"/>
      <c r="U182" s="9"/>
      <c r="V182" s="9"/>
      <c r="W182" s="9"/>
      <c r="X182" s="8"/>
      <c r="Y182" s="19"/>
    </row>
    <row r="183" spans="10:25" x14ac:dyDescent="0.2">
      <c r="J183" s="21"/>
      <c r="K183" s="21"/>
      <c r="L183" s="21"/>
      <c r="M183" s="21"/>
      <c r="N183" s="21"/>
      <c r="O183" s="21"/>
      <c r="P183" s="21"/>
      <c r="Q183" s="21"/>
      <c r="R183" s="9"/>
      <c r="S183" s="9"/>
      <c r="T183" s="9"/>
      <c r="U183" s="9"/>
      <c r="V183" s="9"/>
      <c r="W183" s="9"/>
      <c r="X183" s="8"/>
      <c r="Y183" s="19"/>
    </row>
    <row r="184" spans="10:25" x14ac:dyDescent="0.2">
      <c r="J184" s="21"/>
      <c r="K184" s="21"/>
      <c r="L184" s="21"/>
      <c r="M184" s="21"/>
      <c r="N184" s="21"/>
      <c r="O184" s="21"/>
      <c r="P184" s="21"/>
      <c r="Q184" s="21"/>
      <c r="R184" s="9"/>
      <c r="S184" s="9"/>
      <c r="T184" s="9"/>
      <c r="U184" s="9"/>
      <c r="V184" s="9"/>
      <c r="W184" s="9"/>
      <c r="X184" s="8"/>
      <c r="Y184" s="19"/>
    </row>
    <row r="185" spans="10:25" x14ac:dyDescent="0.2">
      <c r="J185" s="21"/>
      <c r="K185" s="21"/>
      <c r="L185" s="21"/>
      <c r="M185" s="21"/>
      <c r="N185" s="21"/>
      <c r="O185" s="21"/>
      <c r="P185" s="21"/>
      <c r="Q185" s="21"/>
      <c r="R185" s="9"/>
      <c r="S185" s="9"/>
      <c r="T185" s="9"/>
      <c r="U185" s="9"/>
      <c r="V185" s="9"/>
      <c r="W185" s="9"/>
      <c r="X185" s="8"/>
      <c r="Y185" s="19"/>
    </row>
    <row r="186" spans="10:25" x14ac:dyDescent="0.2">
      <c r="J186" s="21"/>
      <c r="K186" s="21"/>
      <c r="L186" s="21"/>
      <c r="M186" s="21"/>
      <c r="N186" s="21"/>
      <c r="O186" s="21"/>
      <c r="P186" s="21"/>
      <c r="Q186" s="21"/>
      <c r="R186" s="9"/>
      <c r="S186" s="9"/>
      <c r="T186" s="9"/>
      <c r="U186" s="9"/>
      <c r="V186" s="9"/>
      <c r="W186" s="9"/>
      <c r="X186" s="8"/>
      <c r="Y186" s="19"/>
    </row>
    <row r="187" spans="10:25" x14ac:dyDescent="0.2">
      <c r="J187" s="21"/>
      <c r="K187" s="21"/>
      <c r="L187" s="21"/>
      <c r="M187" s="21"/>
      <c r="N187" s="21"/>
      <c r="O187" s="21"/>
      <c r="P187" s="21"/>
      <c r="Q187" s="21"/>
      <c r="R187" s="9"/>
      <c r="S187" s="9"/>
      <c r="T187" s="9"/>
      <c r="U187" s="9"/>
      <c r="V187" s="9"/>
      <c r="W187" s="9"/>
      <c r="X187" s="8"/>
      <c r="Y187" s="19"/>
    </row>
    <row r="188" spans="10:25" x14ac:dyDescent="0.2">
      <c r="J188" s="21"/>
      <c r="K188" s="21"/>
      <c r="L188" s="21"/>
      <c r="M188" s="21"/>
      <c r="N188" s="21"/>
      <c r="O188" s="21"/>
      <c r="P188" s="21"/>
      <c r="Q188" s="21"/>
      <c r="R188" s="9"/>
      <c r="S188" s="9"/>
      <c r="T188" s="9"/>
      <c r="U188" s="9"/>
      <c r="V188" s="9"/>
      <c r="W188" s="9"/>
      <c r="X188" s="8"/>
      <c r="Y188" s="19"/>
    </row>
    <row r="189" spans="10:25" x14ac:dyDescent="0.2">
      <c r="J189" s="21"/>
      <c r="K189" s="21"/>
      <c r="L189" s="21"/>
      <c r="M189" s="21"/>
      <c r="N189" s="21"/>
      <c r="O189" s="21"/>
      <c r="P189" s="21"/>
      <c r="Q189" s="21"/>
      <c r="R189" s="9"/>
      <c r="S189" s="9"/>
      <c r="T189" s="9"/>
      <c r="U189" s="9"/>
      <c r="V189" s="9"/>
      <c r="W189" s="9"/>
      <c r="X189" s="8"/>
      <c r="Y189" s="19"/>
    </row>
    <row r="190" spans="10:25" x14ac:dyDescent="0.2">
      <c r="J190" s="21"/>
      <c r="K190" s="21"/>
      <c r="L190" s="21"/>
      <c r="M190" s="21"/>
      <c r="N190" s="21"/>
      <c r="O190" s="21"/>
      <c r="P190" s="21"/>
      <c r="Q190" s="21"/>
      <c r="R190" s="9"/>
      <c r="S190" s="9"/>
      <c r="T190" s="9"/>
      <c r="U190" s="9"/>
      <c r="V190" s="9"/>
      <c r="W190" s="9"/>
      <c r="X190" s="8"/>
      <c r="Y190" s="19"/>
    </row>
    <row r="191" spans="10:25" x14ac:dyDescent="0.2">
      <c r="J191" s="21"/>
      <c r="K191" s="21"/>
      <c r="L191" s="21"/>
      <c r="M191" s="21"/>
      <c r="N191" s="21"/>
      <c r="O191" s="21"/>
      <c r="P191" s="21"/>
      <c r="Q191" s="21"/>
      <c r="R191" s="9"/>
      <c r="S191" s="9"/>
      <c r="T191" s="9"/>
      <c r="U191" s="9"/>
      <c r="V191" s="9"/>
      <c r="W191" s="9"/>
      <c r="X191" s="8"/>
      <c r="Y191" s="19"/>
    </row>
    <row r="192" spans="10:25" x14ac:dyDescent="0.2">
      <c r="J192" s="21"/>
      <c r="K192" s="21"/>
      <c r="L192" s="21"/>
      <c r="M192" s="21"/>
      <c r="N192" s="21"/>
      <c r="O192" s="21"/>
      <c r="P192" s="21"/>
      <c r="Q192" s="21"/>
      <c r="R192" s="9"/>
      <c r="S192" s="9"/>
      <c r="T192" s="9"/>
      <c r="U192" s="9"/>
      <c r="V192" s="9"/>
      <c r="W192" s="9"/>
      <c r="X192" s="8"/>
      <c r="Y192" s="19"/>
    </row>
    <row r="193" spans="10:25" x14ac:dyDescent="0.2">
      <c r="J193" s="21"/>
      <c r="K193" s="21"/>
      <c r="L193" s="21"/>
      <c r="M193" s="21"/>
      <c r="N193" s="21"/>
      <c r="O193" s="21"/>
      <c r="P193" s="21"/>
      <c r="Q193" s="21"/>
      <c r="R193" s="9"/>
      <c r="S193" s="9"/>
      <c r="T193" s="9"/>
      <c r="U193" s="9"/>
      <c r="V193" s="9"/>
      <c r="W193" s="9"/>
      <c r="X193" s="8"/>
      <c r="Y193" s="19"/>
    </row>
    <row r="194" spans="10:25" x14ac:dyDescent="0.2">
      <c r="J194" s="21"/>
      <c r="K194" s="21"/>
      <c r="L194" s="21"/>
      <c r="M194" s="21"/>
      <c r="N194" s="21"/>
      <c r="O194" s="21"/>
      <c r="P194" s="21"/>
      <c r="Q194" s="21"/>
      <c r="R194" s="9"/>
      <c r="S194" s="9"/>
      <c r="T194" s="9"/>
      <c r="U194" s="9"/>
      <c r="V194" s="9"/>
      <c r="W194" s="9"/>
      <c r="X194" s="8"/>
      <c r="Y194" s="19"/>
    </row>
    <row r="195" spans="10:25" x14ac:dyDescent="0.2">
      <c r="J195" s="21"/>
      <c r="K195" s="21"/>
      <c r="L195" s="21"/>
      <c r="M195" s="21"/>
      <c r="N195" s="21"/>
      <c r="O195" s="21"/>
      <c r="P195" s="21"/>
      <c r="Q195" s="21"/>
      <c r="R195" s="9"/>
      <c r="S195" s="9"/>
      <c r="T195" s="9"/>
      <c r="U195" s="9"/>
      <c r="V195" s="9"/>
      <c r="W195" s="9"/>
      <c r="X195" s="8"/>
      <c r="Y195" s="19"/>
    </row>
    <row r="196" spans="10:25" x14ac:dyDescent="0.2">
      <c r="J196" s="21"/>
      <c r="K196" s="21"/>
      <c r="L196" s="21"/>
      <c r="M196" s="21"/>
      <c r="N196" s="21"/>
      <c r="O196" s="21"/>
      <c r="P196" s="21"/>
      <c r="Q196" s="21"/>
      <c r="R196" s="9"/>
      <c r="S196" s="9"/>
      <c r="T196" s="9"/>
      <c r="U196" s="9"/>
      <c r="V196" s="9"/>
      <c r="W196" s="9"/>
      <c r="X196" s="8"/>
      <c r="Y196" s="19"/>
    </row>
    <row r="197" spans="10:25" x14ac:dyDescent="0.2">
      <c r="J197" s="21"/>
      <c r="K197" s="21"/>
      <c r="L197" s="21"/>
      <c r="M197" s="21"/>
      <c r="N197" s="21"/>
      <c r="O197" s="21"/>
      <c r="P197" s="21"/>
      <c r="Q197" s="21"/>
      <c r="R197" s="9"/>
      <c r="S197" s="9"/>
      <c r="T197" s="9"/>
      <c r="U197" s="9"/>
      <c r="V197" s="9"/>
      <c r="W197" s="9"/>
      <c r="X197" s="8"/>
      <c r="Y197" s="19"/>
    </row>
    <row r="198" spans="10:25" x14ac:dyDescent="0.2">
      <c r="J198" s="21"/>
      <c r="K198" s="21"/>
      <c r="L198" s="21"/>
      <c r="M198" s="21"/>
      <c r="N198" s="21"/>
      <c r="O198" s="21"/>
      <c r="P198" s="21"/>
      <c r="Q198" s="21"/>
      <c r="R198" s="9"/>
      <c r="S198" s="9"/>
      <c r="T198" s="9"/>
      <c r="U198" s="9"/>
      <c r="V198" s="9"/>
      <c r="W198" s="9"/>
      <c r="X198" s="8"/>
      <c r="Y198" s="19"/>
    </row>
    <row r="199" spans="10:25" x14ac:dyDescent="0.2">
      <c r="J199" s="21"/>
      <c r="K199" s="21"/>
      <c r="L199" s="21"/>
      <c r="M199" s="21"/>
      <c r="N199" s="21"/>
      <c r="O199" s="21"/>
      <c r="P199" s="21"/>
      <c r="Q199" s="21"/>
      <c r="R199" s="9"/>
      <c r="S199" s="9"/>
      <c r="T199" s="9"/>
      <c r="U199" s="9"/>
      <c r="V199" s="9"/>
      <c r="W199" s="9"/>
      <c r="X199" s="8"/>
      <c r="Y199" s="19"/>
    </row>
    <row r="200" spans="10:25" x14ac:dyDescent="0.2">
      <c r="J200" s="21"/>
      <c r="K200" s="21"/>
      <c r="L200" s="21"/>
      <c r="M200" s="21"/>
      <c r="N200" s="21"/>
      <c r="O200" s="21"/>
      <c r="P200" s="21"/>
      <c r="Q200" s="21"/>
      <c r="R200" s="9"/>
      <c r="S200" s="9"/>
      <c r="T200" s="9"/>
      <c r="U200" s="9"/>
      <c r="V200" s="9"/>
      <c r="W200" s="9"/>
      <c r="X200" s="8"/>
      <c r="Y200" s="19"/>
    </row>
    <row r="201" spans="10:25" x14ac:dyDescent="0.2">
      <c r="J201" s="21"/>
      <c r="K201" s="21"/>
      <c r="L201" s="21"/>
      <c r="M201" s="21"/>
      <c r="N201" s="21"/>
      <c r="O201" s="21"/>
      <c r="P201" s="21"/>
      <c r="Q201" s="21"/>
      <c r="R201" s="9"/>
      <c r="S201" s="9"/>
      <c r="T201" s="9"/>
      <c r="U201" s="9"/>
      <c r="V201" s="9"/>
      <c r="W201" s="9"/>
      <c r="X201" s="8"/>
      <c r="Y201" s="19"/>
    </row>
    <row r="202" spans="10:25" x14ac:dyDescent="0.2">
      <c r="J202" s="21"/>
      <c r="K202" s="21"/>
      <c r="L202" s="21"/>
      <c r="M202" s="21"/>
      <c r="N202" s="21"/>
      <c r="O202" s="21"/>
      <c r="P202" s="21"/>
      <c r="Q202" s="21"/>
      <c r="R202" s="9"/>
      <c r="S202" s="9"/>
      <c r="T202" s="9"/>
      <c r="U202" s="9"/>
      <c r="V202" s="9"/>
      <c r="W202" s="9"/>
      <c r="X202" s="8"/>
      <c r="Y202" s="19"/>
    </row>
    <row r="203" spans="10:25" x14ac:dyDescent="0.2">
      <c r="J203" s="21"/>
      <c r="K203" s="21"/>
      <c r="L203" s="21"/>
      <c r="M203" s="21"/>
      <c r="N203" s="21"/>
      <c r="O203" s="21"/>
      <c r="P203" s="21"/>
      <c r="Q203" s="21"/>
      <c r="R203" s="9"/>
      <c r="S203" s="9"/>
      <c r="T203" s="9"/>
      <c r="U203" s="9"/>
      <c r="V203" s="9"/>
      <c r="W203" s="9"/>
      <c r="X203" s="8"/>
      <c r="Y203" s="19"/>
    </row>
    <row r="204" spans="10:25" x14ac:dyDescent="0.2">
      <c r="J204" s="21"/>
      <c r="K204" s="21"/>
      <c r="L204" s="21"/>
      <c r="M204" s="21"/>
      <c r="N204" s="21"/>
      <c r="O204" s="21"/>
      <c r="P204" s="21"/>
      <c r="Q204" s="21"/>
      <c r="R204" s="9"/>
      <c r="S204" s="9"/>
      <c r="T204" s="9"/>
      <c r="U204" s="9"/>
      <c r="V204" s="9"/>
      <c r="W204" s="9"/>
      <c r="X204" s="8"/>
      <c r="Y204" s="19"/>
    </row>
    <row r="205" spans="10:25" x14ac:dyDescent="0.2">
      <c r="J205" s="21"/>
      <c r="K205" s="21"/>
      <c r="L205" s="21"/>
      <c r="M205" s="21"/>
      <c r="N205" s="21"/>
      <c r="O205" s="21"/>
      <c r="P205" s="21"/>
      <c r="Q205" s="21"/>
      <c r="R205" s="9"/>
      <c r="S205" s="9"/>
      <c r="T205" s="9"/>
      <c r="U205" s="9"/>
      <c r="V205" s="9"/>
      <c r="W205" s="9"/>
      <c r="X205" s="8"/>
      <c r="Y205" s="19"/>
    </row>
    <row r="206" spans="10:25" x14ac:dyDescent="0.2">
      <c r="J206" s="21"/>
      <c r="K206" s="21"/>
      <c r="L206" s="21"/>
      <c r="M206" s="21"/>
      <c r="N206" s="21"/>
      <c r="O206" s="21"/>
      <c r="P206" s="21"/>
      <c r="Q206" s="21"/>
      <c r="R206" s="9"/>
      <c r="S206" s="9"/>
      <c r="T206" s="9"/>
      <c r="U206" s="9"/>
      <c r="V206" s="9"/>
      <c r="W206" s="9"/>
      <c r="X206" s="8"/>
      <c r="Y206" s="19"/>
    </row>
    <row r="207" spans="10:25" x14ac:dyDescent="0.2">
      <c r="J207" s="21"/>
      <c r="K207" s="21"/>
      <c r="L207" s="21"/>
      <c r="M207" s="21"/>
      <c r="N207" s="21"/>
      <c r="O207" s="21"/>
      <c r="P207" s="21"/>
      <c r="Q207" s="21"/>
      <c r="R207" s="9"/>
      <c r="S207" s="9"/>
      <c r="T207" s="9"/>
      <c r="U207" s="9"/>
      <c r="V207" s="9"/>
      <c r="W207" s="9"/>
      <c r="X207" s="8"/>
      <c r="Y207" s="19"/>
    </row>
    <row r="208" spans="10:25" x14ac:dyDescent="0.2">
      <c r="J208" s="21"/>
      <c r="K208" s="21"/>
      <c r="L208" s="21"/>
      <c r="M208" s="21"/>
      <c r="N208" s="21"/>
      <c r="O208" s="21"/>
      <c r="P208" s="21"/>
      <c r="Q208" s="21"/>
      <c r="R208" s="9"/>
      <c r="S208" s="9"/>
      <c r="T208" s="9"/>
      <c r="U208" s="9"/>
      <c r="V208" s="9"/>
      <c r="W208" s="9"/>
      <c r="X208" s="8"/>
      <c r="Y208" s="19"/>
    </row>
    <row r="209" spans="10:25" x14ac:dyDescent="0.2">
      <c r="J209" s="21"/>
      <c r="K209" s="21"/>
      <c r="L209" s="21"/>
      <c r="M209" s="21"/>
      <c r="N209" s="21"/>
      <c r="O209" s="21"/>
      <c r="P209" s="21"/>
      <c r="Q209" s="21"/>
      <c r="R209" s="9"/>
      <c r="S209" s="9"/>
      <c r="T209" s="9"/>
      <c r="U209" s="9"/>
      <c r="V209" s="9"/>
      <c r="W209" s="9"/>
      <c r="X209" s="8"/>
      <c r="Y209" s="19"/>
    </row>
    <row r="210" spans="10:25" x14ac:dyDescent="0.2">
      <c r="J210" s="21"/>
      <c r="K210" s="21"/>
      <c r="L210" s="21"/>
      <c r="M210" s="21"/>
      <c r="N210" s="21"/>
      <c r="O210" s="21"/>
      <c r="P210" s="21"/>
      <c r="Q210" s="21"/>
      <c r="R210" s="9"/>
      <c r="S210" s="9"/>
      <c r="T210" s="9"/>
      <c r="U210" s="9"/>
      <c r="V210" s="9"/>
      <c r="W210" s="9"/>
      <c r="X210" s="8"/>
      <c r="Y210" s="19"/>
    </row>
    <row r="211" spans="10:25" x14ac:dyDescent="0.2">
      <c r="J211" s="21"/>
      <c r="K211" s="21"/>
      <c r="L211" s="21"/>
      <c r="M211" s="21"/>
      <c r="N211" s="21"/>
      <c r="O211" s="21"/>
      <c r="P211" s="21"/>
      <c r="Q211" s="21"/>
      <c r="R211" s="9"/>
      <c r="S211" s="9"/>
      <c r="T211" s="9"/>
      <c r="U211" s="9"/>
      <c r="V211" s="9"/>
      <c r="W211" s="9"/>
      <c r="X211" s="8"/>
      <c r="Y211" s="19"/>
    </row>
    <row r="212" spans="10:25" x14ac:dyDescent="0.2"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19"/>
    </row>
    <row r="213" spans="10:25" x14ac:dyDescent="0.2"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19"/>
    </row>
    <row r="214" spans="10:25" x14ac:dyDescent="0.2"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19"/>
    </row>
    <row r="215" spans="10:25" x14ac:dyDescent="0.2"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19"/>
    </row>
    <row r="216" spans="10:25" x14ac:dyDescent="0.2"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19"/>
    </row>
    <row r="217" spans="10:25" x14ac:dyDescent="0.2"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19"/>
    </row>
    <row r="218" spans="10:25" x14ac:dyDescent="0.2"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19"/>
    </row>
    <row r="219" spans="10:25" x14ac:dyDescent="0.2"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19"/>
    </row>
    <row r="220" spans="10:25" x14ac:dyDescent="0.2"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19"/>
    </row>
    <row r="221" spans="10:25" x14ac:dyDescent="0.2"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</row>
    <row r="222" spans="10:25" x14ac:dyDescent="0.2"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</row>
  </sheetData>
  <mergeCells count="16">
    <mergeCell ref="V19:V20"/>
    <mergeCell ref="W19:W20"/>
    <mergeCell ref="X19:X20"/>
    <mergeCell ref="J14:J15"/>
    <mergeCell ref="P19:P20"/>
    <mergeCell ref="Q19:Q20"/>
    <mergeCell ref="R19:R20"/>
    <mergeCell ref="S19:S20"/>
    <mergeCell ref="T19:T20"/>
    <mergeCell ref="U19:U20"/>
    <mergeCell ref="J19:J20"/>
    <mergeCell ref="K19:K20"/>
    <mergeCell ref="L19:L20"/>
    <mergeCell ref="M19:M20"/>
    <mergeCell ref="N19:N20"/>
    <mergeCell ref="O19:O20"/>
  </mergeCell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U577"/>
  <sheetViews>
    <sheetView topLeftCell="A4" zoomScaleNormal="100" workbookViewId="0">
      <selection activeCell="Q14" sqref="Q14"/>
    </sheetView>
  </sheetViews>
  <sheetFormatPr baseColWidth="10" defaultColWidth="8.83203125" defaultRowHeight="15" x14ac:dyDescent="0.2"/>
  <cols>
    <col min="1" max="1" width="4.1640625" customWidth="1"/>
    <col min="2" max="2" width="21.6640625" customWidth="1"/>
    <col min="3" max="8" width="9.1640625" bestFit="1" customWidth="1"/>
    <col min="9" max="9" width="9.6640625" bestFit="1" customWidth="1"/>
    <col min="10" max="10" width="9.1640625" bestFit="1" customWidth="1"/>
    <col min="11" max="11" width="13.1640625" customWidth="1"/>
    <col min="15" max="15" width="11" customWidth="1"/>
    <col min="16" max="16" width="10.1640625" bestFit="1" customWidth="1"/>
    <col min="17" max="17" width="9" style="3"/>
    <col min="21" max="21" width="10.1640625" bestFit="1" customWidth="1"/>
  </cols>
  <sheetData>
    <row r="1" spans="2:21" x14ac:dyDescent="0.2">
      <c r="J1" s="3"/>
      <c r="K1" s="3"/>
      <c r="L1" s="3"/>
    </row>
    <row r="2" spans="2:21" x14ac:dyDescent="0.2">
      <c r="F2" s="23" t="s">
        <v>26</v>
      </c>
      <c r="G2" s="23"/>
      <c r="H2" s="38" t="s">
        <v>25</v>
      </c>
      <c r="J2" s="3"/>
      <c r="K2" s="3"/>
      <c r="L2" s="3"/>
      <c r="O2" s="163" t="s">
        <v>47</v>
      </c>
      <c r="P2" s="164"/>
      <c r="R2" s="25" t="s">
        <v>46</v>
      </c>
      <c r="S2" s="27"/>
    </row>
    <row r="3" spans="2:21" x14ac:dyDescent="0.2">
      <c r="F3" s="15" t="s">
        <v>24</v>
      </c>
      <c r="G3" s="15"/>
      <c r="H3" s="5">
        <v>15</v>
      </c>
      <c r="J3" s="3"/>
      <c r="K3" s="3"/>
      <c r="L3" s="3"/>
      <c r="O3" s="28" t="s">
        <v>48</v>
      </c>
      <c r="P3" s="4">
        <f>(SnTest1*SnTest2)+corr*(SnTest1*(1-SnTest1)*SnTest2*(1-SnTest2))^0.5</f>
        <v>0.65839999999999999</v>
      </c>
      <c r="R3" s="30" t="s">
        <v>34</v>
      </c>
      <c r="S3" s="5">
        <v>11346</v>
      </c>
    </row>
    <row r="4" spans="2:21" x14ac:dyDescent="0.2">
      <c r="F4" s="15" t="s">
        <v>23</v>
      </c>
      <c r="G4" s="15"/>
      <c r="H4" s="5">
        <v>53.6</v>
      </c>
      <c r="J4" s="3"/>
      <c r="K4" s="3"/>
      <c r="L4" s="3"/>
      <c r="O4" s="28" t="s">
        <v>49</v>
      </c>
      <c r="P4" s="4">
        <f>(SpTest1+SpTest2-(SpTest1*SpTest2))-(corr*(SpTest1*(1-SpTest1)*SpTest2*(1- SpTest2))^0.5)</f>
        <v>0.99994999999999989</v>
      </c>
    </row>
    <row r="5" spans="2:21" x14ac:dyDescent="0.2">
      <c r="F5" s="15" t="s">
        <v>22</v>
      </c>
      <c r="G5" s="15"/>
      <c r="H5" s="5">
        <f>75*H8</f>
        <v>300</v>
      </c>
      <c r="J5" s="3"/>
      <c r="K5" s="3"/>
      <c r="L5" s="3"/>
      <c r="O5" s="28" t="s">
        <v>50</v>
      </c>
      <c r="P5" s="4">
        <f>SnTest1+SnTest2-(SnTest1* SnTest2)-(corr*(SnTest1*(1-SnTest1)* SnTest2*(1- SnTest2))^0.5)</f>
        <v>0.96460000000000001</v>
      </c>
      <c r="R5" s="30" t="s">
        <v>35</v>
      </c>
      <c r="S5" s="5">
        <v>0.82299999999999995</v>
      </c>
    </row>
    <row r="6" spans="2:21" x14ac:dyDescent="0.2">
      <c r="F6" s="15" t="s">
        <v>21</v>
      </c>
      <c r="G6" s="15"/>
      <c r="H6" s="5">
        <f>SUM(H3:H5)</f>
        <v>368.6</v>
      </c>
      <c r="J6" s="3"/>
      <c r="K6" s="3"/>
      <c r="L6" s="3"/>
      <c r="O6" s="28" t="s">
        <v>51</v>
      </c>
      <c r="P6" s="4">
        <f>(SpTest1*SpTest2)+(corr*(SpTest1*(1-SpTest2)*SpTest2*(1-SpTest2))^0.5)</f>
        <v>0.98504999999999998</v>
      </c>
      <c r="R6" s="30" t="s">
        <v>36</v>
      </c>
      <c r="S6" s="5">
        <v>0.995</v>
      </c>
    </row>
    <row r="7" spans="2:21" x14ac:dyDescent="0.2">
      <c r="F7" s="15" t="s">
        <v>19</v>
      </c>
      <c r="G7" s="15"/>
      <c r="H7" s="5">
        <f>H4+H5</f>
        <v>353.6</v>
      </c>
      <c r="I7" s="6"/>
      <c r="J7" s="3"/>
      <c r="K7" s="3"/>
      <c r="L7" s="3"/>
      <c r="R7" s="30" t="s">
        <v>37</v>
      </c>
      <c r="S7" s="5">
        <v>0.8</v>
      </c>
    </row>
    <row r="8" spans="2:21" x14ac:dyDescent="0.2">
      <c r="F8" s="165" t="s">
        <v>20</v>
      </c>
      <c r="G8" s="165"/>
      <c r="H8" s="26">
        <v>4</v>
      </c>
      <c r="I8" s="3"/>
      <c r="J8" s="3"/>
      <c r="K8" s="3"/>
      <c r="L8" s="3"/>
      <c r="R8" s="30" t="s">
        <v>38</v>
      </c>
      <c r="S8" s="5">
        <v>0.99</v>
      </c>
    </row>
    <row r="9" spans="2:21" x14ac:dyDescent="0.2">
      <c r="I9" s="3"/>
      <c r="J9" s="3"/>
      <c r="K9" s="3"/>
      <c r="L9" s="3"/>
      <c r="R9" s="30" t="s">
        <v>39</v>
      </c>
      <c r="S9" s="5">
        <v>0</v>
      </c>
    </row>
    <row r="10" spans="2:21" x14ac:dyDescent="0.2">
      <c r="I10" s="3"/>
      <c r="J10" s="3"/>
      <c r="R10" s="39" t="s">
        <v>54</v>
      </c>
      <c r="S10" s="26">
        <v>0.14000000000000001</v>
      </c>
    </row>
    <row r="12" spans="2:21" ht="57" customHeight="1" x14ac:dyDescent="0.2">
      <c r="B12" s="181" t="s">
        <v>18</v>
      </c>
      <c r="C12" s="182" t="s">
        <v>17</v>
      </c>
      <c r="D12" s="182" t="s">
        <v>16</v>
      </c>
      <c r="E12" s="182" t="s">
        <v>15</v>
      </c>
      <c r="F12" s="182" t="s">
        <v>14</v>
      </c>
      <c r="G12" s="182" t="s">
        <v>13</v>
      </c>
      <c r="H12" s="182" t="s">
        <v>12</v>
      </c>
      <c r="I12" s="182" t="s">
        <v>11</v>
      </c>
      <c r="J12" s="186" t="s">
        <v>10</v>
      </c>
      <c r="K12" s="186" t="s">
        <v>9</v>
      </c>
      <c r="L12" s="186" t="s">
        <v>8</v>
      </c>
      <c r="M12" s="186" t="s">
        <v>7</v>
      </c>
      <c r="N12" s="183" t="s">
        <v>6</v>
      </c>
      <c r="O12" s="183" t="s">
        <v>5</v>
      </c>
      <c r="P12" s="183" t="s">
        <v>4</v>
      </c>
      <c r="Q12" s="184" t="s">
        <v>55</v>
      </c>
      <c r="U12" s="183" t="s">
        <v>42</v>
      </c>
    </row>
    <row r="13" spans="2:21" x14ac:dyDescent="0.2">
      <c r="B13" s="181"/>
      <c r="C13" s="182"/>
      <c r="D13" s="182"/>
      <c r="E13" s="182"/>
      <c r="F13" s="182"/>
      <c r="G13" s="182"/>
      <c r="H13" s="182"/>
      <c r="I13" s="182"/>
      <c r="J13" s="186"/>
      <c r="K13" s="186"/>
      <c r="L13" s="186"/>
      <c r="M13" s="186"/>
      <c r="N13" s="183"/>
      <c r="O13" s="183"/>
      <c r="P13" s="183"/>
      <c r="Q13" s="185"/>
      <c r="U13" s="183"/>
    </row>
    <row r="14" spans="2:21" ht="15" customHeight="1" x14ac:dyDescent="0.2">
      <c r="B14" s="11" t="s">
        <v>28</v>
      </c>
      <c r="C14" s="12">
        <f>cohort*Prev*SnTest1*((corr*(SQRT(SnTest1*(1-SnTest1)*SnTest2*(1-SnTest2)))+SnTest1*SnTest2)/SnTest1)</f>
        <v>112.05309599999998</v>
      </c>
      <c r="D14" s="13">
        <f>(1-Prev)*(1-SpTest1)*cohort</f>
        <v>55.879050000000049</v>
      </c>
      <c r="E14" s="12">
        <f>(cohort*(1-Prev)*(1-SpTest1))-TNTest2</f>
        <v>0.55879049999994379</v>
      </c>
      <c r="F14" s="12">
        <f>cohort*Prev*(1-SnTest1)</f>
        <v>30.123630000000009</v>
      </c>
      <c r="G14" s="12">
        <f>(cohort*Prev*SnTest1)-TPSeq</f>
        <v>28.013273999999996</v>
      </c>
      <c r="H14" s="12">
        <f>(1-Prev)*SpTest1*cohort</f>
        <v>11119.93095</v>
      </c>
      <c r="I14" s="12">
        <f>cohort*(1-Prev)*(1-SpTest1)*(SpTest2-(corr*(SQRT(SpTest1*(1-SpTest1)*SpTest2*(1-SpTest2)))+SpTest2*SpTest1))/(1-SpTest1)</f>
        <v>55.320259500000105</v>
      </c>
      <c r="J14" s="22">
        <f>(C14*$H$6)+(E14*$H$6)+(G14*$H$3)+(I14*$H$3)</f>
        <v>42758.744366399973</v>
      </c>
      <c r="K14" s="22">
        <f>(C14*$H$6)</f>
        <v>41302.771185599995</v>
      </c>
      <c r="L14" s="22">
        <f>J14-K14</f>
        <v>1455.9731807999779</v>
      </c>
      <c r="M14" s="22">
        <f>(F14*$H$3)+(G14*$H$6)</f>
        <v>10777.547246399999</v>
      </c>
      <c r="N14" s="12">
        <f>K14/J14</f>
        <v>0.96594911281014861</v>
      </c>
      <c r="O14" s="12">
        <f>M14/(M14+K14)</f>
        <v>0.20694088613286765</v>
      </c>
      <c r="P14" s="13">
        <f>N14-O14</f>
        <v>0.75900822667728096</v>
      </c>
      <c r="Q14" s="5">
        <v>1.4999999999999999E-2</v>
      </c>
      <c r="U14" s="31">
        <f t="shared" ref="U14:U77" si="0">(Prev*Total_SnSeq)+((1-Prev)*Total_SpSeq)</f>
        <v>0.99482674999999987</v>
      </c>
    </row>
    <row r="15" spans="2:21" x14ac:dyDescent="0.2">
      <c r="C15" s="12">
        <f t="shared" ref="C15:C78" si="1">cohort*Q15*SnTest1*((corr*(SQRT(SnTest1*(1-SnTest1)*SnTest2*(1-SnTest2)))+SnTest1*SnTest2)/SnTest1)</f>
        <v>119.52330239999999</v>
      </c>
      <c r="D15" s="13">
        <f t="shared" ref="D15:D78" si="2">(1-Q15)*(1-SpTest1)*cohort</f>
        <v>55.822320000000047</v>
      </c>
      <c r="E15" s="12">
        <f t="shared" ref="E15:E78" si="3">(cohort*(1-Q15)*(1-SpTest1))-TNTest2</f>
        <v>0.50206049999994207</v>
      </c>
      <c r="F15" s="12">
        <f t="shared" ref="F15:F78" si="4">cohort*Q15*(1-SnTest1)</f>
        <v>32.131872000000008</v>
      </c>
      <c r="G15" s="12">
        <f t="shared" ref="G15:G78" si="5">(cohort*Q15*SnTest1)-TPSeq</f>
        <v>37.351032000000004</v>
      </c>
      <c r="H15" s="12">
        <f t="shared" ref="H15:H78" si="6">(1-Q15)*SpTest1*cohort</f>
        <v>11108.641679999999</v>
      </c>
      <c r="I15" s="12">
        <f t="shared" ref="I15:I78" si="7">cohort*(1-Q15)*(1-SpTest1)*(SpTest2-(corr*(SQRT(SpTest1*(1-SpTest1)*SpTest2*(1-SpTest2)))+SpTest2*SpTest1))/(1-SpTest1)</f>
        <v>55.264096800000111</v>
      </c>
      <c r="J15" s="22">
        <f>(C15*$H$6)+(E15*$H$6)+(G15*$H$3)+(I15*$H$3)</f>
        <v>45630.575696939981</v>
      </c>
      <c r="K15" s="22">
        <f>(C15*$H$6)</f>
        <v>44056.28926464</v>
      </c>
      <c r="L15" s="22">
        <f>J15-K15</f>
        <v>1574.2864322999812</v>
      </c>
      <c r="M15" s="22">
        <f>(F15*$H$3)+(G15*$H$6)</f>
        <v>14249.568475200003</v>
      </c>
      <c r="N15" s="12">
        <f>K15/J15</f>
        <v>0.96549930812278673</v>
      </c>
      <c r="O15" s="12">
        <f>M15/(M15+K15)</f>
        <v>0.24439342850904275</v>
      </c>
      <c r="P15" s="13">
        <f>N15-O15</f>
        <v>0.72110587961374395</v>
      </c>
      <c r="Q15" s="3">
        <v>1.6E-2</v>
      </c>
      <c r="U15" s="31">
        <f t="shared" si="0"/>
        <v>0.99482674999999987</v>
      </c>
    </row>
    <row r="16" spans="2:21" x14ac:dyDescent="0.2">
      <c r="C16" s="12">
        <f t="shared" si="1"/>
        <v>126.9935088</v>
      </c>
      <c r="D16" s="13">
        <f t="shared" si="2"/>
        <v>55.765590000000053</v>
      </c>
      <c r="E16" s="12">
        <f t="shared" si="3"/>
        <v>0.44533049999994745</v>
      </c>
      <c r="F16" s="12">
        <f t="shared" si="4"/>
        <v>34.140114000000011</v>
      </c>
      <c r="G16" s="12">
        <f t="shared" si="5"/>
        <v>46.688790000000012</v>
      </c>
      <c r="H16" s="12">
        <f t="shared" si="6"/>
        <v>11097.35241</v>
      </c>
      <c r="I16" s="12">
        <f t="shared" si="7"/>
        <v>55.207934100000116</v>
      </c>
      <c r="J16" s="22">
        <f t="shared" ref="J16:J79" si="8">(C16*$H$6)+(E16*$H$6)+(G16*$H$3)+(I16*$H$3)</f>
        <v>48502.407027479989</v>
      </c>
      <c r="K16" s="22">
        <f t="shared" ref="K16:K79" si="9">(C16*$H$6)</f>
        <v>46809.807343680004</v>
      </c>
      <c r="L16" s="22">
        <f t="shared" ref="L16:L79" si="10">J16-K16</f>
        <v>1692.5996837999846</v>
      </c>
      <c r="M16" s="22">
        <f t="shared" ref="M16:M79" si="11">(F16*$H$3)+(G16*$H$6)</f>
        <v>17721.589704000005</v>
      </c>
      <c r="N16" s="12">
        <f t="shared" ref="N16:N79" si="12">K16/J16</f>
        <v>0.96510276937717732</v>
      </c>
      <c r="O16" s="12">
        <f t="shared" ref="O16:O79" si="13">M16/(M16+K16)</f>
        <v>0.27461965050758375</v>
      </c>
      <c r="P16" s="13">
        <f t="shared" ref="P16:P79" si="14">N16-O16</f>
        <v>0.69048311886959357</v>
      </c>
      <c r="Q16" s="5">
        <v>1.7000000000000001E-2</v>
      </c>
      <c r="U16" s="31">
        <f t="shared" si="0"/>
        <v>0.99482674999999987</v>
      </c>
    </row>
    <row r="17" spans="3:21" x14ac:dyDescent="0.2">
      <c r="C17" s="12">
        <f t="shared" si="1"/>
        <v>134.4637152</v>
      </c>
      <c r="D17" s="13">
        <f t="shared" si="2"/>
        <v>55.708860000000051</v>
      </c>
      <c r="E17" s="12">
        <f t="shared" si="3"/>
        <v>0.38860049999993862</v>
      </c>
      <c r="F17" s="12">
        <f t="shared" si="4"/>
        <v>36.148356000000007</v>
      </c>
      <c r="G17" s="12">
        <f t="shared" si="5"/>
        <v>56.026547999999991</v>
      </c>
      <c r="H17" s="12">
        <f t="shared" si="6"/>
        <v>11086.06314</v>
      </c>
      <c r="I17" s="12">
        <f t="shared" si="7"/>
        <v>55.151771400000101</v>
      </c>
      <c r="J17" s="22">
        <f t="shared" si="8"/>
        <v>51374.238358019982</v>
      </c>
      <c r="K17" s="22">
        <f t="shared" si="9"/>
        <v>49563.325422720001</v>
      </c>
      <c r="L17" s="22">
        <f t="shared" si="10"/>
        <v>1810.9129352999807</v>
      </c>
      <c r="M17" s="22">
        <f t="shared" si="11"/>
        <v>21193.610932799998</v>
      </c>
      <c r="N17" s="12">
        <f t="shared" si="12"/>
        <v>0.9647505638394096</v>
      </c>
      <c r="O17" s="12">
        <f t="shared" si="13"/>
        <v>0.29952697254036226</v>
      </c>
      <c r="P17" s="13">
        <f t="shared" si="14"/>
        <v>0.6652235912990474</v>
      </c>
      <c r="Q17" s="3">
        <v>1.7999999999999999E-2</v>
      </c>
      <c r="U17" s="31">
        <f t="shared" si="0"/>
        <v>0.99482674999999987</v>
      </c>
    </row>
    <row r="18" spans="3:21" x14ac:dyDescent="0.2">
      <c r="C18" s="12">
        <f t="shared" si="1"/>
        <v>141.93392159999999</v>
      </c>
      <c r="D18" s="13">
        <f t="shared" si="2"/>
        <v>55.652130000000042</v>
      </c>
      <c r="E18" s="12">
        <f t="shared" si="3"/>
        <v>0.331870499999944</v>
      </c>
      <c r="F18" s="12">
        <f t="shared" si="4"/>
        <v>38.15659800000001</v>
      </c>
      <c r="G18" s="12">
        <f t="shared" si="5"/>
        <v>65.364305999999999</v>
      </c>
      <c r="H18" s="12">
        <f t="shared" si="6"/>
        <v>11074.773869999999</v>
      </c>
      <c r="I18" s="12">
        <f t="shared" si="7"/>
        <v>55.095608700000113</v>
      </c>
      <c r="J18" s="22">
        <f t="shared" si="8"/>
        <v>54246.06968855999</v>
      </c>
      <c r="K18" s="22">
        <f t="shared" si="9"/>
        <v>52316.843501759999</v>
      </c>
      <c r="L18" s="22">
        <f t="shared" si="10"/>
        <v>1929.2261867999914</v>
      </c>
      <c r="M18" s="22">
        <f t="shared" si="11"/>
        <v>24665.632161599999</v>
      </c>
      <c r="N18" s="12">
        <f t="shared" si="12"/>
        <v>0.96443565040055157</v>
      </c>
      <c r="O18" s="12">
        <f t="shared" si="13"/>
        <v>0.32040580598448676</v>
      </c>
      <c r="P18" s="13">
        <f t="shared" si="14"/>
        <v>0.64402984441606481</v>
      </c>
      <c r="Q18" s="5">
        <v>1.9E-2</v>
      </c>
      <c r="U18" s="31">
        <f t="shared" si="0"/>
        <v>0.99482674999999987</v>
      </c>
    </row>
    <row r="19" spans="3:21" x14ac:dyDescent="0.2">
      <c r="C19" s="12">
        <f t="shared" si="1"/>
        <v>149.40412799999999</v>
      </c>
      <c r="D19" s="13">
        <f t="shared" si="2"/>
        <v>55.595400000000048</v>
      </c>
      <c r="E19" s="12">
        <f t="shared" si="3"/>
        <v>0.27514049999994228</v>
      </c>
      <c r="F19" s="12">
        <f t="shared" si="4"/>
        <v>40.164840000000012</v>
      </c>
      <c r="G19" s="12">
        <f t="shared" si="5"/>
        <v>74.702064000000007</v>
      </c>
      <c r="H19" s="12">
        <f t="shared" si="6"/>
        <v>11063.4846</v>
      </c>
      <c r="I19" s="12">
        <f t="shared" si="7"/>
        <v>55.039446000000112</v>
      </c>
      <c r="J19" s="22">
        <f t="shared" si="8"/>
        <v>57117.901019099969</v>
      </c>
      <c r="K19" s="22">
        <f t="shared" si="9"/>
        <v>55070.361580799996</v>
      </c>
      <c r="L19" s="22">
        <f t="shared" si="10"/>
        <v>2047.539438299973</v>
      </c>
      <c r="M19" s="22">
        <f t="shared" si="11"/>
        <v>28137.653390400006</v>
      </c>
      <c r="N19" s="12">
        <f t="shared" si="12"/>
        <v>0.96415240403152624</v>
      </c>
      <c r="O19" s="12">
        <f t="shared" si="13"/>
        <v>0.33816037313399466</v>
      </c>
      <c r="P19" s="13">
        <f t="shared" si="14"/>
        <v>0.62599203089753153</v>
      </c>
      <c r="Q19" s="3">
        <v>0.02</v>
      </c>
      <c r="U19" s="31">
        <f t="shared" si="0"/>
        <v>0.99482674999999987</v>
      </c>
    </row>
    <row r="20" spans="3:21" x14ac:dyDescent="0.2">
      <c r="C20" s="12">
        <f t="shared" si="1"/>
        <v>156.87433440000001</v>
      </c>
      <c r="D20" s="13">
        <f t="shared" si="2"/>
        <v>55.538670000000053</v>
      </c>
      <c r="E20" s="12">
        <f t="shared" si="3"/>
        <v>0.21841049999994766</v>
      </c>
      <c r="F20" s="12">
        <f t="shared" si="4"/>
        <v>42.173082000000015</v>
      </c>
      <c r="G20" s="12">
        <f t="shared" si="5"/>
        <v>84.039822000000015</v>
      </c>
      <c r="H20" s="12">
        <f t="shared" si="6"/>
        <v>11052.19533</v>
      </c>
      <c r="I20" s="12">
        <f t="shared" si="7"/>
        <v>54.983283300000117</v>
      </c>
      <c r="J20" s="22">
        <f t="shared" si="8"/>
        <v>59989.732349639991</v>
      </c>
      <c r="K20" s="22">
        <f t="shared" si="9"/>
        <v>57823.879659840008</v>
      </c>
      <c r="L20" s="22">
        <f t="shared" si="10"/>
        <v>2165.8526897999836</v>
      </c>
      <c r="M20" s="22">
        <f t="shared" si="11"/>
        <v>31609.674619200006</v>
      </c>
      <c r="N20" s="12">
        <f t="shared" si="12"/>
        <v>0.96389627682989687</v>
      </c>
      <c r="O20" s="12">
        <f t="shared" si="13"/>
        <v>0.35344312181281795</v>
      </c>
      <c r="P20" s="13">
        <f t="shared" si="14"/>
        <v>0.61045315501707886</v>
      </c>
      <c r="Q20" s="5">
        <v>2.1000000000000001E-2</v>
      </c>
      <c r="U20" s="31">
        <f t="shared" si="0"/>
        <v>0.99482674999999987</v>
      </c>
    </row>
    <row r="21" spans="3:21" x14ac:dyDescent="0.2">
      <c r="C21" s="12">
        <f t="shared" si="1"/>
        <v>164.3445408</v>
      </c>
      <c r="D21" s="13">
        <f t="shared" si="2"/>
        <v>55.481940000000051</v>
      </c>
      <c r="E21" s="12">
        <f t="shared" si="3"/>
        <v>0.16168049999993883</v>
      </c>
      <c r="F21" s="12">
        <f t="shared" si="4"/>
        <v>44.181324000000011</v>
      </c>
      <c r="G21" s="12">
        <f t="shared" si="5"/>
        <v>93.377579999999995</v>
      </c>
      <c r="H21" s="12">
        <f t="shared" si="6"/>
        <v>11040.906060000001</v>
      </c>
      <c r="I21" s="12">
        <f t="shared" si="7"/>
        <v>54.927120600000109</v>
      </c>
      <c r="J21" s="22">
        <f t="shared" si="8"/>
        <v>62861.563680179977</v>
      </c>
      <c r="K21" s="22">
        <f t="shared" si="9"/>
        <v>60577.397738880005</v>
      </c>
      <c r="L21" s="22">
        <f t="shared" si="10"/>
        <v>2284.1659412999725</v>
      </c>
      <c r="M21" s="22">
        <f t="shared" si="11"/>
        <v>35081.695847999996</v>
      </c>
      <c r="N21" s="12">
        <f t="shared" si="12"/>
        <v>0.96366355197714937</v>
      </c>
      <c r="O21" s="12">
        <f t="shared" si="13"/>
        <v>0.36673665338609879</v>
      </c>
      <c r="P21" s="13">
        <f t="shared" si="14"/>
        <v>0.59692689859105053</v>
      </c>
      <c r="Q21" s="3">
        <v>2.1999999999999999E-2</v>
      </c>
      <c r="U21" s="31">
        <f t="shared" si="0"/>
        <v>0.99482674999999987</v>
      </c>
    </row>
    <row r="22" spans="3:21" x14ac:dyDescent="0.2">
      <c r="C22" s="12">
        <f t="shared" si="1"/>
        <v>171.81474719999997</v>
      </c>
      <c r="D22" s="13">
        <f t="shared" si="2"/>
        <v>55.425210000000042</v>
      </c>
      <c r="E22" s="12">
        <f t="shared" si="3"/>
        <v>0.10495049999994421</v>
      </c>
      <c r="F22" s="12">
        <f t="shared" si="4"/>
        <v>46.189566000000006</v>
      </c>
      <c r="G22" s="12">
        <f t="shared" si="5"/>
        <v>102.71533799999997</v>
      </c>
      <c r="H22" s="12">
        <f t="shared" si="6"/>
        <v>11029.61679</v>
      </c>
      <c r="I22" s="12">
        <f t="shared" si="7"/>
        <v>54.870957900000114</v>
      </c>
      <c r="J22" s="22">
        <f t="shared" si="8"/>
        <v>65733.395010719978</v>
      </c>
      <c r="K22" s="22">
        <f t="shared" si="9"/>
        <v>63330.915817919995</v>
      </c>
      <c r="L22" s="22">
        <f t="shared" si="10"/>
        <v>2402.4791927999831</v>
      </c>
      <c r="M22" s="22">
        <f t="shared" si="11"/>
        <v>38553.717076799992</v>
      </c>
      <c r="N22" s="12">
        <f t="shared" si="12"/>
        <v>0.96345116219224369</v>
      </c>
      <c r="O22" s="12">
        <f t="shared" si="13"/>
        <v>0.37840561408940387</v>
      </c>
      <c r="P22" s="13">
        <f t="shared" si="14"/>
        <v>0.58504554810283982</v>
      </c>
      <c r="Q22" s="5">
        <v>2.3E-2</v>
      </c>
      <c r="U22" s="31">
        <f t="shared" si="0"/>
        <v>0.99482674999999987</v>
      </c>
    </row>
    <row r="23" spans="3:21" x14ac:dyDescent="0.2">
      <c r="C23" s="12">
        <f t="shared" si="1"/>
        <v>179.28495360000002</v>
      </c>
      <c r="D23" s="13">
        <f t="shared" si="2"/>
        <v>55.368480000000048</v>
      </c>
      <c r="E23" s="12">
        <f t="shared" si="3"/>
        <v>4.822049999994249E-2</v>
      </c>
      <c r="F23" s="12">
        <f t="shared" si="4"/>
        <v>48.197808000000016</v>
      </c>
      <c r="G23" s="12">
        <f t="shared" si="5"/>
        <v>112.05309600000004</v>
      </c>
      <c r="H23" s="12">
        <f t="shared" si="6"/>
        <v>11018.327519999999</v>
      </c>
      <c r="I23" s="12">
        <f t="shared" si="7"/>
        <v>54.814795200000106</v>
      </c>
      <c r="J23" s="22">
        <f t="shared" si="8"/>
        <v>68605.226341259986</v>
      </c>
      <c r="K23" s="22">
        <f t="shared" si="9"/>
        <v>66084.433896960007</v>
      </c>
      <c r="L23" s="22">
        <f t="shared" si="10"/>
        <v>2520.7924442999793</v>
      </c>
      <c r="M23" s="22">
        <f t="shared" si="11"/>
        <v>42025.738305600018</v>
      </c>
      <c r="N23" s="12">
        <f t="shared" si="12"/>
        <v>0.96325655378263875</v>
      </c>
      <c r="O23" s="12">
        <f t="shared" si="13"/>
        <v>0.38873065734146389</v>
      </c>
      <c r="P23" s="13">
        <f t="shared" si="14"/>
        <v>0.5745258964411748</v>
      </c>
      <c r="Q23" s="3">
        <v>2.4E-2</v>
      </c>
      <c r="U23" s="31">
        <f t="shared" si="0"/>
        <v>0.99482674999999987</v>
      </c>
    </row>
    <row r="24" spans="3:21" x14ac:dyDescent="0.2">
      <c r="C24" s="12">
        <f t="shared" si="1"/>
        <v>186.75516000000002</v>
      </c>
      <c r="D24" s="13">
        <f t="shared" si="2"/>
        <v>55.311750000000046</v>
      </c>
      <c r="E24" s="12">
        <f t="shared" si="3"/>
        <v>-8.5095000000521281E-3</v>
      </c>
      <c r="F24" s="12">
        <f t="shared" si="4"/>
        <v>50.206050000000019</v>
      </c>
      <c r="G24" s="12">
        <f t="shared" si="5"/>
        <v>121.39085400000002</v>
      </c>
      <c r="H24" s="12">
        <f t="shared" si="6"/>
        <v>11007.03825</v>
      </c>
      <c r="I24" s="12">
        <f t="shared" si="7"/>
        <v>54.758632500000111</v>
      </c>
      <c r="J24" s="22">
        <f t="shared" si="8"/>
        <v>71477.057671799994</v>
      </c>
      <c r="K24" s="22">
        <f t="shared" si="9"/>
        <v>68837.951976000011</v>
      </c>
      <c r="L24" s="22">
        <f t="shared" si="10"/>
        <v>2639.1056957999826</v>
      </c>
      <c r="M24" s="22">
        <f t="shared" si="11"/>
        <v>45497.759534400015</v>
      </c>
      <c r="N24" s="12">
        <f t="shared" si="12"/>
        <v>0.96307758346855965</v>
      </c>
      <c r="O24" s="12">
        <f t="shared" si="13"/>
        <v>0.39793131064095855</v>
      </c>
      <c r="P24" s="13">
        <f t="shared" si="14"/>
        <v>0.5651462728276011</v>
      </c>
      <c r="Q24" s="5">
        <v>2.5000000000000001E-2</v>
      </c>
      <c r="U24" s="31">
        <f t="shared" si="0"/>
        <v>0.99482674999999987</v>
      </c>
    </row>
    <row r="25" spans="3:21" x14ac:dyDescent="0.2">
      <c r="C25" s="12">
        <f t="shared" si="1"/>
        <v>194.22536639999998</v>
      </c>
      <c r="D25" s="13">
        <f t="shared" si="2"/>
        <v>55.255020000000052</v>
      </c>
      <c r="E25" s="12">
        <f t="shared" si="3"/>
        <v>-6.5239500000060957E-2</v>
      </c>
      <c r="F25" s="12">
        <f t="shared" si="4"/>
        <v>52.214292000000007</v>
      </c>
      <c r="G25" s="12">
        <f t="shared" si="5"/>
        <v>130.728612</v>
      </c>
      <c r="H25" s="12">
        <f t="shared" si="6"/>
        <v>10995.748979999998</v>
      </c>
      <c r="I25" s="12">
        <f t="shared" si="7"/>
        <v>54.702469800000102</v>
      </c>
      <c r="J25" s="22">
        <f t="shared" si="8"/>
        <v>74348.889002339987</v>
      </c>
      <c r="K25" s="22">
        <f t="shared" si="9"/>
        <v>71591.470055040001</v>
      </c>
      <c r="L25" s="22">
        <f t="shared" si="10"/>
        <v>2757.418947299986</v>
      </c>
      <c r="M25" s="22">
        <f t="shared" si="11"/>
        <v>48969.780763199997</v>
      </c>
      <c r="N25" s="12">
        <f t="shared" si="12"/>
        <v>0.96291243911912117</v>
      </c>
      <c r="O25" s="12">
        <f t="shared" si="13"/>
        <v>0.4061817576613202</v>
      </c>
      <c r="P25" s="13">
        <f t="shared" si="14"/>
        <v>0.55673068145780102</v>
      </c>
      <c r="Q25" s="3">
        <v>2.5999999999999999E-2</v>
      </c>
      <c r="U25" s="31">
        <f t="shared" si="0"/>
        <v>0.99482674999999987</v>
      </c>
    </row>
    <row r="26" spans="3:21" x14ac:dyDescent="0.2">
      <c r="C26" s="12">
        <f t="shared" si="1"/>
        <v>201.69557279999998</v>
      </c>
      <c r="D26" s="13">
        <f t="shared" si="2"/>
        <v>55.198290000000043</v>
      </c>
      <c r="E26" s="12">
        <f t="shared" si="3"/>
        <v>-0.12196950000006268</v>
      </c>
      <c r="F26" s="12">
        <f t="shared" si="4"/>
        <v>54.22253400000001</v>
      </c>
      <c r="G26" s="12">
        <f t="shared" si="5"/>
        <v>140.06636999999998</v>
      </c>
      <c r="H26" s="12">
        <f t="shared" si="6"/>
        <v>10984.459709999999</v>
      </c>
      <c r="I26" s="12">
        <f t="shared" si="7"/>
        <v>54.646307100000101</v>
      </c>
      <c r="J26" s="22">
        <f t="shared" si="8"/>
        <v>77220.720332879981</v>
      </c>
      <c r="K26" s="22">
        <f t="shared" si="9"/>
        <v>74344.988134079991</v>
      </c>
      <c r="L26" s="22">
        <f t="shared" si="10"/>
        <v>2875.7321987999894</v>
      </c>
      <c r="M26" s="22">
        <f t="shared" si="11"/>
        <v>52441.801991999993</v>
      </c>
      <c r="N26" s="12">
        <f t="shared" si="12"/>
        <v>0.9627595781753473</v>
      </c>
      <c r="O26" s="12">
        <f t="shared" si="13"/>
        <v>0.41362197071043871</v>
      </c>
      <c r="P26" s="13">
        <f t="shared" si="14"/>
        <v>0.54913760746490858</v>
      </c>
      <c r="Q26" s="5">
        <v>2.7E-2</v>
      </c>
      <c r="U26" s="31">
        <f t="shared" si="0"/>
        <v>0.99482674999999987</v>
      </c>
    </row>
    <row r="27" spans="3:21" x14ac:dyDescent="0.2">
      <c r="C27" s="12">
        <f t="shared" si="1"/>
        <v>209.1657792</v>
      </c>
      <c r="D27" s="13">
        <f t="shared" si="2"/>
        <v>55.141560000000048</v>
      </c>
      <c r="E27" s="12">
        <f t="shared" si="3"/>
        <v>-0.1786995000000573</v>
      </c>
      <c r="F27" s="12">
        <f t="shared" si="4"/>
        <v>56.230776000000013</v>
      </c>
      <c r="G27" s="12">
        <f t="shared" si="5"/>
        <v>149.40412800000001</v>
      </c>
      <c r="H27" s="12">
        <f t="shared" si="6"/>
        <v>10973.17044</v>
      </c>
      <c r="I27" s="12">
        <f t="shared" si="7"/>
        <v>54.590144400000113</v>
      </c>
      <c r="J27" s="22">
        <f t="shared" si="8"/>
        <v>80092.551663419988</v>
      </c>
      <c r="K27" s="22">
        <f t="shared" si="9"/>
        <v>77098.50621312001</v>
      </c>
      <c r="L27" s="22">
        <f t="shared" si="10"/>
        <v>2994.0454502999783</v>
      </c>
      <c r="M27" s="22">
        <f t="shared" si="11"/>
        <v>55913.823220800012</v>
      </c>
      <c r="N27" s="12">
        <f t="shared" si="12"/>
        <v>0.96261767932076725</v>
      </c>
      <c r="O27" s="12">
        <f t="shared" si="13"/>
        <v>0.42036571691331637</v>
      </c>
      <c r="P27" s="13">
        <f t="shared" si="14"/>
        <v>0.54225196240745088</v>
      </c>
      <c r="Q27" s="3">
        <v>2.8000000000000001E-2</v>
      </c>
      <c r="U27" s="31">
        <f t="shared" si="0"/>
        <v>0.99482674999999987</v>
      </c>
    </row>
    <row r="28" spans="3:21" x14ac:dyDescent="0.2">
      <c r="C28" s="12">
        <f t="shared" si="1"/>
        <v>216.63598560000003</v>
      </c>
      <c r="D28" s="13">
        <f t="shared" si="2"/>
        <v>55.084830000000046</v>
      </c>
      <c r="E28" s="12">
        <f t="shared" si="3"/>
        <v>-0.23542950000005192</v>
      </c>
      <c r="F28" s="12">
        <f t="shared" si="4"/>
        <v>58.239018000000016</v>
      </c>
      <c r="G28" s="12">
        <f t="shared" si="5"/>
        <v>158.74188600000002</v>
      </c>
      <c r="H28" s="12">
        <f t="shared" si="6"/>
        <v>10961.881169999999</v>
      </c>
      <c r="I28" s="12">
        <f t="shared" si="7"/>
        <v>54.533981700000119</v>
      </c>
      <c r="J28" s="22">
        <f t="shared" si="8"/>
        <v>82964.382993959982</v>
      </c>
      <c r="K28" s="22">
        <f t="shared" si="9"/>
        <v>79852.024292160015</v>
      </c>
      <c r="L28" s="22">
        <f t="shared" si="10"/>
        <v>3112.3587017999671</v>
      </c>
      <c r="M28" s="22">
        <f t="shared" si="11"/>
        <v>59385.844449600016</v>
      </c>
      <c r="N28" s="12">
        <f t="shared" si="12"/>
        <v>0.96248560418961282</v>
      </c>
      <c r="O28" s="12">
        <f t="shared" si="13"/>
        <v>0.42650641658226629</v>
      </c>
      <c r="P28" s="13">
        <f t="shared" si="14"/>
        <v>0.53597918760734653</v>
      </c>
      <c r="Q28" s="5">
        <v>2.9000000000000001E-2</v>
      </c>
      <c r="U28" s="31">
        <f t="shared" si="0"/>
        <v>0.99482674999999987</v>
      </c>
    </row>
    <row r="29" spans="3:21" x14ac:dyDescent="0.2">
      <c r="C29" s="12">
        <f t="shared" si="1"/>
        <v>224.10619199999996</v>
      </c>
      <c r="D29" s="13">
        <f t="shared" si="2"/>
        <v>55.028100000000052</v>
      </c>
      <c r="E29" s="12">
        <f t="shared" si="3"/>
        <v>-0.29215950000006075</v>
      </c>
      <c r="F29" s="12">
        <f t="shared" si="4"/>
        <v>60.247260000000018</v>
      </c>
      <c r="G29" s="12">
        <f t="shared" si="5"/>
        <v>168.07964399999997</v>
      </c>
      <c r="H29" s="12">
        <f t="shared" si="6"/>
        <v>10950.591899999999</v>
      </c>
      <c r="I29" s="12">
        <f t="shared" si="7"/>
        <v>54.477819000000103</v>
      </c>
      <c r="J29" s="22">
        <f t="shared" si="8"/>
        <v>85836.214324499961</v>
      </c>
      <c r="K29" s="22">
        <f t="shared" si="9"/>
        <v>82605.54237119999</v>
      </c>
      <c r="L29" s="22">
        <f t="shared" si="10"/>
        <v>3230.6719532999705</v>
      </c>
      <c r="M29" s="22">
        <f t="shared" si="11"/>
        <v>62857.86567839999</v>
      </c>
      <c r="N29" s="12">
        <f t="shared" si="12"/>
        <v>0.96236236676181264</v>
      </c>
      <c r="O29" s="12">
        <f t="shared" si="13"/>
        <v>0.43212149722882043</v>
      </c>
      <c r="P29" s="13">
        <f t="shared" si="14"/>
        <v>0.53024086953299221</v>
      </c>
      <c r="Q29" s="3">
        <v>0.03</v>
      </c>
      <c r="U29" s="31">
        <f t="shared" si="0"/>
        <v>0.99482674999999987</v>
      </c>
    </row>
    <row r="30" spans="3:21" x14ac:dyDescent="0.2">
      <c r="C30" s="12">
        <f t="shared" si="1"/>
        <v>231.57639839999999</v>
      </c>
      <c r="D30" s="13">
        <f t="shared" si="2"/>
        <v>54.971370000000043</v>
      </c>
      <c r="E30" s="12">
        <f t="shared" si="3"/>
        <v>-0.34888950000006247</v>
      </c>
      <c r="F30" s="12">
        <f t="shared" si="4"/>
        <v>62.255502000000014</v>
      </c>
      <c r="G30" s="12">
        <f t="shared" si="5"/>
        <v>177.41740199999998</v>
      </c>
      <c r="H30" s="12">
        <f t="shared" si="6"/>
        <v>10939.30263</v>
      </c>
      <c r="I30" s="12">
        <f t="shared" si="7"/>
        <v>54.421656300000109</v>
      </c>
      <c r="J30" s="22">
        <f t="shared" si="8"/>
        <v>88708.045655039969</v>
      </c>
      <c r="K30" s="22">
        <f t="shared" si="9"/>
        <v>85359.060450239995</v>
      </c>
      <c r="L30" s="22">
        <f t="shared" si="10"/>
        <v>3348.9852047999739</v>
      </c>
      <c r="M30" s="22">
        <f t="shared" si="11"/>
        <v>66329.886907199994</v>
      </c>
      <c r="N30" s="12">
        <f t="shared" si="12"/>
        <v>0.96224710870282038</v>
      </c>
      <c r="O30" s="12">
        <f t="shared" si="13"/>
        <v>0.43727567540501272</v>
      </c>
      <c r="P30" s="13">
        <f t="shared" si="14"/>
        <v>0.52497143329780771</v>
      </c>
      <c r="Q30" s="5">
        <v>3.1E-2</v>
      </c>
      <c r="U30" s="31">
        <f t="shared" si="0"/>
        <v>0.99482674999999987</v>
      </c>
    </row>
    <row r="31" spans="3:21" x14ac:dyDescent="0.2">
      <c r="C31" s="12">
        <f t="shared" si="1"/>
        <v>239.04660479999998</v>
      </c>
      <c r="D31" s="13">
        <f t="shared" si="2"/>
        <v>54.914640000000048</v>
      </c>
      <c r="E31" s="12">
        <f t="shared" si="3"/>
        <v>-0.40561950000005709</v>
      </c>
      <c r="F31" s="12">
        <f t="shared" si="4"/>
        <v>64.263744000000017</v>
      </c>
      <c r="G31" s="12">
        <f t="shared" si="5"/>
        <v>186.75515999999999</v>
      </c>
      <c r="H31" s="12">
        <f t="shared" si="6"/>
        <v>10928.013360000001</v>
      </c>
      <c r="I31" s="12">
        <f t="shared" si="7"/>
        <v>54.365493600000107</v>
      </c>
      <c r="J31" s="22">
        <f t="shared" si="8"/>
        <v>91579.876985579962</v>
      </c>
      <c r="K31" s="22">
        <f t="shared" si="9"/>
        <v>88112.578529279999</v>
      </c>
      <c r="L31" s="22">
        <f t="shared" si="10"/>
        <v>3467.2984562999627</v>
      </c>
      <c r="M31" s="22">
        <f t="shared" si="11"/>
        <v>69801.908135999998</v>
      </c>
      <c r="N31" s="12">
        <f t="shared" si="12"/>
        <v>0.96213907934331555</v>
      </c>
      <c r="O31" s="12">
        <f t="shared" si="13"/>
        <v>0.44202346225494871</v>
      </c>
      <c r="P31" s="13">
        <f t="shared" si="14"/>
        <v>0.52011561708836684</v>
      </c>
      <c r="Q31" s="3">
        <v>3.2000000000000001E-2</v>
      </c>
      <c r="U31" s="31">
        <f t="shared" si="0"/>
        <v>0.99482674999999987</v>
      </c>
    </row>
    <row r="32" spans="3:21" x14ac:dyDescent="0.2">
      <c r="C32" s="12">
        <f t="shared" si="1"/>
        <v>246.51681120000001</v>
      </c>
      <c r="D32" s="13">
        <f t="shared" si="2"/>
        <v>54.857910000000047</v>
      </c>
      <c r="E32" s="12">
        <f t="shared" si="3"/>
        <v>-0.46234950000005171</v>
      </c>
      <c r="F32" s="12">
        <f t="shared" si="4"/>
        <v>66.271986000000012</v>
      </c>
      <c r="G32" s="12">
        <f t="shared" si="5"/>
        <v>196.092918</v>
      </c>
      <c r="H32" s="12">
        <f t="shared" si="6"/>
        <v>10916.72409</v>
      </c>
      <c r="I32" s="12">
        <f t="shared" si="7"/>
        <v>54.309330900000113</v>
      </c>
      <c r="J32" s="22">
        <f t="shared" si="8"/>
        <v>94451.708316119984</v>
      </c>
      <c r="K32" s="22">
        <f t="shared" si="9"/>
        <v>90866.096608320004</v>
      </c>
      <c r="L32" s="22">
        <f t="shared" si="10"/>
        <v>3585.6117077999806</v>
      </c>
      <c r="M32" s="22">
        <f t="shared" si="11"/>
        <v>73273.929364800002</v>
      </c>
      <c r="N32" s="12">
        <f t="shared" si="12"/>
        <v>0.96203761931124299</v>
      </c>
      <c r="O32" s="12">
        <f t="shared" si="13"/>
        <v>0.44641109887968172</v>
      </c>
      <c r="P32" s="13">
        <f t="shared" si="14"/>
        <v>0.51562652043156132</v>
      </c>
      <c r="Q32" s="5">
        <v>3.3000000000000002E-2</v>
      </c>
      <c r="U32" s="31">
        <f t="shared" si="0"/>
        <v>0.99482674999999987</v>
      </c>
    </row>
    <row r="33" spans="3:21" x14ac:dyDescent="0.2">
      <c r="C33" s="12">
        <f t="shared" si="1"/>
        <v>253.9870176</v>
      </c>
      <c r="D33" s="13">
        <f t="shared" si="2"/>
        <v>54.801180000000052</v>
      </c>
      <c r="E33" s="12">
        <f t="shared" si="3"/>
        <v>-0.51907950000006053</v>
      </c>
      <c r="F33" s="12">
        <f t="shared" si="4"/>
        <v>68.280228000000022</v>
      </c>
      <c r="G33" s="12">
        <f t="shared" si="5"/>
        <v>205.43067600000001</v>
      </c>
      <c r="H33" s="12">
        <f t="shared" si="6"/>
        <v>10905.43482</v>
      </c>
      <c r="I33" s="12">
        <f t="shared" si="7"/>
        <v>54.253168200000111</v>
      </c>
      <c r="J33" s="22">
        <f t="shared" si="8"/>
        <v>97323.539646659978</v>
      </c>
      <c r="K33" s="22">
        <f t="shared" si="9"/>
        <v>93619.614687360008</v>
      </c>
      <c r="L33" s="22">
        <f t="shared" si="10"/>
        <v>3703.9249592999695</v>
      </c>
      <c r="M33" s="22">
        <f t="shared" si="11"/>
        <v>76745.950593600006</v>
      </c>
      <c r="N33" s="12">
        <f t="shared" si="12"/>
        <v>0.96194214706177628</v>
      </c>
      <c r="O33" s="12">
        <f t="shared" si="13"/>
        <v>0.450478067366687</v>
      </c>
      <c r="P33" s="13">
        <f t="shared" si="14"/>
        <v>0.51146407969508934</v>
      </c>
      <c r="Q33" s="3">
        <v>3.4000000000000002E-2</v>
      </c>
      <c r="U33" s="31">
        <f t="shared" si="0"/>
        <v>0.99482674999999987</v>
      </c>
    </row>
    <row r="34" spans="3:21" x14ac:dyDescent="0.2">
      <c r="C34" s="12">
        <f t="shared" si="1"/>
        <v>261.457224</v>
      </c>
      <c r="D34" s="13">
        <f t="shared" si="2"/>
        <v>54.744450000000043</v>
      </c>
      <c r="E34" s="12">
        <f t="shared" si="3"/>
        <v>-0.57580950000006226</v>
      </c>
      <c r="F34" s="12">
        <f t="shared" si="4"/>
        <v>70.288470000000018</v>
      </c>
      <c r="G34" s="12">
        <f t="shared" si="5"/>
        <v>214.76843400000001</v>
      </c>
      <c r="H34" s="12">
        <f t="shared" si="6"/>
        <v>10894.145549999999</v>
      </c>
      <c r="I34" s="12">
        <f t="shared" si="7"/>
        <v>54.197005500000103</v>
      </c>
      <c r="J34" s="22">
        <f t="shared" si="8"/>
        <v>100195.37097719997</v>
      </c>
      <c r="K34" s="22">
        <f t="shared" si="9"/>
        <v>96373.132766399998</v>
      </c>
      <c r="L34" s="22">
        <f t="shared" si="10"/>
        <v>3822.2382107999729</v>
      </c>
      <c r="M34" s="22">
        <f t="shared" si="11"/>
        <v>80217.97182240001</v>
      </c>
      <c r="N34" s="12">
        <f t="shared" si="12"/>
        <v>0.96185214772377314</v>
      </c>
      <c r="O34" s="12">
        <f t="shared" si="13"/>
        <v>0.45425828220051639</v>
      </c>
      <c r="P34" s="13">
        <f t="shared" si="14"/>
        <v>0.5075938655232568</v>
      </c>
      <c r="Q34" s="5">
        <v>3.5000000000000003E-2</v>
      </c>
      <c r="U34" s="31">
        <f t="shared" si="0"/>
        <v>0.99482674999999987</v>
      </c>
    </row>
    <row r="35" spans="3:21" x14ac:dyDescent="0.2">
      <c r="C35" s="12">
        <f t="shared" si="1"/>
        <v>268.92743039999999</v>
      </c>
      <c r="D35" s="13">
        <f t="shared" si="2"/>
        <v>54.687720000000049</v>
      </c>
      <c r="E35" s="12">
        <f t="shared" si="3"/>
        <v>-0.63253950000005688</v>
      </c>
      <c r="F35" s="12">
        <f t="shared" si="4"/>
        <v>72.296712000000014</v>
      </c>
      <c r="G35" s="12">
        <f t="shared" si="5"/>
        <v>224.10619199999996</v>
      </c>
      <c r="H35" s="12">
        <f t="shared" si="6"/>
        <v>10882.85628</v>
      </c>
      <c r="I35" s="12">
        <f t="shared" si="7"/>
        <v>54.140842800000108</v>
      </c>
      <c r="J35" s="22">
        <f t="shared" si="8"/>
        <v>103067.20230773998</v>
      </c>
      <c r="K35" s="22">
        <f t="shared" si="9"/>
        <v>99126.650845440003</v>
      </c>
      <c r="L35" s="22">
        <f t="shared" si="10"/>
        <v>3940.5514622999763</v>
      </c>
      <c r="M35" s="22">
        <f t="shared" si="11"/>
        <v>83689.993051199985</v>
      </c>
      <c r="N35" s="12">
        <f t="shared" si="12"/>
        <v>0.96176716381090654</v>
      </c>
      <c r="O35" s="12">
        <f t="shared" si="13"/>
        <v>0.4577810382435214</v>
      </c>
      <c r="P35" s="13">
        <f t="shared" si="14"/>
        <v>0.5039861255673852</v>
      </c>
      <c r="Q35" s="3">
        <v>3.5999999999999997E-2</v>
      </c>
      <c r="U35" s="31">
        <f t="shared" si="0"/>
        <v>0.99482674999999987</v>
      </c>
    </row>
    <row r="36" spans="3:21" x14ac:dyDescent="0.2">
      <c r="C36" s="12">
        <f t="shared" si="1"/>
        <v>276.39763679999999</v>
      </c>
      <c r="D36" s="13">
        <f t="shared" si="2"/>
        <v>54.630990000000047</v>
      </c>
      <c r="E36" s="12">
        <f t="shared" si="3"/>
        <v>-0.6892695000000586</v>
      </c>
      <c r="F36" s="12">
        <f t="shared" si="4"/>
        <v>74.304954000000009</v>
      </c>
      <c r="G36" s="12">
        <f t="shared" si="5"/>
        <v>233.44394999999997</v>
      </c>
      <c r="H36" s="12">
        <f t="shared" si="6"/>
        <v>10871.567009999999</v>
      </c>
      <c r="I36" s="12">
        <f t="shared" si="7"/>
        <v>54.084680100000114</v>
      </c>
      <c r="J36" s="22">
        <f t="shared" si="8"/>
        <v>105939.03363827997</v>
      </c>
      <c r="K36" s="22">
        <f t="shared" si="9"/>
        <v>101880.16892448001</v>
      </c>
      <c r="L36" s="22">
        <f t="shared" si="10"/>
        <v>4058.8647137999651</v>
      </c>
      <c r="M36" s="22">
        <f t="shared" si="11"/>
        <v>87162.014279999989</v>
      </c>
      <c r="N36" s="12">
        <f t="shared" si="12"/>
        <v>0.9616867874436289</v>
      </c>
      <c r="O36" s="12">
        <f t="shared" si="13"/>
        <v>0.46107177140310551</v>
      </c>
      <c r="P36" s="13">
        <f t="shared" si="14"/>
        <v>0.50061501604052339</v>
      </c>
      <c r="Q36" s="5">
        <v>3.6999999999999998E-2</v>
      </c>
      <c r="U36" s="31">
        <f t="shared" si="0"/>
        <v>0.99482674999999987</v>
      </c>
    </row>
    <row r="37" spans="3:21" x14ac:dyDescent="0.2">
      <c r="C37" s="12">
        <f t="shared" si="1"/>
        <v>283.86784319999998</v>
      </c>
      <c r="D37" s="13">
        <f t="shared" si="2"/>
        <v>54.574260000000052</v>
      </c>
      <c r="E37" s="12">
        <f t="shared" si="3"/>
        <v>-0.74599950000006032</v>
      </c>
      <c r="F37" s="12">
        <f t="shared" si="4"/>
        <v>76.313196000000019</v>
      </c>
      <c r="G37" s="12">
        <f t="shared" si="5"/>
        <v>242.78170799999998</v>
      </c>
      <c r="H37" s="12">
        <f t="shared" si="6"/>
        <v>10860.27774</v>
      </c>
      <c r="I37" s="12">
        <f t="shared" si="7"/>
        <v>54.028517400000105</v>
      </c>
      <c r="J37" s="22">
        <f t="shared" si="8"/>
        <v>108810.86496881997</v>
      </c>
      <c r="K37" s="22">
        <f t="shared" si="9"/>
        <v>104633.68700352</v>
      </c>
      <c r="L37" s="22">
        <f t="shared" si="10"/>
        <v>4177.1779652999685</v>
      </c>
      <c r="M37" s="22">
        <f t="shared" si="11"/>
        <v>90634.035508799992</v>
      </c>
      <c r="N37" s="12">
        <f t="shared" si="12"/>
        <v>0.96161065380284449</v>
      </c>
      <c r="O37" s="12">
        <f t="shared" si="13"/>
        <v>0.46415267378909303</v>
      </c>
      <c r="P37" s="13">
        <f t="shared" si="14"/>
        <v>0.49745798001375147</v>
      </c>
      <c r="Q37" s="3">
        <v>3.7999999999999999E-2</v>
      </c>
      <c r="U37" s="31">
        <f t="shared" si="0"/>
        <v>0.99482674999999987</v>
      </c>
    </row>
    <row r="38" spans="3:21" x14ac:dyDescent="0.2">
      <c r="C38" s="12">
        <f t="shared" si="1"/>
        <v>291.33804959999998</v>
      </c>
      <c r="D38" s="13">
        <f t="shared" si="2"/>
        <v>54.517530000000043</v>
      </c>
      <c r="E38" s="12">
        <f t="shared" si="3"/>
        <v>-0.80272950000006205</v>
      </c>
      <c r="F38" s="12">
        <f t="shared" si="4"/>
        <v>78.321438000000015</v>
      </c>
      <c r="G38" s="12">
        <f t="shared" si="5"/>
        <v>252.11946599999999</v>
      </c>
      <c r="H38" s="12">
        <f t="shared" si="6"/>
        <v>10848.988469999998</v>
      </c>
      <c r="I38" s="12">
        <f t="shared" si="7"/>
        <v>53.972354700000096</v>
      </c>
      <c r="J38" s="22">
        <f t="shared" si="8"/>
        <v>111682.69629935997</v>
      </c>
      <c r="K38" s="22">
        <f t="shared" si="9"/>
        <v>107387.20508256</v>
      </c>
      <c r="L38" s="22">
        <f t="shared" si="10"/>
        <v>4295.4912167999719</v>
      </c>
      <c r="M38" s="22">
        <f t="shared" si="11"/>
        <v>94106.056737599996</v>
      </c>
      <c r="N38" s="12">
        <f t="shared" si="12"/>
        <v>0.96153843559358454</v>
      </c>
      <c r="O38" s="12">
        <f t="shared" si="13"/>
        <v>0.46704319483195944</v>
      </c>
      <c r="P38" s="13">
        <f t="shared" si="14"/>
        <v>0.4944952407616251</v>
      </c>
      <c r="Q38" s="5">
        <v>3.9E-2</v>
      </c>
      <c r="U38" s="31">
        <f t="shared" si="0"/>
        <v>0.99482674999999987</v>
      </c>
    </row>
    <row r="39" spans="3:21" x14ac:dyDescent="0.2">
      <c r="C39" s="12">
        <f t="shared" si="1"/>
        <v>298.80825599999997</v>
      </c>
      <c r="D39" s="13">
        <f t="shared" si="2"/>
        <v>54.460800000000042</v>
      </c>
      <c r="E39" s="12">
        <f t="shared" si="3"/>
        <v>-0.85945950000005666</v>
      </c>
      <c r="F39" s="12">
        <f t="shared" si="4"/>
        <v>80.329680000000025</v>
      </c>
      <c r="G39" s="12">
        <f t="shared" si="5"/>
        <v>261.457224</v>
      </c>
      <c r="H39" s="12">
        <f t="shared" si="6"/>
        <v>10837.699199999999</v>
      </c>
      <c r="I39" s="12">
        <f t="shared" si="7"/>
        <v>53.916192000000102</v>
      </c>
      <c r="J39" s="22">
        <f t="shared" si="8"/>
        <v>114554.52762989998</v>
      </c>
      <c r="K39" s="22">
        <f t="shared" si="9"/>
        <v>110140.72316159999</v>
      </c>
      <c r="L39" s="22">
        <f t="shared" si="10"/>
        <v>4413.8044682999898</v>
      </c>
      <c r="M39" s="22">
        <f t="shared" si="11"/>
        <v>97578.0779664</v>
      </c>
      <c r="N39" s="12">
        <f t="shared" si="12"/>
        <v>0.96146983834144029</v>
      </c>
      <c r="O39" s="12">
        <f t="shared" si="13"/>
        <v>0.4697604522869871</v>
      </c>
      <c r="P39" s="13">
        <f t="shared" si="14"/>
        <v>0.49170938605445319</v>
      </c>
      <c r="Q39" s="3">
        <v>0.04</v>
      </c>
      <c r="U39" s="31">
        <f t="shared" si="0"/>
        <v>0.99482674999999987</v>
      </c>
    </row>
    <row r="40" spans="3:21" x14ac:dyDescent="0.2">
      <c r="C40" s="12">
        <f t="shared" si="1"/>
        <v>306.27846240000002</v>
      </c>
      <c r="D40" s="13">
        <f t="shared" si="2"/>
        <v>54.404070000000047</v>
      </c>
      <c r="E40" s="12">
        <f t="shared" si="3"/>
        <v>-0.91618950000005839</v>
      </c>
      <c r="F40" s="12">
        <f t="shared" si="4"/>
        <v>82.337922000000034</v>
      </c>
      <c r="G40" s="12">
        <f t="shared" si="5"/>
        <v>270.794982</v>
      </c>
      <c r="H40" s="12">
        <f t="shared" si="6"/>
        <v>10826.40993</v>
      </c>
      <c r="I40" s="12">
        <f t="shared" si="7"/>
        <v>53.860029300000107</v>
      </c>
      <c r="J40" s="22">
        <f t="shared" si="8"/>
        <v>117426.35896043999</v>
      </c>
      <c r="K40" s="22">
        <f t="shared" si="9"/>
        <v>112894.24124064001</v>
      </c>
      <c r="L40" s="22">
        <f t="shared" si="10"/>
        <v>4532.1177197999787</v>
      </c>
      <c r="M40" s="22">
        <f t="shared" si="11"/>
        <v>101050.09919520002</v>
      </c>
      <c r="N40" s="12">
        <f t="shared" si="12"/>
        <v>0.96140459637919273</v>
      </c>
      <c r="O40" s="12">
        <f t="shared" si="13"/>
        <v>0.47231957147987297</v>
      </c>
      <c r="P40" s="13">
        <f t="shared" si="14"/>
        <v>0.48908502489931976</v>
      </c>
      <c r="Q40" s="5">
        <v>4.1000000000000002E-2</v>
      </c>
      <c r="U40" s="31">
        <f t="shared" si="0"/>
        <v>0.99482674999999987</v>
      </c>
    </row>
    <row r="41" spans="3:21" x14ac:dyDescent="0.2">
      <c r="C41" s="12">
        <f t="shared" si="1"/>
        <v>313.74866880000002</v>
      </c>
      <c r="D41" s="13">
        <f t="shared" si="2"/>
        <v>54.347340000000052</v>
      </c>
      <c r="E41" s="12">
        <f t="shared" si="3"/>
        <v>-0.97291950000006011</v>
      </c>
      <c r="F41" s="12">
        <f t="shared" si="4"/>
        <v>84.34616400000003</v>
      </c>
      <c r="G41" s="12">
        <f t="shared" si="5"/>
        <v>280.13274000000001</v>
      </c>
      <c r="H41" s="12">
        <f t="shared" si="6"/>
        <v>10815.12066</v>
      </c>
      <c r="I41" s="12">
        <f t="shared" si="7"/>
        <v>53.803866600000099</v>
      </c>
      <c r="J41" s="22">
        <f t="shared" si="8"/>
        <v>120298.19029097998</v>
      </c>
      <c r="K41" s="22">
        <f t="shared" si="9"/>
        <v>115647.75931968002</v>
      </c>
      <c r="L41" s="22">
        <f t="shared" si="10"/>
        <v>4650.4309712999675</v>
      </c>
      <c r="M41" s="22">
        <f t="shared" si="11"/>
        <v>104522.12042400002</v>
      </c>
      <c r="N41" s="12">
        <f t="shared" si="12"/>
        <v>0.96134246940829782</v>
      </c>
      <c r="O41" s="12">
        <f t="shared" si="13"/>
        <v>0.47473396699713794</v>
      </c>
      <c r="P41" s="13">
        <f t="shared" si="14"/>
        <v>0.48660850241115988</v>
      </c>
      <c r="Q41" s="3">
        <v>4.2000000000000003E-2</v>
      </c>
      <c r="U41" s="31">
        <f t="shared" si="0"/>
        <v>0.99482674999999987</v>
      </c>
    </row>
    <row r="42" spans="3:21" x14ac:dyDescent="0.2">
      <c r="C42" s="12">
        <f t="shared" si="1"/>
        <v>321.21887519999996</v>
      </c>
      <c r="D42" s="13">
        <f t="shared" si="2"/>
        <v>54.290610000000044</v>
      </c>
      <c r="E42" s="12">
        <f t="shared" si="3"/>
        <v>-1.0296495000000618</v>
      </c>
      <c r="F42" s="12">
        <f t="shared" si="4"/>
        <v>86.354406000000026</v>
      </c>
      <c r="G42" s="12">
        <f t="shared" si="5"/>
        <v>289.47049799999996</v>
      </c>
      <c r="H42" s="12">
        <f t="shared" si="6"/>
        <v>10803.831389999999</v>
      </c>
      <c r="I42" s="12">
        <f t="shared" si="7"/>
        <v>53.747703900000104</v>
      </c>
      <c r="J42" s="22">
        <f t="shared" si="8"/>
        <v>123170.02162151996</v>
      </c>
      <c r="K42" s="22">
        <f t="shared" si="9"/>
        <v>118401.27739871999</v>
      </c>
      <c r="L42" s="22">
        <f t="shared" si="10"/>
        <v>4768.7442227999709</v>
      </c>
      <c r="M42" s="22">
        <f t="shared" si="11"/>
        <v>107994.1416528</v>
      </c>
      <c r="N42" s="12">
        <f t="shared" si="12"/>
        <v>0.96128323954140815</v>
      </c>
      <c r="O42" s="12">
        <f t="shared" si="13"/>
        <v>0.47701557790011712</v>
      </c>
      <c r="P42" s="13">
        <f t="shared" si="14"/>
        <v>0.48426766164129104</v>
      </c>
      <c r="Q42" s="5">
        <v>4.2999999999999997E-2</v>
      </c>
      <c r="U42" s="31">
        <f t="shared" si="0"/>
        <v>0.99482674999999987</v>
      </c>
    </row>
    <row r="43" spans="3:21" x14ac:dyDescent="0.2">
      <c r="C43" s="12">
        <f t="shared" si="1"/>
        <v>328.68908160000001</v>
      </c>
      <c r="D43" s="13">
        <f t="shared" si="2"/>
        <v>54.233880000000042</v>
      </c>
      <c r="E43" s="12">
        <f t="shared" si="3"/>
        <v>-1.0863795000000565</v>
      </c>
      <c r="F43" s="12">
        <f t="shared" si="4"/>
        <v>88.362648000000021</v>
      </c>
      <c r="G43" s="12">
        <f t="shared" si="5"/>
        <v>298.80825599999997</v>
      </c>
      <c r="H43" s="12">
        <f t="shared" si="6"/>
        <v>10792.54212</v>
      </c>
      <c r="I43" s="12">
        <f t="shared" si="7"/>
        <v>53.69154120000011</v>
      </c>
      <c r="J43" s="22">
        <f t="shared" si="8"/>
        <v>126041.85295206</v>
      </c>
      <c r="K43" s="22">
        <f t="shared" si="9"/>
        <v>121154.79547776001</v>
      </c>
      <c r="L43" s="22">
        <f t="shared" si="10"/>
        <v>4887.0574742999888</v>
      </c>
      <c r="M43" s="22">
        <f t="shared" si="11"/>
        <v>111466.16288159999</v>
      </c>
      <c r="N43" s="12">
        <f t="shared" si="12"/>
        <v>0.9612267087492059</v>
      </c>
      <c r="O43" s="12">
        <f t="shared" si="13"/>
        <v>0.47917506516933711</v>
      </c>
      <c r="P43" s="13">
        <f t="shared" si="14"/>
        <v>0.48205164357986879</v>
      </c>
      <c r="Q43" s="3">
        <v>4.3999999999999997E-2</v>
      </c>
      <c r="U43" s="31">
        <f t="shared" si="0"/>
        <v>0.99482674999999987</v>
      </c>
    </row>
    <row r="44" spans="3:21" x14ac:dyDescent="0.2">
      <c r="C44" s="12">
        <f t="shared" si="1"/>
        <v>336.159288</v>
      </c>
      <c r="D44" s="13">
        <f t="shared" si="2"/>
        <v>54.177150000000047</v>
      </c>
      <c r="E44" s="12">
        <f t="shared" si="3"/>
        <v>-1.1431095000000582</v>
      </c>
      <c r="F44" s="12">
        <f t="shared" si="4"/>
        <v>90.370890000000017</v>
      </c>
      <c r="G44" s="12">
        <f t="shared" si="5"/>
        <v>308.14601399999998</v>
      </c>
      <c r="H44" s="12">
        <f t="shared" si="6"/>
        <v>10781.252849999999</v>
      </c>
      <c r="I44" s="12">
        <f t="shared" si="7"/>
        <v>53.635378500000108</v>
      </c>
      <c r="J44" s="22">
        <f t="shared" si="8"/>
        <v>128913.68428260001</v>
      </c>
      <c r="K44" s="22">
        <f t="shared" si="9"/>
        <v>123908.31355680001</v>
      </c>
      <c r="L44" s="22">
        <f t="shared" si="10"/>
        <v>5005.3707257999922</v>
      </c>
      <c r="M44" s="22">
        <f t="shared" si="11"/>
        <v>114938.18411039999</v>
      </c>
      <c r="N44" s="12">
        <f t="shared" si="12"/>
        <v>0.96117269664850014</v>
      </c>
      <c r="O44" s="12">
        <f t="shared" si="13"/>
        <v>0.48122197827054042</v>
      </c>
      <c r="P44" s="13">
        <f t="shared" si="14"/>
        <v>0.47995071837795972</v>
      </c>
      <c r="Q44" s="5">
        <v>4.4999999999999998E-2</v>
      </c>
      <c r="U44" s="31">
        <f t="shared" si="0"/>
        <v>0.99482674999999987</v>
      </c>
    </row>
    <row r="45" spans="3:21" x14ac:dyDescent="0.2">
      <c r="C45" s="12">
        <f t="shared" si="1"/>
        <v>343.62949439999994</v>
      </c>
      <c r="D45" s="13">
        <f t="shared" si="2"/>
        <v>54.120420000000045</v>
      </c>
      <c r="E45" s="12">
        <f t="shared" si="3"/>
        <v>-1.1998395000000599</v>
      </c>
      <c r="F45" s="12">
        <f t="shared" si="4"/>
        <v>92.379132000000013</v>
      </c>
      <c r="G45" s="12">
        <f t="shared" si="5"/>
        <v>317.48377199999993</v>
      </c>
      <c r="H45" s="12">
        <f t="shared" si="6"/>
        <v>10769.96358</v>
      </c>
      <c r="I45" s="12">
        <f t="shared" si="7"/>
        <v>53.579215800000107</v>
      </c>
      <c r="J45" s="22">
        <f t="shared" si="8"/>
        <v>131785.51561313999</v>
      </c>
      <c r="K45" s="22">
        <f t="shared" si="9"/>
        <v>126661.83163583999</v>
      </c>
      <c r="L45" s="22">
        <f t="shared" si="10"/>
        <v>5123.6839772999956</v>
      </c>
      <c r="M45" s="22">
        <f t="shared" si="11"/>
        <v>118410.20533919998</v>
      </c>
      <c r="N45" s="12">
        <f t="shared" si="12"/>
        <v>0.96112103857953013</v>
      </c>
      <c r="O45" s="12">
        <f t="shared" si="13"/>
        <v>0.48316489633315363</v>
      </c>
      <c r="P45" s="13">
        <f t="shared" si="14"/>
        <v>0.4779561422463765</v>
      </c>
      <c r="Q45" s="3">
        <v>4.5999999999999999E-2</v>
      </c>
      <c r="U45" s="31">
        <f t="shared" si="0"/>
        <v>0.99482674999999987</v>
      </c>
    </row>
    <row r="46" spans="3:21" x14ac:dyDescent="0.2">
      <c r="C46" s="12">
        <f t="shared" si="1"/>
        <v>351.09970080000005</v>
      </c>
      <c r="D46" s="13">
        <f t="shared" si="2"/>
        <v>54.063690000000044</v>
      </c>
      <c r="E46" s="12">
        <f t="shared" si="3"/>
        <v>-1.2565695000000616</v>
      </c>
      <c r="F46" s="12">
        <f t="shared" si="4"/>
        <v>94.387374000000037</v>
      </c>
      <c r="G46" s="12">
        <f t="shared" si="5"/>
        <v>326.82153000000005</v>
      </c>
      <c r="H46" s="12">
        <f t="shared" si="6"/>
        <v>10758.674309999999</v>
      </c>
      <c r="I46" s="12">
        <f t="shared" si="7"/>
        <v>53.523053100000105</v>
      </c>
      <c r="J46" s="22">
        <f t="shared" si="8"/>
        <v>134657.34694367999</v>
      </c>
      <c r="K46" s="22">
        <f t="shared" si="9"/>
        <v>129415.34971488002</v>
      </c>
      <c r="L46" s="22">
        <f t="shared" si="10"/>
        <v>5241.9972287999699</v>
      </c>
      <c r="M46" s="22">
        <f t="shared" si="11"/>
        <v>121882.22656800003</v>
      </c>
      <c r="N46" s="12">
        <f t="shared" si="12"/>
        <v>0.96107158392930159</v>
      </c>
      <c r="O46" s="12">
        <f t="shared" si="13"/>
        <v>0.48501154834378485</v>
      </c>
      <c r="P46" s="13">
        <f t="shared" si="14"/>
        <v>0.47606003558551674</v>
      </c>
      <c r="Q46" s="5">
        <v>4.7E-2</v>
      </c>
      <c r="U46" s="31">
        <f t="shared" si="0"/>
        <v>0.99482674999999987</v>
      </c>
    </row>
    <row r="47" spans="3:21" x14ac:dyDescent="0.2">
      <c r="C47" s="12">
        <f t="shared" si="1"/>
        <v>358.56990720000005</v>
      </c>
      <c r="D47" s="13">
        <f t="shared" si="2"/>
        <v>54.006960000000042</v>
      </c>
      <c r="E47" s="12">
        <f t="shared" si="3"/>
        <v>-1.3132995000000562</v>
      </c>
      <c r="F47" s="12">
        <f t="shared" si="4"/>
        <v>96.395616000000032</v>
      </c>
      <c r="G47" s="12">
        <f t="shared" si="5"/>
        <v>336.15928800000006</v>
      </c>
      <c r="H47" s="12">
        <f t="shared" si="6"/>
        <v>10747.385039999999</v>
      </c>
      <c r="I47" s="12">
        <f t="shared" si="7"/>
        <v>53.466890400000111</v>
      </c>
      <c r="J47" s="22">
        <f t="shared" si="8"/>
        <v>137529.17827421997</v>
      </c>
      <c r="K47" s="22">
        <f t="shared" si="9"/>
        <v>132168.86779392001</v>
      </c>
      <c r="L47" s="22">
        <f t="shared" si="10"/>
        <v>5360.3104802999587</v>
      </c>
      <c r="M47" s="22">
        <f t="shared" si="11"/>
        <v>125354.24779680003</v>
      </c>
      <c r="N47" s="12">
        <f t="shared" si="12"/>
        <v>0.96102419466498945</v>
      </c>
      <c r="O47" s="12">
        <f t="shared" si="13"/>
        <v>0.48676891590588239</v>
      </c>
      <c r="P47" s="13">
        <f t="shared" si="14"/>
        <v>0.47425527875910706</v>
      </c>
      <c r="Q47" s="3">
        <v>4.8000000000000001E-2</v>
      </c>
      <c r="U47" s="31">
        <f t="shared" si="0"/>
        <v>0.99482674999999987</v>
      </c>
    </row>
    <row r="48" spans="3:21" x14ac:dyDescent="0.2">
      <c r="C48" s="12">
        <f t="shared" si="1"/>
        <v>366.04011360000004</v>
      </c>
      <c r="D48" s="13">
        <f t="shared" si="2"/>
        <v>53.950230000000047</v>
      </c>
      <c r="E48" s="12">
        <f t="shared" si="3"/>
        <v>-1.370029500000058</v>
      </c>
      <c r="F48" s="12">
        <f t="shared" si="4"/>
        <v>98.403858000000042</v>
      </c>
      <c r="G48" s="12">
        <f t="shared" si="5"/>
        <v>345.49704600000007</v>
      </c>
      <c r="H48" s="12">
        <f t="shared" si="6"/>
        <v>10736.09577</v>
      </c>
      <c r="I48" s="12">
        <f t="shared" si="7"/>
        <v>53.410727700000102</v>
      </c>
      <c r="J48" s="22">
        <f t="shared" si="8"/>
        <v>140401.00960476001</v>
      </c>
      <c r="K48" s="22">
        <f t="shared" si="9"/>
        <v>134922.38587296003</v>
      </c>
      <c r="L48" s="22">
        <f t="shared" si="10"/>
        <v>5478.6237317999767</v>
      </c>
      <c r="M48" s="22">
        <f t="shared" si="11"/>
        <v>128826.26902560004</v>
      </c>
      <c r="N48" s="12">
        <f t="shared" si="12"/>
        <v>0.96097874404733463</v>
      </c>
      <c r="O48" s="12">
        <f t="shared" si="13"/>
        <v>0.48844332144612335</v>
      </c>
      <c r="P48" s="13">
        <f t="shared" si="14"/>
        <v>0.47253542260121129</v>
      </c>
      <c r="Q48" s="5">
        <v>4.9000000000000002E-2</v>
      </c>
      <c r="U48" s="31">
        <f t="shared" si="0"/>
        <v>0.99482674999999987</v>
      </c>
    </row>
    <row r="49" spans="3:21" x14ac:dyDescent="0.2">
      <c r="C49" s="12">
        <f t="shared" si="1"/>
        <v>373.51032000000004</v>
      </c>
      <c r="D49" s="13">
        <f t="shared" si="2"/>
        <v>53.893500000000046</v>
      </c>
      <c r="E49" s="12">
        <f t="shared" si="3"/>
        <v>-1.4267595000000597</v>
      </c>
      <c r="F49" s="12">
        <f t="shared" si="4"/>
        <v>100.41210000000004</v>
      </c>
      <c r="G49" s="12">
        <f t="shared" si="5"/>
        <v>354.83480400000002</v>
      </c>
      <c r="H49" s="12">
        <f t="shared" si="6"/>
        <v>10724.806499999999</v>
      </c>
      <c r="I49" s="12">
        <f t="shared" si="7"/>
        <v>53.354565000000107</v>
      </c>
      <c r="J49" s="22">
        <f t="shared" si="8"/>
        <v>143272.84093529999</v>
      </c>
      <c r="K49" s="22">
        <f t="shared" si="9"/>
        <v>137675.90395200002</v>
      </c>
      <c r="L49" s="22">
        <f t="shared" si="10"/>
        <v>5596.9369832999655</v>
      </c>
      <c r="M49" s="22">
        <f t="shared" si="11"/>
        <v>132298.29025440002</v>
      </c>
      <c r="N49" s="12">
        <f t="shared" si="12"/>
        <v>0.96093511549877442</v>
      </c>
      <c r="O49" s="12">
        <f t="shared" si="13"/>
        <v>0.49004050421669426</v>
      </c>
      <c r="P49" s="13">
        <f t="shared" si="14"/>
        <v>0.47089461128208016</v>
      </c>
      <c r="Q49" s="3">
        <v>0.05</v>
      </c>
      <c r="U49" s="31">
        <f t="shared" si="0"/>
        <v>0.99482674999999987</v>
      </c>
    </row>
    <row r="50" spans="3:21" x14ac:dyDescent="0.2">
      <c r="C50" s="12">
        <f t="shared" si="1"/>
        <v>380.98052639999997</v>
      </c>
      <c r="D50" s="13">
        <f t="shared" si="2"/>
        <v>53.836770000000037</v>
      </c>
      <c r="E50" s="12">
        <f t="shared" si="3"/>
        <v>-1.4834895000000614</v>
      </c>
      <c r="F50" s="12">
        <f t="shared" si="4"/>
        <v>102.42034200000002</v>
      </c>
      <c r="G50" s="12">
        <f t="shared" si="5"/>
        <v>364.17256199999997</v>
      </c>
      <c r="H50" s="12">
        <f t="shared" si="6"/>
        <v>10713.517229999999</v>
      </c>
      <c r="I50" s="12">
        <f t="shared" si="7"/>
        <v>53.298402300000099</v>
      </c>
      <c r="J50" s="22">
        <f t="shared" si="8"/>
        <v>146144.67226584</v>
      </c>
      <c r="K50" s="22">
        <f t="shared" si="9"/>
        <v>140429.42203104001</v>
      </c>
      <c r="L50" s="22">
        <f t="shared" si="10"/>
        <v>5715.2502347999834</v>
      </c>
      <c r="M50" s="22">
        <f t="shared" si="11"/>
        <v>135770.3114832</v>
      </c>
      <c r="N50" s="12">
        <f t="shared" si="12"/>
        <v>0.96089320160502445</v>
      </c>
      <c r="O50" s="12">
        <f t="shared" si="13"/>
        <v>0.49156568601902761</v>
      </c>
      <c r="P50" s="13">
        <f t="shared" si="14"/>
        <v>0.46932751558599684</v>
      </c>
      <c r="Q50" s="5">
        <v>5.0999999999999997E-2</v>
      </c>
      <c r="U50" s="31">
        <f t="shared" si="0"/>
        <v>0.99482674999999987</v>
      </c>
    </row>
    <row r="51" spans="3:21" x14ac:dyDescent="0.2">
      <c r="C51" s="12">
        <f t="shared" si="1"/>
        <v>388.45073279999997</v>
      </c>
      <c r="D51" s="13">
        <f t="shared" si="2"/>
        <v>53.780040000000042</v>
      </c>
      <c r="E51" s="12">
        <f t="shared" si="3"/>
        <v>-1.540219500000056</v>
      </c>
      <c r="F51" s="12">
        <f t="shared" si="4"/>
        <v>104.42858400000001</v>
      </c>
      <c r="G51" s="12">
        <f t="shared" si="5"/>
        <v>373.51031999999998</v>
      </c>
      <c r="H51" s="12">
        <f t="shared" si="6"/>
        <v>10702.22796</v>
      </c>
      <c r="I51" s="12">
        <f t="shared" si="7"/>
        <v>53.242239600000104</v>
      </c>
      <c r="J51" s="22">
        <f t="shared" si="8"/>
        <v>149016.50359637997</v>
      </c>
      <c r="K51" s="22">
        <f t="shared" si="9"/>
        <v>143182.94011008</v>
      </c>
      <c r="L51" s="22">
        <f t="shared" si="10"/>
        <v>5833.5634862999723</v>
      </c>
      <c r="M51" s="22">
        <f t="shared" si="11"/>
        <v>139242.332712</v>
      </c>
      <c r="N51" s="12">
        <f t="shared" si="12"/>
        <v>0.96085290323211092</v>
      </c>
      <c r="O51" s="12">
        <f t="shared" si="13"/>
        <v>0.49302362823499429</v>
      </c>
      <c r="P51" s="13">
        <f t="shared" si="14"/>
        <v>0.46782927499711663</v>
      </c>
      <c r="Q51" s="3">
        <v>5.1999999999999998E-2</v>
      </c>
      <c r="U51" s="31">
        <f t="shared" si="0"/>
        <v>0.99482674999999987</v>
      </c>
    </row>
    <row r="52" spans="3:21" x14ac:dyDescent="0.2">
      <c r="C52" s="12">
        <f t="shared" si="1"/>
        <v>395.92093920000002</v>
      </c>
      <c r="D52" s="13">
        <f t="shared" si="2"/>
        <v>53.723310000000048</v>
      </c>
      <c r="E52" s="12">
        <f t="shared" si="3"/>
        <v>-1.5969495000000578</v>
      </c>
      <c r="F52" s="12">
        <f t="shared" si="4"/>
        <v>106.43682600000002</v>
      </c>
      <c r="G52" s="12">
        <f t="shared" si="5"/>
        <v>382.84807799999999</v>
      </c>
      <c r="H52" s="12">
        <f t="shared" si="6"/>
        <v>10690.938689999999</v>
      </c>
      <c r="I52" s="12">
        <f t="shared" si="7"/>
        <v>53.18607690000011</v>
      </c>
      <c r="J52" s="22">
        <f t="shared" si="8"/>
        <v>151888.33492692001</v>
      </c>
      <c r="K52" s="22">
        <f t="shared" si="9"/>
        <v>145936.45818912002</v>
      </c>
      <c r="L52" s="22">
        <f t="shared" si="10"/>
        <v>5951.8767377999902</v>
      </c>
      <c r="M52" s="22">
        <f t="shared" si="11"/>
        <v>142714.35394080001</v>
      </c>
      <c r="N52" s="12">
        <f t="shared" si="12"/>
        <v>0.96081412874356875</v>
      </c>
      <c r="O52" s="12">
        <f t="shared" si="13"/>
        <v>0.4944186814778998</v>
      </c>
      <c r="P52" s="13">
        <f t="shared" si="14"/>
        <v>0.46639544726566895</v>
      </c>
      <c r="Q52" s="5">
        <v>5.2999999999999999E-2</v>
      </c>
      <c r="U52" s="31">
        <f t="shared" si="0"/>
        <v>0.99482674999999987</v>
      </c>
    </row>
    <row r="53" spans="3:21" x14ac:dyDescent="0.2">
      <c r="C53" s="12">
        <f t="shared" si="1"/>
        <v>403.39114559999996</v>
      </c>
      <c r="D53" s="13">
        <f t="shared" si="2"/>
        <v>53.666580000000046</v>
      </c>
      <c r="E53" s="12">
        <f t="shared" si="3"/>
        <v>-1.6536795000000666</v>
      </c>
      <c r="F53" s="12">
        <f t="shared" si="4"/>
        <v>108.44506800000002</v>
      </c>
      <c r="G53" s="12">
        <f t="shared" si="5"/>
        <v>392.18583599999994</v>
      </c>
      <c r="H53" s="12">
        <f t="shared" si="6"/>
        <v>10679.64942</v>
      </c>
      <c r="I53" s="12">
        <f t="shared" si="7"/>
        <v>53.129914200000101</v>
      </c>
      <c r="J53" s="22">
        <f t="shared" si="8"/>
        <v>154760.16625745993</v>
      </c>
      <c r="K53" s="22">
        <f t="shared" si="9"/>
        <v>148689.97626815998</v>
      </c>
      <c r="L53" s="22">
        <f t="shared" si="10"/>
        <v>6070.18998929995</v>
      </c>
      <c r="M53" s="22">
        <f t="shared" si="11"/>
        <v>146186.37516960001</v>
      </c>
      <c r="N53" s="12">
        <f t="shared" si="12"/>
        <v>0.96077679330479948</v>
      </c>
      <c r="O53" s="12">
        <f t="shared" si="13"/>
        <v>0.49575482895397865</v>
      </c>
      <c r="P53" s="13">
        <f t="shared" si="14"/>
        <v>0.46502196435082083</v>
      </c>
      <c r="Q53" s="3">
        <v>5.3999999999999999E-2</v>
      </c>
      <c r="U53" s="31">
        <f t="shared" si="0"/>
        <v>0.99482674999999987</v>
      </c>
    </row>
    <row r="54" spans="3:21" x14ac:dyDescent="0.2">
      <c r="C54" s="12">
        <f t="shared" si="1"/>
        <v>410.86135200000001</v>
      </c>
      <c r="D54" s="13">
        <f t="shared" si="2"/>
        <v>53.609850000000051</v>
      </c>
      <c r="E54" s="12">
        <f t="shared" si="3"/>
        <v>-1.7104095000000612</v>
      </c>
      <c r="F54" s="12">
        <f t="shared" si="4"/>
        <v>110.45331000000003</v>
      </c>
      <c r="G54" s="12">
        <f t="shared" si="5"/>
        <v>401.523594</v>
      </c>
      <c r="H54" s="12">
        <f t="shared" si="6"/>
        <v>10668.36015</v>
      </c>
      <c r="I54" s="12">
        <f t="shared" si="7"/>
        <v>53.073751500000107</v>
      </c>
      <c r="J54" s="22">
        <f t="shared" si="8"/>
        <v>157631.997588</v>
      </c>
      <c r="K54" s="22">
        <f t="shared" si="9"/>
        <v>151443.4943472</v>
      </c>
      <c r="L54" s="22">
        <f t="shared" si="10"/>
        <v>6188.503240799997</v>
      </c>
      <c r="M54" s="22">
        <f t="shared" si="11"/>
        <v>149658.39639840001</v>
      </c>
      <c r="N54" s="12">
        <f t="shared" si="12"/>
        <v>0.96074081826346713</v>
      </c>
      <c r="O54" s="12">
        <f t="shared" si="13"/>
        <v>0.49703572444467281</v>
      </c>
      <c r="P54" s="13">
        <f t="shared" si="14"/>
        <v>0.46370509381879432</v>
      </c>
      <c r="Q54" s="5">
        <v>5.5E-2</v>
      </c>
      <c r="U54" s="31">
        <f t="shared" si="0"/>
        <v>0.99482674999999987</v>
      </c>
    </row>
    <row r="55" spans="3:21" x14ac:dyDescent="0.2">
      <c r="C55" s="12">
        <f t="shared" si="1"/>
        <v>418.33155840000001</v>
      </c>
      <c r="D55" s="13">
        <f t="shared" si="2"/>
        <v>53.553120000000042</v>
      </c>
      <c r="E55" s="12">
        <f t="shared" si="3"/>
        <v>-1.7671395000000558</v>
      </c>
      <c r="F55" s="12">
        <f t="shared" si="4"/>
        <v>112.46155200000003</v>
      </c>
      <c r="G55" s="12">
        <f t="shared" si="5"/>
        <v>410.86135200000001</v>
      </c>
      <c r="H55" s="12">
        <f t="shared" si="6"/>
        <v>10657.070879999999</v>
      </c>
      <c r="I55" s="12">
        <f t="shared" si="7"/>
        <v>53.017588800000112</v>
      </c>
      <c r="J55" s="22">
        <f t="shared" si="8"/>
        <v>160503.82891853998</v>
      </c>
      <c r="K55" s="22">
        <f t="shared" si="9"/>
        <v>154197.01242624002</v>
      </c>
      <c r="L55" s="22">
        <f t="shared" si="10"/>
        <v>6306.8164922999567</v>
      </c>
      <c r="M55" s="22">
        <f t="shared" si="11"/>
        <v>153130.41762719999</v>
      </c>
      <c r="N55" s="12">
        <f t="shared" si="12"/>
        <v>0.96070613059641818</v>
      </c>
      <c r="O55" s="12">
        <f t="shared" si="13"/>
        <v>0.49826472567246177</v>
      </c>
      <c r="P55" s="13">
        <f t="shared" si="14"/>
        <v>0.46244140492395641</v>
      </c>
      <c r="Q55" s="3">
        <v>5.6000000000000001E-2</v>
      </c>
      <c r="U55" s="31">
        <f t="shared" si="0"/>
        <v>0.99482674999999987</v>
      </c>
    </row>
    <row r="56" spans="3:21" x14ac:dyDescent="0.2">
      <c r="C56" s="12">
        <f t="shared" si="1"/>
        <v>425.8017648</v>
      </c>
      <c r="D56" s="13">
        <f t="shared" si="2"/>
        <v>53.496390000000048</v>
      </c>
      <c r="E56" s="12">
        <f t="shared" si="3"/>
        <v>-1.8238695000000575</v>
      </c>
      <c r="F56" s="12">
        <f t="shared" si="4"/>
        <v>114.46979400000002</v>
      </c>
      <c r="G56" s="12">
        <f t="shared" si="5"/>
        <v>420.19911000000002</v>
      </c>
      <c r="H56" s="12">
        <f t="shared" si="6"/>
        <v>10645.78161</v>
      </c>
      <c r="I56" s="12">
        <f t="shared" si="7"/>
        <v>52.961426100000104</v>
      </c>
      <c r="J56" s="22">
        <f t="shared" si="8"/>
        <v>163375.66024908001</v>
      </c>
      <c r="K56" s="22">
        <f t="shared" si="9"/>
        <v>156950.53050528001</v>
      </c>
      <c r="L56" s="22">
        <f t="shared" si="10"/>
        <v>6425.1297438000038</v>
      </c>
      <c r="M56" s="22">
        <f t="shared" si="11"/>
        <v>156602.43885600002</v>
      </c>
      <c r="N56" s="12">
        <f t="shared" si="12"/>
        <v>0.96067266241492555</v>
      </c>
      <c r="O56" s="12">
        <f t="shared" si="13"/>
        <v>0.49944492369185811</v>
      </c>
      <c r="P56" s="13">
        <f t="shared" si="14"/>
        <v>0.46122773872306744</v>
      </c>
      <c r="Q56" s="5">
        <v>5.7000000000000002E-2</v>
      </c>
      <c r="U56" s="31">
        <f t="shared" si="0"/>
        <v>0.99482674999999987</v>
      </c>
    </row>
    <row r="57" spans="3:21" x14ac:dyDescent="0.2">
      <c r="C57" s="12">
        <f t="shared" si="1"/>
        <v>433.27197120000005</v>
      </c>
      <c r="D57" s="13">
        <f t="shared" si="2"/>
        <v>53.439660000000046</v>
      </c>
      <c r="E57" s="12">
        <f t="shared" si="3"/>
        <v>-1.8805995000000664</v>
      </c>
      <c r="F57" s="12">
        <f t="shared" si="4"/>
        <v>116.47803600000003</v>
      </c>
      <c r="G57" s="12">
        <f t="shared" si="5"/>
        <v>429.53686800000003</v>
      </c>
      <c r="H57" s="12">
        <f t="shared" si="6"/>
        <v>10634.492339999999</v>
      </c>
      <c r="I57" s="12">
        <f t="shared" si="7"/>
        <v>52.905263400000102</v>
      </c>
      <c r="J57" s="22">
        <f t="shared" si="8"/>
        <v>166247.49157961999</v>
      </c>
      <c r="K57" s="22">
        <f t="shared" si="9"/>
        <v>159704.04858432003</v>
      </c>
      <c r="L57" s="22">
        <f t="shared" si="10"/>
        <v>6543.4429952999635</v>
      </c>
      <c r="M57" s="22">
        <f t="shared" si="11"/>
        <v>160074.4600848</v>
      </c>
      <c r="N57" s="12">
        <f t="shared" si="12"/>
        <v>0.96064035052122188</v>
      </c>
      <c r="O57" s="12">
        <f t="shared" si="13"/>
        <v>0.50057916884724618</v>
      </c>
      <c r="P57" s="13">
        <f t="shared" si="14"/>
        <v>0.46006118167397569</v>
      </c>
      <c r="Q57" s="3">
        <v>5.8000000000000003E-2</v>
      </c>
      <c r="U57" s="31">
        <f t="shared" si="0"/>
        <v>0.99482674999999987</v>
      </c>
    </row>
    <row r="58" spans="3:21" x14ac:dyDescent="0.2">
      <c r="C58" s="12">
        <f t="shared" si="1"/>
        <v>440.74217759999993</v>
      </c>
      <c r="D58" s="13">
        <f t="shared" si="2"/>
        <v>53.382930000000052</v>
      </c>
      <c r="E58" s="12">
        <f t="shared" si="3"/>
        <v>-1.9373295000000539</v>
      </c>
      <c r="F58" s="12">
        <f t="shared" si="4"/>
        <v>118.48627800000003</v>
      </c>
      <c r="G58" s="12">
        <f t="shared" si="5"/>
        <v>438.87462599999992</v>
      </c>
      <c r="H58" s="12">
        <f t="shared" si="6"/>
        <v>10623.203070000001</v>
      </c>
      <c r="I58" s="12">
        <f t="shared" si="7"/>
        <v>52.849100700000115</v>
      </c>
      <c r="J58" s="22">
        <f t="shared" si="8"/>
        <v>169119.32291015997</v>
      </c>
      <c r="K58" s="22">
        <f t="shared" si="9"/>
        <v>162457.56666335999</v>
      </c>
      <c r="L58" s="22">
        <f t="shared" si="10"/>
        <v>6661.7562467999815</v>
      </c>
      <c r="M58" s="22">
        <f t="shared" si="11"/>
        <v>163546.4813136</v>
      </c>
      <c r="N58" s="12">
        <f t="shared" si="12"/>
        <v>0.96060913601020703</v>
      </c>
      <c r="O58" s="12">
        <f t="shared" si="13"/>
        <v>0.50167009375649996</v>
      </c>
      <c r="P58" s="13">
        <f t="shared" si="14"/>
        <v>0.45893904225370707</v>
      </c>
      <c r="Q58" s="5">
        <v>5.8999999999999997E-2</v>
      </c>
      <c r="U58" s="31">
        <f t="shared" si="0"/>
        <v>0.99482674999999987</v>
      </c>
    </row>
    <row r="59" spans="3:21" x14ac:dyDescent="0.2">
      <c r="C59" s="12">
        <f t="shared" si="1"/>
        <v>448.21238399999993</v>
      </c>
      <c r="D59" s="13">
        <f t="shared" si="2"/>
        <v>53.326200000000043</v>
      </c>
      <c r="E59" s="12">
        <f t="shared" si="3"/>
        <v>-1.9940595000000556</v>
      </c>
      <c r="F59" s="12">
        <f t="shared" si="4"/>
        <v>120.49452000000004</v>
      </c>
      <c r="G59" s="12">
        <f t="shared" si="5"/>
        <v>448.21238399999993</v>
      </c>
      <c r="H59" s="12">
        <f t="shared" si="6"/>
        <v>10611.913799999998</v>
      </c>
      <c r="I59" s="12">
        <f t="shared" si="7"/>
        <v>52.792938000000106</v>
      </c>
      <c r="J59" s="22">
        <f t="shared" si="8"/>
        <v>171991.15424069995</v>
      </c>
      <c r="K59" s="22">
        <f t="shared" si="9"/>
        <v>165211.08474239998</v>
      </c>
      <c r="L59" s="22">
        <f t="shared" si="10"/>
        <v>6780.0694982999703</v>
      </c>
      <c r="M59" s="22">
        <f t="shared" si="11"/>
        <v>167018.50254239998</v>
      </c>
      <c r="N59" s="12">
        <f t="shared" si="12"/>
        <v>0.96057896391106645</v>
      </c>
      <c r="O59" s="12">
        <f t="shared" si="13"/>
        <v>0.50272013371050339</v>
      </c>
      <c r="P59" s="13">
        <f t="shared" si="14"/>
        <v>0.45785883020056306</v>
      </c>
      <c r="Q59" s="3">
        <v>0.06</v>
      </c>
      <c r="U59" s="31">
        <f t="shared" si="0"/>
        <v>0.99482674999999987</v>
      </c>
    </row>
    <row r="60" spans="3:21" x14ac:dyDescent="0.2">
      <c r="C60" s="12">
        <f t="shared" si="1"/>
        <v>455.68259039999998</v>
      </c>
      <c r="D60" s="13">
        <f t="shared" si="2"/>
        <v>53.269470000000055</v>
      </c>
      <c r="E60" s="12">
        <f t="shared" si="3"/>
        <v>-2.0507895000000573</v>
      </c>
      <c r="F60" s="12">
        <f t="shared" si="4"/>
        <v>122.50276200000003</v>
      </c>
      <c r="G60" s="12">
        <f t="shared" si="5"/>
        <v>457.55014199999994</v>
      </c>
      <c r="H60" s="12">
        <f t="shared" si="6"/>
        <v>10600.624530000001</v>
      </c>
      <c r="I60" s="12">
        <f t="shared" si="7"/>
        <v>52.736775300000104</v>
      </c>
      <c r="J60" s="22">
        <f t="shared" si="8"/>
        <v>174862.98557123999</v>
      </c>
      <c r="K60" s="22">
        <f t="shared" si="9"/>
        <v>167964.60282144</v>
      </c>
      <c r="L60" s="22">
        <f t="shared" si="10"/>
        <v>6898.3827497999882</v>
      </c>
      <c r="M60" s="22">
        <f t="shared" si="11"/>
        <v>170490.52377120001</v>
      </c>
      <c r="N60" s="12">
        <f t="shared" si="12"/>
        <v>0.96054978286419823</v>
      </c>
      <c r="O60" s="12">
        <f t="shared" si="13"/>
        <v>0.50373154482130234</v>
      </c>
      <c r="P60" s="13">
        <f t="shared" si="14"/>
        <v>0.4568182380428959</v>
      </c>
      <c r="Q60" s="5">
        <v>6.0999999999999999E-2</v>
      </c>
      <c r="U60" s="31">
        <f t="shared" si="0"/>
        <v>0.99482674999999987</v>
      </c>
    </row>
    <row r="61" spans="3:21" x14ac:dyDescent="0.2">
      <c r="C61" s="12">
        <f t="shared" si="1"/>
        <v>463.15279679999998</v>
      </c>
      <c r="D61" s="13">
        <f t="shared" si="2"/>
        <v>53.212740000000046</v>
      </c>
      <c r="E61" s="12">
        <f t="shared" si="3"/>
        <v>-2.1075195000000662</v>
      </c>
      <c r="F61" s="12">
        <f t="shared" si="4"/>
        <v>124.51100400000003</v>
      </c>
      <c r="G61" s="12">
        <f t="shared" si="5"/>
        <v>466.88789999999995</v>
      </c>
      <c r="H61" s="12">
        <f t="shared" si="6"/>
        <v>10589.33526</v>
      </c>
      <c r="I61" s="12">
        <f t="shared" si="7"/>
        <v>52.680612600000096</v>
      </c>
      <c r="J61" s="22">
        <f t="shared" si="8"/>
        <v>177734.81690177997</v>
      </c>
      <c r="K61" s="22">
        <f t="shared" si="9"/>
        <v>170718.12090047999</v>
      </c>
      <c r="L61" s="22">
        <f t="shared" si="10"/>
        <v>7016.6960012999771</v>
      </c>
      <c r="M61" s="22">
        <f t="shared" si="11"/>
        <v>173962.54499999998</v>
      </c>
      <c r="N61" s="12">
        <f t="shared" si="12"/>
        <v>0.96052154482946606</v>
      </c>
      <c r="O61" s="12">
        <f t="shared" si="13"/>
        <v>0.5047064202035294</v>
      </c>
      <c r="P61" s="13">
        <f t="shared" si="14"/>
        <v>0.45581512462593665</v>
      </c>
      <c r="Q61" s="3">
        <v>6.2E-2</v>
      </c>
      <c r="U61" s="31">
        <f t="shared" si="0"/>
        <v>0.99482674999999987</v>
      </c>
    </row>
    <row r="62" spans="3:21" x14ac:dyDescent="0.2">
      <c r="C62" s="12">
        <f t="shared" si="1"/>
        <v>470.62300319999997</v>
      </c>
      <c r="D62" s="13">
        <f t="shared" si="2"/>
        <v>53.156010000000052</v>
      </c>
      <c r="E62" s="12">
        <f t="shared" si="3"/>
        <v>-2.1642495000000537</v>
      </c>
      <c r="F62" s="12">
        <f t="shared" si="4"/>
        <v>126.51924600000004</v>
      </c>
      <c r="G62" s="12">
        <f t="shared" si="5"/>
        <v>476.22565799999995</v>
      </c>
      <c r="H62" s="12">
        <f t="shared" si="6"/>
        <v>10578.045990000001</v>
      </c>
      <c r="I62" s="12">
        <f t="shared" si="7"/>
        <v>52.624449900000108</v>
      </c>
      <c r="J62" s="22">
        <f t="shared" si="8"/>
        <v>180606.64823232</v>
      </c>
      <c r="K62" s="22">
        <f t="shared" si="9"/>
        <v>173471.63897952001</v>
      </c>
      <c r="L62" s="22">
        <f t="shared" si="10"/>
        <v>7135.009252799995</v>
      </c>
      <c r="M62" s="22">
        <f t="shared" si="11"/>
        <v>177434.56622879999</v>
      </c>
      <c r="N62" s="12">
        <f t="shared" si="12"/>
        <v>0.96049420482228309</v>
      </c>
      <c r="O62" s="12">
        <f t="shared" si="13"/>
        <v>0.50564670443335036</v>
      </c>
      <c r="P62" s="13">
        <f t="shared" si="14"/>
        <v>0.45484750038893274</v>
      </c>
      <c r="Q62" s="5">
        <v>6.3E-2</v>
      </c>
      <c r="U62" s="31">
        <f t="shared" si="0"/>
        <v>0.99482674999999987</v>
      </c>
    </row>
    <row r="63" spans="3:21" x14ac:dyDescent="0.2">
      <c r="C63" s="12">
        <f t="shared" si="1"/>
        <v>478.09320959999997</v>
      </c>
      <c r="D63" s="13">
        <f t="shared" si="2"/>
        <v>53.099280000000043</v>
      </c>
      <c r="E63" s="12">
        <f t="shared" si="3"/>
        <v>-2.2209795000000625</v>
      </c>
      <c r="F63" s="12">
        <f t="shared" si="4"/>
        <v>128.52748800000003</v>
      </c>
      <c r="G63" s="12">
        <f t="shared" si="5"/>
        <v>485.56341599999996</v>
      </c>
      <c r="H63" s="12">
        <f t="shared" si="6"/>
        <v>10566.756719999999</v>
      </c>
      <c r="I63" s="12">
        <f t="shared" si="7"/>
        <v>52.568287200000107</v>
      </c>
      <c r="J63" s="22">
        <f t="shared" si="8"/>
        <v>183478.47956285995</v>
      </c>
      <c r="K63" s="22">
        <f t="shared" si="9"/>
        <v>176225.15705856</v>
      </c>
      <c r="L63" s="22">
        <f t="shared" si="10"/>
        <v>7253.3225042999547</v>
      </c>
      <c r="M63" s="22">
        <f t="shared" si="11"/>
        <v>180906.58745759999</v>
      </c>
      <c r="N63" s="12">
        <f t="shared" si="12"/>
        <v>0.96046772067448405</v>
      </c>
      <c r="O63" s="12">
        <f t="shared" si="13"/>
        <v>0.50655420649511618</v>
      </c>
      <c r="P63" s="13">
        <f t="shared" si="14"/>
        <v>0.45391351417936787</v>
      </c>
      <c r="Q63" s="3">
        <v>6.4000000000000001E-2</v>
      </c>
      <c r="U63" s="31">
        <f t="shared" si="0"/>
        <v>0.99482674999999987</v>
      </c>
    </row>
    <row r="64" spans="3:21" x14ac:dyDescent="0.2">
      <c r="C64" s="12">
        <f t="shared" si="1"/>
        <v>485.56341599999996</v>
      </c>
      <c r="D64" s="13">
        <f t="shared" si="2"/>
        <v>53.042550000000055</v>
      </c>
      <c r="E64" s="12">
        <f t="shared" si="3"/>
        <v>-2.2777095000000571</v>
      </c>
      <c r="F64" s="12">
        <f t="shared" si="4"/>
        <v>130.53573000000003</v>
      </c>
      <c r="G64" s="12">
        <f t="shared" si="5"/>
        <v>494.90117399999997</v>
      </c>
      <c r="H64" s="12">
        <f t="shared" si="6"/>
        <v>10555.46745</v>
      </c>
      <c r="I64" s="12">
        <f t="shared" si="7"/>
        <v>52.512124500000112</v>
      </c>
      <c r="J64" s="22">
        <f t="shared" si="8"/>
        <v>186350.31089339999</v>
      </c>
      <c r="K64" s="22">
        <f t="shared" si="9"/>
        <v>178978.67513759999</v>
      </c>
      <c r="L64" s="22">
        <f t="shared" si="10"/>
        <v>7371.6357558000018</v>
      </c>
      <c r="M64" s="22">
        <f t="shared" si="11"/>
        <v>184378.6086864</v>
      </c>
      <c r="N64" s="12">
        <f t="shared" si="12"/>
        <v>0.96044205281730455</v>
      </c>
      <c r="O64" s="12">
        <f t="shared" si="13"/>
        <v>0.50743061139709478</v>
      </c>
      <c r="P64" s="13">
        <f t="shared" si="14"/>
        <v>0.45301144142020977</v>
      </c>
      <c r="Q64" s="5">
        <v>6.5000000000000002E-2</v>
      </c>
      <c r="U64" s="31">
        <f t="shared" si="0"/>
        <v>0.99482674999999987</v>
      </c>
    </row>
    <row r="65" spans="3:21" x14ac:dyDescent="0.2">
      <c r="C65" s="12">
        <f t="shared" si="1"/>
        <v>493.03362240000001</v>
      </c>
      <c r="D65" s="13">
        <f t="shared" si="2"/>
        <v>52.985820000000047</v>
      </c>
      <c r="E65" s="12">
        <f t="shared" si="3"/>
        <v>-2.3344395000000659</v>
      </c>
      <c r="F65" s="12">
        <f t="shared" si="4"/>
        <v>132.54397200000002</v>
      </c>
      <c r="G65" s="12">
        <f t="shared" si="5"/>
        <v>504.23893199999998</v>
      </c>
      <c r="H65" s="12">
        <f t="shared" si="6"/>
        <v>10544.178179999999</v>
      </c>
      <c r="I65" s="12">
        <f t="shared" si="7"/>
        <v>52.45596180000009</v>
      </c>
      <c r="J65" s="22">
        <f t="shared" si="8"/>
        <v>189222.14222393997</v>
      </c>
      <c r="K65" s="22">
        <f t="shared" si="9"/>
        <v>181732.19321664001</v>
      </c>
      <c r="L65" s="22">
        <f t="shared" si="10"/>
        <v>7489.9490072999615</v>
      </c>
      <c r="M65" s="22">
        <f t="shared" si="11"/>
        <v>187850.6299152</v>
      </c>
      <c r="N65" s="12">
        <f t="shared" si="12"/>
        <v>0.96041716408412825</v>
      </c>
      <c r="O65" s="12">
        <f t="shared" si="13"/>
        <v>0.50827749061321692</v>
      </c>
      <c r="P65" s="13">
        <f t="shared" si="14"/>
        <v>0.45213967347091133</v>
      </c>
      <c r="Q65" s="3">
        <v>6.6000000000000003E-2</v>
      </c>
      <c r="U65" s="31">
        <f t="shared" si="0"/>
        <v>0.99482674999999987</v>
      </c>
    </row>
    <row r="66" spans="3:21" x14ac:dyDescent="0.2">
      <c r="C66" s="12">
        <f t="shared" si="1"/>
        <v>500.50382880000001</v>
      </c>
      <c r="D66" s="13">
        <f t="shared" si="2"/>
        <v>52.929090000000045</v>
      </c>
      <c r="E66" s="12">
        <f t="shared" si="3"/>
        <v>-2.3911695000000535</v>
      </c>
      <c r="F66" s="12">
        <f t="shared" si="4"/>
        <v>134.55221400000005</v>
      </c>
      <c r="G66" s="12">
        <f t="shared" si="5"/>
        <v>513.57668999999999</v>
      </c>
      <c r="H66" s="12">
        <f t="shared" si="6"/>
        <v>10532.88891</v>
      </c>
      <c r="I66" s="12">
        <f t="shared" si="7"/>
        <v>52.399799100000109</v>
      </c>
      <c r="J66" s="22">
        <f t="shared" si="8"/>
        <v>192093.97355448001</v>
      </c>
      <c r="K66" s="22">
        <f t="shared" si="9"/>
        <v>184485.71129568003</v>
      </c>
      <c r="L66" s="22">
        <f t="shared" si="10"/>
        <v>7608.2622587999795</v>
      </c>
      <c r="M66" s="22">
        <f t="shared" si="11"/>
        <v>191322.651144</v>
      </c>
      <c r="N66" s="12">
        <f t="shared" si="12"/>
        <v>0.96039301953092149</v>
      </c>
      <c r="O66" s="12">
        <f t="shared" si="13"/>
        <v>0.50909631148697143</v>
      </c>
      <c r="P66" s="13">
        <f t="shared" si="14"/>
        <v>0.45129670804395006</v>
      </c>
      <c r="Q66" s="5">
        <v>6.7000000000000004E-2</v>
      </c>
      <c r="U66" s="31">
        <f t="shared" si="0"/>
        <v>0.99482674999999987</v>
      </c>
    </row>
    <row r="67" spans="3:21" x14ac:dyDescent="0.2">
      <c r="C67" s="12">
        <f t="shared" si="1"/>
        <v>507.9740352</v>
      </c>
      <c r="D67" s="13">
        <f t="shared" si="2"/>
        <v>52.872360000000043</v>
      </c>
      <c r="E67" s="12">
        <f t="shared" si="3"/>
        <v>-2.4478995000000623</v>
      </c>
      <c r="F67" s="12">
        <f t="shared" si="4"/>
        <v>136.56045600000004</v>
      </c>
      <c r="G67" s="12">
        <f t="shared" si="5"/>
        <v>522.91444799999999</v>
      </c>
      <c r="H67" s="12">
        <f t="shared" si="6"/>
        <v>10521.599639999999</v>
      </c>
      <c r="I67" s="12">
        <f t="shared" si="7"/>
        <v>52.343636400000101</v>
      </c>
      <c r="J67" s="22">
        <f t="shared" si="8"/>
        <v>194965.80488501998</v>
      </c>
      <c r="K67" s="22">
        <f t="shared" si="9"/>
        <v>187239.22937472002</v>
      </c>
      <c r="L67" s="22">
        <f t="shared" si="10"/>
        <v>7726.5755102999683</v>
      </c>
      <c r="M67" s="22">
        <f t="shared" si="11"/>
        <v>194794.67237280001</v>
      </c>
      <c r="N67" s="12">
        <f t="shared" si="12"/>
        <v>0.96036958627254321</v>
      </c>
      <c r="O67" s="12">
        <f t="shared" si="13"/>
        <v>0.50988844571583758</v>
      </c>
      <c r="P67" s="13">
        <f t="shared" si="14"/>
        <v>0.45048114055670563</v>
      </c>
      <c r="Q67" s="3">
        <v>6.8000000000000005E-2</v>
      </c>
      <c r="U67" s="31">
        <f t="shared" si="0"/>
        <v>0.99482674999999987</v>
      </c>
    </row>
    <row r="68" spans="3:21" x14ac:dyDescent="0.2">
      <c r="C68" s="12">
        <f t="shared" si="1"/>
        <v>515.44424160000005</v>
      </c>
      <c r="D68" s="13">
        <f t="shared" si="2"/>
        <v>52.815630000000056</v>
      </c>
      <c r="E68" s="12">
        <f t="shared" si="3"/>
        <v>-2.5046295000000569</v>
      </c>
      <c r="F68" s="12">
        <f t="shared" si="4"/>
        <v>138.56869800000004</v>
      </c>
      <c r="G68" s="12">
        <f t="shared" si="5"/>
        <v>532.252206</v>
      </c>
      <c r="H68" s="12">
        <f t="shared" si="6"/>
        <v>10510.310370000001</v>
      </c>
      <c r="I68" s="12">
        <f t="shared" si="7"/>
        <v>52.287473700000106</v>
      </c>
      <c r="J68" s="22">
        <f t="shared" si="8"/>
        <v>197837.63621556002</v>
      </c>
      <c r="K68" s="22">
        <f t="shared" si="9"/>
        <v>189992.74745376004</v>
      </c>
      <c r="L68" s="22">
        <f t="shared" si="10"/>
        <v>7844.8887617999862</v>
      </c>
      <c r="M68" s="22">
        <f t="shared" si="11"/>
        <v>198266.69360160001</v>
      </c>
      <c r="N68" s="12">
        <f t="shared" si="12"/>
        <v>0.96034683333330795</v>
      </c>
      <c r="O68" s="12">
        <f t="shared" si="13"/>
        <v>0.51065517701945629</v>
      </c>
      <c r="P68" s="13">
        <f t="shared" si="14"/>
        <v>0.44969165631385166</v>
      </c>
      <c r="Q68" s="5">
        <v>6.9000000000000006E-2</v>
      </c>
      <c r="U68" s="31">
        <f t="shared" si="0"/>
        <v>0.99482674999999987</v>
      </c>
    </row>
    <row r="69" spans="3:21" x14ac:dyDescent="0.2">
      <c r="C69" s="12">
        <f t="shared" si="1"/>
        <v>522.91444799999999</v>
      </c>
      <c r="D69" s="13">
        <f t="shared" si="2"/>
        <v>52.758900000000047</v>
      </c>
      <c r="E69" s="12">
        <f t="shared" si="3"/>
        <v>-2.5613595000000657</v>
      </c>
      <c r="F69" s="12">
        <f t="shared" si="4"/>
        <v>140.57694000000004</v>
      </c>
      <c r="G69" s="12">
        <f t="shared" si="5"/>
        <v>541.58996400000001</v>
      </c>
      <c r="H69" s="12">
        <f t="shared" si="6"/>
        <v>10499.021099999998</v>
      </c>
      <c r="I69" s="12">
        <f t="shared" si="7"/>
        <v>52.231311000000098</v>
      </c>
      <c r="J69" s="22">
        <f t="shared" si="8"/>
        <v>200709.46754609997</v>
      </c>
      <c r="K69" s="22">
        <f t="shared" si="9"/>
        <v>192746.2655328</v>
      </c>
      <c r="L69" s="22">
        <f t="shared" si="10"/>
        <v>7963.2020132999751</v>
      </c>
      <c r="M69" s="22">
        <f t="shared" si="11"/>
        <v>201738.71483040004</v>
      </c>
      <c r="N69" s="12">
        <f t="shared" si="12"/>
        <v>0.96032473151038111</v>
      </c>
      <c r="O69" s="12">
        <f t="shared" si="13"/>
        <v>0.51139770808171292</v>
      </c>
      <c r="P69" s="13">
        <f t="shared" si="14"/>
        <v>0.44892702342866819</v>
      </c>
      <c r="Q69" s="3">
        <v>7.0000000000000007E-2</v>
      </c>
      <c r="U69" s="31">
        <f t="shared" si="0"/>
        <v>0.99482674999999987</v>
      </c>
    </row>
    <row r="70" spans="3:21" x14ac:dyDescent="0.2">
      <c r="C70" s="12">
        <f t="shared" si="1"/>
        <v>530.38465439999993</v>
      </c>
      <c r="D70" s="13">
        <f t="shared" si="2"/>
        <v>52.702170000000045</v>
      </c>
      <c r="E70" s="12">
        <f t="shared" si="3"/>
        <v>-2.6180895000000532</v>
      </c>
      <c r="F70" s="12">
        <f t="shared" si="4"/>
        <v>142.58518200000003</v>
      </c>
      <c r="G70" s="12">
        <f t="shared" si="5"/>
        <v>550.9277219999999</v>
      </c>
      <c r="H70" s="12">
        <f t="shared" si="6"/>
        <v>10487.731830000001</v>
      </c>
      <c r="I70" s="12">
        <f t="shared" si="7"/>
        <v>52.175148300000103</v>
      </c>
      <c r="J70" s="22">
        <f t="shared" si="8"/>
        <v>203581.29887663998</v>
      </c>
      <c r="K70" s="22">
        <f t="shared" si="9"/>
        <v>195499.78361183999</v>
      </c>
      <c r="L70" s="22">
        <f t="shared" si="10"/>
        <v>8081.515264799993</v>
      </c>
      <c r="M70" s="22">
        <f t="shared" si="11"/>
        <v>205210.73605919999</v>
      </c>
      <c r="N70" s="12">
        <f t="shared" si="12"/>
        <v>0.96030325324873289</v>
      </c>
      <c r="O70" s="12">
        <f t="shared" si="13"/>
        <v>0.51211716684569708</v>
      </c>
      <c r="P70" s="13">
        <f t="shared" si="14"/>
        <v>0.44818608640303581</v>
      </c>
      <c r="Q70" s="5">
        <v>7.0999999999999994E-2</v>
      </c>
      <c r="U70" s="31">
        <f t="shared" si="0"/>
        <v>0.99482674999999987</v>
      </c>
    </row>
    <row r="71" spans="3:21" x14ac:dyDescent="0.2">
      <c r="C71" s="12">
        <f t="shared" si="1"/>
        <v>537.85486080000078</v>
      </c>
      <c r="D71" s="13">
        <f t="shared" si="2"/>
        <v>52.645440000000036</v>
      </c>
      <c r="E71" s="12">
        <f t="shared" si="3"/>
        <v>-2.6748195000000621</v>
      </c>
      <c r="F71" s="12">
        <f t="shared" si="4"/>
        <v>144.59342400000025</v>
      </c>
      <c r="G71" s="12">
        <f t="shared" si="5"/>
        <v>560.26548000000093</v>
      </c>
      <c r="H71" s="12">
        <f t="shared" si="6"/>
        <v>10476.44256</v>
      </c>
      <c r="I71" s="12">
        <f t="shared" si="7"/>
        <v>52.118985600000101</v>
      </c>
      <c r="J71" s="22">
        <f t="shared" si="8"/>
        <v>206453.13020718025</v>
      </c>
      <c r="K71" s="22">
        <f t="shared" si="9"/>
        <v>198253.3016908803</v>
      </c>
      <c r="L71" s="22">
        <f t="shared" si="10"/>
        <v>8199.8285162999528</v>
      </c>
      <c r="M71" s="22">
        <f t="shared" si="11"/>
        <v>208682.75728800037</v>
      </c>
      <c r="N71" s="12">
        <f t="shared" si="12"/>
        <v>0.96028237252653303</v>
      </c>
      <c r="O71" s="12">
        <f t="shared" si="13"/>
        <v>0.51281461223083868</v>
      </c>
      <c r="P71" s="13">
        <f t="shared" si="14"/>
        <v>0.44746776029569435</v>
      </c>
      <c r="Q71" s="3">
        <v>7.2000000000000106E-2</v>
      </c>
      <c r="U71" s="31">
        <f t="shared" si="0"/>
        <v>0.99482674999999987</v>
      </c>
    </row>
    <row r="72" spans="3:21" x14ac:dyDescent="0.2">
      <c r="C72" s="12">
        <f t="shared" si="1"/>
        <v>545.32506720000072</v>
      </c>
      <c r="D72" s="13">
        <f t="shared" si="2"/>
        <v>52.588710000000042</v>
      </c>
      <c r="E72" s="12">
        <f t="shared" si="3"/>
        <v>-2.7315495000000638</v>
      </c>
      <c r="F72" s="12">
        <f t="shared" si="4"/>
        <v>146.60166600000025</v>
      </c>
      <c r="G72" s="12">
        <f t="shared" si="5"/>
        <v>569.60323800000094</v>
      </c>
      <c r="H72" s="12">
        <f t="shared" si="6"/>
        <v>10465.153289999998</v>
      </c>
      <c r="I72" s="12">
        <f t="shared" si="7"/>
        <v>52.0628229000001</v>
      </c>
      <c r="J72" s="22">
        <f t="shared" si="8"/>
        <v>209324.96153772029</v>
      </c>
      <c r="K72" s="22">
        <f t="shared" si="9"/>
        <v>201006.81976992029</v>
      </c>
      <c r="L72" s="22">
        <f t="shared" si="10"/>
        <v>8318.1417677999998</v>
      </c>
      <c r="M72" s="22">
        <f t="shared" si="11"/>
        <v>212154.77851680038</v>
      </c>
      <c r="N72" s="12">
        <f t="shared" si="12"/>
        <v>0.96026206474997455</v>
      </c>
      <c r="O72" s="12">
        <f t="shared" si="13"/>
        <v>0.51349103933316631</v>
      </c>
      <c r="P72" s="13">
        <f t="shared" si="14"/>
        <v>0.44677102541680824</v>
      </c>
      <c r="Q72" s="5">
        <v>7.3000000000000106E-2</v>
      </c>
      <c r="U72" s="31">
        <f t="shared" si="0"/>
        <v>0.99482674999999987</v>
      </c>
    </row>
    <row r="73" spans="3:21" x14ac:dyDescent="0.2">
      <c r="C73" s="12">
        <f t="shared" si="1"/>
        <v>552.79527360000066</v>
      </c>
      <c r="D73" s="13">
        <f t="shared" si="2"/>
        <v>52.531980000000047</v>
      </c>
      <c r="E73" s="12">
        <f t="shared" si="3"/>
        <v>-2.7882795000000655</v>
      </c>
      <c r="F73" s="12">
        <f t="shared" si="4"/>
        <v>148.60990800000022</v>
      </c>
      <c r="G73" s="12">
        <f t="shared" si="5"/>
        <v>578.94099600000084</v>
      </c>
      <c r="H73" s="12">
        <f t="shared" si="6"/>
        <v>10453.864019999999</v>
      </c>
      <c r="I73" s="12">
        <f t="shared" si="7"/>
        <v>52.006660200000098</v>
      </c>
      <c r="J73" s="22">
        <f t="shared" si="8"/>
        <v>212196.79286826021</v>
      </c>
      <c r="K73" s="22">
        <f t="shared" si="9"/>
        <v>203760.33784896025</v>
      </c>
      <c r="L73" s="22">
        <f t="shared" si="10"/>
        <v>8436.4550192999595</v>
      </c>
      <c r="M73" s="22">
        <f t="shared" si="11"/>
        <v>215626.79974560032</v>
      </c>
      <c r="N73" s="12">
        <f t="shared" si="12"/>
        <v>0.96024230665664378</v>
      </c>
      <c r="O73" s="12">
        <f t="shared" si="13"/>
        <v>0.51414738416240113</v>
      </c>
      <c r="P73" s="13">
        <f t="shared" si="14"/>
        <v>0.44609492249424265</v>
      </c>
      <c r="Q73" s="3">
        <v>7.4000000000000093E-2</v>
      </c>
      <c r="U73" s="31">
        <f t="shared" si="0"/>
        <v>0.99482674999999987</v>
      </c>
    </row>
    <row r="74" spans="3:21" x14ac:dyDescent="0.2">
      <c r="C74" s="12">
        <f t="shared" si="1"/>
        <v>560.26548000000071</v>
      </c>
      <c r="D74" s="13">
        <f t="shared" si="2"/>
        <v>52.475250000000045</v>
      </c>
      <c r="E74" s="12">
        <f t="shared" si="3"/>
        <v>-2.8450095000000601</v>
      </c>
      <c r="F74" s="12">
        <f t="shared" si="4"/>
        <v>150.61815000000024</v>
      </c>
      <c r="G74" s="12">
        <f t="shared" si="5"/>
        <v>588.27875400000084</v>
      </c>
      <c r="H74" s="12">
        <f t="shared" si="6"/>
        <v>10442.57475</v>
      </c>
      <c r="I74" s="12">
        <f t="shared" si="7"/>
        <v>51.950497500000104</v>
      </c>
      <c r="J74" s="22">
        <f t="shared" si="8"/>
        <v>215068.62419880027</v>
      </c>
      <c r="K74" s="22">
        <f t="shared" si="9"/>
        <v>206513.85592800027</v>
      </c>
      <c r="L74" s="22">
        <f t="shared" si="10"/>
        <v>8554.7682708000066</v>
      </c>
      <c r="M74" s="22">
        <f t="shared" si="11"/>
        <v>219098.82097440033</v>
      </c>
      <c r="N74" s="12">
        <f t="shared" si="12"/>
        <v>0.96022307622662639</v>
      </c>
      <c r="O74" s="12">
        <f t="shared" si="13"/>
        <v>0.51478452796330365</v>
      </c>
      <c r="P74" s="13">
        <f t="shared" si="14"/>
        <v>0.44543854826332274</v>
      </c>
      <c r="Q74" s="5">
        <v>7.5000000000000094E-2</v>
      </c>
      <c r="U74" s="31">
        <f t="shared" si="0"/>
        <v>0.99482674999999987</v>
      </c>
    </row>
    <row r="75" spans="3:21" x14ac:dyDescent="0.2">
      <c r="C75" s="12">
        <f t="shared" si="1"/>
        <v>567.73568640000065</v>
      </c>
      <c r="D75" s="13">
        <f t="shared" si="2"/>
        <v>52.418520000000036</v>
      </c>
      <c r="E75" s="12">
        <f t="shared" si="3"/>
        <v>-2.9017395000000619</v>
      </c>
      <c r="F75" s="12">
        <f t="shared" si="4"/>
        <v>152.62639200000024</v>
      </c>
      <c r="G75" s="12">
        <f t="shared" si="5"/>
        <v>597.61651200000085</v>
      </c>
      <c r="H75" s="12">
        <f t="shared" si="6"/>
        <v>10431.28548</v>
      </c>
      <c r="I75" s="12">
        <f t="shared" si="7"/>
        <v>51.894334800000109</v>
      </c>
      <c r="J75" s="22">
        <f t="shared" si="8"/>
        <v>217940.45552934022</v>
      </c>
      <c r="K75" s="22">
        <f t="shared" si="9"/>
        <v>209267.37400704026</v>
      </c>
      <c r="L75" s="22">
        <f t="shared" si="10"/>
        <v>8673.0815222999663</v>
      </c>
      <c r="M75" s="22">
        <f t="shared" si="11"/>
        <v>222570.84220320033</v>
      </c>
      <c r="N75" s="12">
        <f t="shared" si="12"/>
        <v>0.96020435260064718</v>
      </c>
      <c r="O75" s="12">
        <f t="shared" si="13"/>
        <v>0.51540330116323385</v>
      </c>
      <c r="P75" s="13">
        <f t="shared" si="14"/>
        <v>0.44480105143741333</v>
      </c>
      <c r="Q75" s="3">
        <v>7.6000000000000095E-2</v>
      </c>
      <c r="U75" s="31">
        <f t="shared" si="0"/>
        <v>0.99482674999999987</v>
      </c>
    </row>
    <row r="76" spans="3:21" x14ac:dyDescent="0.2">
      <c r="C76" s="12">
        <f t="shared" si="1"/>
        <v>575.2058928000007</v>
      </c>
      <c r="D76" s="13">
        <f t="shared" si="2"/>
        <v>52.361790000000042</v>
      </c>
      <c r="E76" s="12">
        <f t="shared" si="3"/>
        <v>-2.9584695000000636</v>
      </c>
      <c r="F76" s="12">
        <f t="shared" si="4"/>
        <v>154.63463400000023</v>
      </c>
      <c r="G76" s="12">
        <f t="shared" si="5"/>
        <v>606.95427000000086</v>
      </c>
      <c r="H76" s="12">
        <f t="shared" si="6"/>
        <v>10419.996209999999</v>
      </c>
      <c r="I76" s="12">
        <f t="shared" si="7"/>
        <v>51.838172100000101</v>
      </c>
      <c r="J76" s="22">
        <f t="shared" si="8"/>
        <v>220812.28685988026</v>
      </c>
      <c r="K76" s="22">
        <f t="shared" si="9"/>
        <v>212020.89208608028</v>
      </c>
      <c r="L76" s="22">
        <f t="shared" si="10"/>
        <v>8791.3947737999843</v>
      </c>
      <c r="M76" s="22">
        <f t="shared" si="11"/>
        <v>226042.86343200033</v>
      </c>
      <c r="N76" s="12">
        <f t="shared" si="12"/>
        <v>0.96018611600459214</v>
      </c>
      <c r="O76" s="12">
        <f t="shared" si="13"/>
        <v>0.51600448698310686</v>
      </c>
      <c r="P76" s="13">
        <f t="shared" si="14"/>
        <v>0.44418162902148528</v>
      </c>
      <c r="Q76" s="5">
        <v>7.7000000000000096E-2</v>
      </c>
      <c r="U76" s="31">
        <f t="shared" si="0"/>
        <v>0.99482674999999987</v>
      </c>
    </row>
    <row r="77" spans="3:21" x14ac:dyDescent="0.2">
      <c r="C77" s="12">
        <f t="shared" si="1"/>
        <v>582.67609920000075</v>
      </c>
      <c r="D77" s="13">
        <f t="shared" si="2"/>
        <v>52.305060000000047</v>
      </c>
      <c r="E77" s="12">
        <f t="shared" si="3"/>
        <v>-3.0151995000000653</v>
      </c>
      <c r="F77" s="12">
        <f t="shared" si="4"/>
        <v>156.64287600000023</v>
      </c>
      <c r="G77" s="12">
        <f t="shared" si="5"/>
        <v>616.29202800000087</v>
      </c>
      <c r="H77" s="12">
        <f t="shared" si="6"/>
        <v>10408.70694</v>
      </c>
      <c r="I77" s="12">
        <f t="shared" si="7"/>
        <v>51.782009400000092</v>
      </c>
      <c r="J77" s="22">
        <f t="shared" si="8"/>
        <v>223684.11819042027</v>
      </c>
      <c r="K77" s="22">
        <f t="shared" si="9"/>
        <v>214774.41016512029</v>
      </c>
      <c r="L77" s="22">
        <f t="shared" si="10"/>
        <v>8909.7080252999731</v>
      </c>
      <c r="M77" s="22">
        <f t="shared" si="11"/>
        <v>229514.88466080034</v>
      </c>
      <c r="N77" s="12">
        <f t="shared" si="12"/>
        <v>0.96016834767985082</v>
      </c>
      <c r="O77" s="12">
        <f t="shared" si="13"/>
        <v>0.51658882474475964</v>
      </c>
      <c r="P77" s="13">
        <f t="shared" si="14"/>
        <v>0.44357952293509118</v>
      </c>
      <c r="Q77" s="3">
        <v>7.8000000000000097E-2</v>
      </c>
      <c r="U77" s="31">
        <f t="shared" si="0"/>
        <v>0.99482674999999987</v>
      </c>
    </row>
    <row r="78" spans="3:21" x14ac:dyDescent="0.2">
      <c r="C78" s="12">
        <f t="shared" si="1"/>
        <v>590.14630560000069</v>
      </c>
      <c r="D78" s="13">
        <f t="shared" si="2"/>
        <v>52.248330000000045</v>
      </c>
      <c r="E78" s="12">
        <f t="shared" si="3"/>
        <v>-3.0719295000000599</v>
      </c>
      <c r="F78" s="12">
        <f t="shared" si="4"/>
        <v>158.65111800000022</v>
      </c>
      <c r="G78" s="12">
        <f t="shared" si="5"/>
        <v>625.62978600000088</v>
      </c>
      <c r="H78" s="12">
        <f t="shared" si="6"/>
        <v>10397.417669999999</v>
      </c>
      <c r="I78" s="12">
        <f t="shared" si="7"/>
        <v>51.725846700000098</v>
      </c>
      <c r="J78" s="22">
        <f t="shared" si="8"/>
        <v>226555.94952096025</v>
      </c>
      <c r="K78" s="22">
        <f t="shared" si="9"/>
        <v>217527.92824416026</v>
      </c>
      <c r="L78" s="22">
        <f t="shared" si="10"/>
        <v>9028.021276799991</v>
      </c>
      <c r="M78" s="22">
        <f t="shared" si="11"/>
        <v>232986.90588960034</v>
      </c>
      <c r="N78" s="12">
        <f t="shared" si="12"/>
        <v>0.96015102981895095</v>
      </c>
      <c r="O78" s="12">
        <f t="shared" si="13"/>
        <v>0.51715701290409699</v>
      </c>
      <c r="P78" s="13">
        <f t="shared" si="14"/>
        <v>0.44299401691485396</v>
      </c>
      <c r="Q78" s="5">
        <v>7.9000000000000098E-2</v>
      </c>
      <c r="U78" s="31">
        <f t="shared" ref="U78:U141" si="15">(Prev*Total_SnSeq)+((1-Prev)*Total_SpSeq)</f>
        <v>0.99482674999999987</v>
      </c>
    </row>
    <row r="79" spans="3:21" x14ac:dyDescent="0.2">
      <c r="C79" s="12">
        <f t="shared" ref="C79:C142" si="16">cohort*Q79*SnTest1*((corr*(SQRT(SnTest1*(1-SnTest1)*SnTest2*(1-SnTest2)))+SnTest1*SnTest2)/SnTest1)</f>
        <v>597.61651200000074</v>
      </c>
      <c r="D79" s="13">
        <f t="shared" ref="D79:D142" si="17">(1-Q79)*(1-SpTest1)*cohort</f>
        <v>52.191600000000037</v>
      </c>
      <c r="E79" s="12">
        <f t="shared" ref="E79:E142" si="18">(cohort*(1-Q79)*(1-SpTest1))-TNTest2</f>
        <v>-3.1286595000000617</v>
      </c>
      <c r="F79" s="12">
        <f t="shared" ref="F79:F142" si="19">cohort*Q79*(1-SnTest1)</f>
        <v>160.65936000000025</v>
      </c>
      <c r="G79" s="12">
        <f t="shared" ref="G79:G142" si="20">(cohort*Q79*SnTest1)-TPSeq</f>
        <v>634.96754400000088</v>
      </c>
      <c r="H79" s="12">
        <f t="shared" ref="H79:H142" si="21">(1-Q79)*SpTest1*cohort</f>
        <v>10386.128399999998</v>
      </c>
      <c r="I79" s="12">
        <f t="shared" ref="I79:I142" si="22">cohort*(1-Q79)*(1-SpTest1)*(SpTest2-(corr*(SQRT(SpTest1*(1-SpTest1)*SpTest2*(1-SpTest2)))+SpTest2*SpTest1))/(1-SpTest1)</f>
        <v>51.669684000000103</v>
      </c>
      <c r="J79" s="22">
        <f t="shared" si="8"/>
        <v>229427.78085150025</v>
      </c>
      <c r="K79" s="22">
        <f t="shared" si="9"/>
        <v>220281.44632320027</v>
      </c>
      <c r="L79" s="22">
        <f t="shared" si="10"/>
        <v>9146.3345282999799</v>
      </c>
      <c r="M79" s="22">
        <f t="shared" si="11"/>
        <v>236458.92711840034</v>
      </c>
      <c r="N79" s="12">
        <f t="shared" si="12"/>
        <v>0.9601341455060316</v>
      </c>
      <c r="O79" s="12">
        <f t="shared" si="13"/>
        <v>0.51770971183618009</v>
      </c>
      <c r="P79" s="13">
        <f t="shared" si="14"/>
        <v>0.44242443366985151</v>
      </c>
      <c r="Q79" s="3">
        <v>8.0000000000000099E-2</v>
      </c>
      <c r="U79" s="31">
        <f t="shared" si="15"/>
        <v>0.99482674999999987</v>
      </c>
    </row>
    <row r="80" spans="3:21" x14ac:dyDescent="0.2">
      <c r="C80" s="12">
        <f t="shared" si="16"/>
        <v>605.08671840000068</v>
      </c>
      <c r="D80" s="13">
        <f t="shared" si="17"/>
        <v>52.134870000000042</v>
      </c>
      <c r="E80" s="12">
        <f t="shared" si="18"/>
        <v>-3.1853895000000705</v>
      </c>
      <c r="F80" s="12">
        <f t="shared" si="19"/>
        <v>162.66760200000024</v>
      </c>
      <c r="G80" s="12">
        <f t="shared" si="20"/>
        <v>644.30530200000089</v>
      </c>
      <c r="H80" s="12">
        <f t="shared" si="21"/>
        <v>10374.839129999998</v>
      </c>
      <c r="I80" s="12">
        <f t="shared" si="22"/>
        <v>51.613521300000095</v>
      </c>
      <c r="J80" s="22">
        <f t="shared" ref="J80:J143" si="23">(C80*$H$6)+(E80*$H$6)+(G80*$H$3)+(I80*$H$3)</f>
        <v>232299.61218204026</v>
      </c>
      <c r="K80" s="22">
        <f t="shared" ref="K80:K143" si="24">(C80*$H$6)</f>
        <v>223034.96440224026</v>
      </c>
      <c r="L80" s="22">
        <f t="shared" ref="L80:L143" si="25">J80-K80</f>
        <v>9264.6477797999978</v>
      </c>
      <c r="M80" s="22">
        <f t="shared" ref="M80:M143" si="26">(F80*$H$3)+(G80*$H$6)</f>
        <v>239930.94834720035</v>
      </c>
      <c r="N80" s="12">
        <f t="shared" ref="N80:N143" si="27">K80/J80</f>
        <v>0.96011767866172837</v>
      </c>
      <c r="O80" s="12">
        <f t="shared" ref="O80:O143" si="28">M80/(M80+K80)</f>
        <v>0.51824754639560711</v>
      </c>
      <c r="P80" s="13">
        <f t="shared" ref="P80:P143" si="29">N80-O80</f>
        <v>0.44187013226612126</v>
      </c>
      <c r="Q80" s="5">
        <v>8.10000000000001E-2</v>
      </c>
      <c r="U80" s="31">
        <f t="shared" si="15"/>
        <v>0.99482674999999987</v>
      </c>
    </row>
    <row r="81" spans="3:21" x14ac:dyDescent="0.2">
      <c r="C81" s="12">
        <f t="shared" si="16"/>
        <v>612.55692480000073</v>
      </c>
      <c r="D81" s="13">
        <f t="shared" si="17"/>
        <v>52.07814000000004</v>
      </c>
      <c r="E81" s="12">
        <f t="shared" si="18"/>
        <v>-3.2421195000000651</v>
      </c>
      <c r="F81" s="12">
        <f t="shared" si="19"/>
        <v>164.67584400000024</v>
      </c>
      <c r="G81" s="12">
        <f t="shared" si="20"/>
        <v>653.6430600000009</v>
      </c>
      <c r="H81" s="12">
        <f t="shared" si="21"/>
        <v>10363.549859999999</v>
      </c>
      <c r="I81" s="12">
        <f t="shared" si="22"/>
        <v>51.5573586000001</v>
      </c>
      <c r="J81" s="22">
        <f t="shared" si="23"/>
        <v>235171.44351258024</v>
      </c>
      <c r="K81" s="22">
        <f t="shared" si="24"/>
        <v>225788.48248128028</v>
      </c>
      <c r="L81" s="22">
        <f t="shared" si="25"/>
        <v>9382.9610312999575</v>
      </c>
      <c r="M81" s="22">
        <f t="shared" si="26"/>
        <v>243402.96957600035</v>
      </c>
      <c r="N81" s="12">
        <f t="shared" si="27"/>
        <v>0.96010161399210003</v>
      </c>
      <c r="O81" s="12">
        <f t="shared" si="28"/>
        <v>0.51877110827305695</v>
      </c>
      <c r="P81" s="13">
        <f t="shared" si="29"/>
        <v>0.44133050571904309</v>
      </c>
      <c r="Q81" s="3">
        <v>8.2000000000000101E-2</v>
      </c>
      <c r="U81" s="31">
        <f t="shared" si="15"/>
        <v>0.99482674999999987</v>
      </c>
    </row>
    <row r="82" spans="3:21" x14ac:dyDescent="0.2">
      <c r="C82" s="12">
        <f t="shared" si="16"/>
        <v>620.02713120000078</v>
      </c>
      <c r="D82" s="13">
        <f t="shared" si="17"/>
        <v>52.021410000000046</v>
      </c>
      <c r="E82" s="12">
        <f t="shared" si="18"/>
        <v>-3.2988495000000597</v>
      </c>
      <c r="F82" s="12">
        <f t="shared" si="19"/>
        <v>166.68408600000024</v>
      </c>
      <c r="G82" s="12">
        <f t="shared" si="20"/>
        <v>662.98081800000091</v>
      </c>
      <c r="H82" s="12">
        <f t="shared" si="21"/>
        <v>10352.26059</v>
      </c>
      <c r="I82" s="12">
        <f t="shared" si="22"/>
        <v>51.501195900000106</v>
      </c>
      <c r="J82" s="22">
        <f t="shared" si="23"/>
        <v>238043.27484312031</v>
      </c>
      <c r="K82" s="22">
        <f t="shared" si="24"/>
        <v>228542.0005603203</v>
      </c>
      <c r="L82" s="22">
        <f t="shared" si="25"/>
        <v>9501.2742828000046</v>
      </c>
      <c r="M82" s="22">
        <f t="shared" si="26"/>
        <v>246874.99080480036</v>
      </c>
      <c r="N82" s="12">
        <f t="shared" si="27"/>
        <v>0.96008593694124855</v>
      </c>
      <c r="O82" s="12">
        <f t="shared" si="28"/>
        <v>0.51928095816668063</v>
      </c>
      <c r="P82" s="13">
        <f t="shared" si="29"/>
        <v>0.44080497877456792</v>
      </c>
      <c r="Q82" s="5">
        <v>8.3000000000000101E-2</v>
      </c>
      <c r="U82" s="31">
        <f t="shared" si="15"/>
        <v>0.99482674999999987</v>
      </c>
    </row>
    <row r="83" spans="3:21" x14ac:dyDescent="0.2">
      <c r="C83" s="12">
        <f t="shared" si="16"/>
        <v>627.49733760000083</v>
      </c>
      <c r="D83" s="13">
        <f t="shared" si="17"/>
        <v>51.964680000000037</v>
      </c>
      <c r="E83" s="12">
        <f t="shared" si="18"/>
        <v>-3.3555795000000614</v>
      </c>
      <c r="F83" s="12">
        <f t="shared" si="19"/>
        <v>168.69232800000026</v>
      </c>
      <c r="G83" s="12">
        <f t="shared" si="20"/>
        <v>672.31857600000103</v>
      </c>
      <c r="H83" s="12">
        <f t="shared" si="21"/>
        <v>10340.971319999999</v>
      </c>
      <c r="I83" s="12">
        <f t="shared" si="22"/>
        <v>51.445033200000097</v>
      </c>
      <c r="J83" s="22">
        <f t="shared" si="23"/>
        <v>240915.10617366029</v>
      </c>
      <c r="K83" s="22">
        <f t="shared" si="24"/>
        <v>231295.51863936032</v>
      </c>
      <c r="L83" s="22">
        <f t="shared" si="25"/>
        <v>9619.5875342999643</v>
      </c>
      <c r="M83" s="22">
        <f t="shared" si="26"/>
        <v>250347.01203360042</v>
      </c>
      <c r="N83" s="12">
        <f t="shared" si="27"/>
        <v>0.96007063364733214</v>
      </c>
      <c r="O83" s="12">
        <f t="shared" si="28"/>
        <v>0.51977762778509295</v>
      </c>
      <c r="P83" s="13">
        <f t="shared" si="29"/>
        <v>0.44029300586223918</v>
      </c>
      <c r="Q83" s="3">
        <v>8.4000000000000102E-2</v>
      </c>
      <c r="U83" s="31">
        <f t="shared" si="15"/>
        <v>0.99482674999999987</v>
      </c>
    </row>
    <row r="84" spans="3:21" x14ac:dyDescent="0.2">
      <c r="C84" s="12">
        <f t="shared" si="16"/>
        <v>634.96754400000077</v>
      </c>
      <c r="D84" s="13">
        <f t="shared" si="17"/>
        <v>51.907950000000042</v>
      </c>
      <c r="E84" s="12">
        <f t="shared" si="18"/>
        <v>-3.4123095000000703</v>
      </c>
      <c r="F84" s="12">
        <f t="shared" si="19"/>
        <v>170.70057000000025</v>
      </c>
      <c r="G84" s="12">
        <f t="shared" si="20"/>
        <v>681.65633400000092</v>
      </c>
      <c r="H84" s="12">
        <f t="shared" si="21"/>
        <v>10329.682049999999</v>
      </c>
      <c r="I84" s="12">
        <f t="shared" si="22"/>
        <v>51.388870500000095</v>
      </c>
      <c r="J84" s="22">
        <f t="shared" si="23"/>
        <v>243786.93750420032</v>
      </c>
      <c r="K84" s="22">
        <f t="shared" si="24"/>
        <v>234049.03671840031</v>
      </c>
      <c r="L84" s="22">
        <f t="shared" si="25"/>
        <v>9737.9007858000114</v>
      </c>
      <c r="M84" s="22">
        <f t="shared" si="26"/>
        <v>253819.03326240036</v>
      </c>
      <c r="N84" s="12">
        <f t="shared" si="27"/>
        <v>0.96005569090168241</v>
      </c>
      <c r="O84" s="12">
        <f t="shared" si="28"/>
        <v>0.52026162169700718</v>
      </c>
      <c r="P84" s="13">
        <f t="shared" si="29"/>
        <v>0.43979406920467523</v>
      </c>
      <c r="Q84" s="5">
        <v>8.5000000000000103E-2</v>
      </c>
      <c r="U84" s="31">
        <f t="shared" si="15"/>
        <v>0.99482674999999987</v>
      </c>
    </row>
    <row r="85" spans="3:21" x14ac:dyDescent="0.2">
      <c r="C85" s="12">
        <f t="shared" si="16"/>
        <v>642.43775040000082</v>
      </c>
      <c r="D85" s="13">
        <f t="shared" si="17"/>
        <v>51.85122000000004</v>
      </c>
      <c r="E85" s="12">
        <f t="shared" si="18"/>
        <v>-3.4690395000000649</v>
      </c>
      <c r="F85" s="12">
        <f t="shared" si="19"/>
        <v>172.70881200000025</v>
      </c>
      <c r="G85" s="12">
        <f t="shared" si="20"/>
        <v>690.99409200000093</v>
      </c>
      <c r="H85" s="12">
        <f t="shared" si="21"/>
        <v>10318.39278</v>
      </c>
      <c r="I85" s="12">
        <f t="shared" si="22"/>
        <v>51.332707800000101</v>
      </c>
      <c r="J85" s="22">
        <f t="shared" si="23"/>
        <v>246658.7688347403</v>
      </c>
      <c r="K85" s="22">
        <f t="shared" si="24"/>
        <v>236802.55479744033</v>
      </c>
      <c r="L85" s="22">
        <f t="shared" si="25"/>
        <v>9856.2140372999711</v>
      </c>
      <c r="M85" s="22">
        <f t="shared" si="26"/>
        <v>257291.05449120037</v>
      </c>
      <c r="N85" s="12">
        <f t="shared" si="27"/>
        <v>0.96004109611078303</v>
      </c>
      <c r="O85" s="12">
        <f t="shared" si="28"/>
        <v>0.52073341904103743</v>
      </c>
      <c r="P85" s="13">
        <f t="shared" si="29"/>
        <v>0.43930767706974561</v>
      </c>
      <c r="Q85" s="3">
        <v>8.6000000000000104E-2</v>
      </c>
      <c r="U85" s="31">
        <f t="shared" si="15"/>
        <v>0.99482674999999987</v>
      </c>
    </row>
    <row r="86" spans="3:21" x14ac:dyDescent="0.2">
      <c r="C86" s="12">
        <f t="shared" si="16"/>
        <v>649.90795680000076</v>
      </c>
      <c r="D86" s="13">
        <f t="shared" si="17"/>
        <v>51.794490000000046</v>
      </c>
      <c r="E86" s="12">
        <f t="shared" si="18"/>
        <v>-3.5257695000000666</v>
      </c>
      <c r="F86" s="12">
        <f t="shared" si="19"/>
        <v>174.71705400000027</v>
      </c>
      <c r="G86" s="12">
        <f t="shared" si="20"/>
        <v>700.33185000000094</v>
      </c>
      <c r="H86" s="12">
        <f t="shared" si="21"/>
        <v>10307.103509999999</v>
      </c>
      <c r="I86" s="12">
        <f t="shared" si="22"/>
        <v>51.276545100000092</v>
      </c>
      <c r="J86" s="22">
        <f t="shared" si="23"/>
        <v>249530.60016528028</v>
      </c>
      <c r="K86" s="22">
        <f t="shared" si="24"/>
        <v>239556.07287648029</v>
      </c>
      <c r="L86" s="22">
        <f t="shared" si="25"/>
        <v>9974.527288799989</v>
      </c>
      <c r="M86" s="22">
        <f t="shared" si="26"/>
        <v>260763.07572000037</v>
      </c>
      <c r="N86" s="12">
        <f t="shared" si="27"/>
        <v>0.96002683726086813</v>
      </c>
      <c r="O86" s="12">
        <f t="shared" si="28"/>
        <v>0.52119347510784964</v>
      </c>
      <c r="P86" s="13">
        <f t="shared" si="29"/>
        <v>0.43883336215301849</v>
      </c>
      <c r="Q86" s="5">
        <v>8.7000000000000105E-2</v>
      </c>
      <c r="U86" s="31">
        <f t="shared" si="15"/>
        <v>0.99482674999999987</v>
      </c>
    </row>
    <row r="87" spans="3:21" x14ac:dyDescent="0.2">
      <c r="C87" s="12">
        <f t="shared" si="16"/>
        <v>657.37816320000081</v>
      </c>
      <c r="D87" s="13">
        <f t="shared" si="17"/>
        <v>51.737760000000037</v>
      </c>
      <c r="E87" s="12">
        <f t="shared" si="18"/>
        <v>-3.5824995000000612</v>
      </c>
      <c r="F87" s="12">
        <f t="shared" si="19"/>
        <v>176.72529600000027</v>
      </c>
      <c r="G87" s="12">
        <f t="shared" si="20"/>
        <v>709.66960800000095</v>
      </c>
      <c r="H87" s="12">
        <f t="shared" si="21"/>
        <v>10295.81424</v>
      </c>
      <c r="I87" s="12">
        <f t="shared" si="22"/>
        <v>51.220382400000098</v>
      </c>
      <c r="J87" s="22">
        <f t="shared" si="23"/>
        <v>252402.43149582032</v>
      </c>
      <c r="K87" s="22">
        <f t="shared" si="24"/>
        <v>242309.59095552031</v>
      </c>
      <c r="L87" s="22">
        <f t="shared" si="25"/>
        <v>10092.840540300007</v>
      </c>
      <c r="M87" s="22">
        <f t="shared" si="26"/>
        <v>264235.09694880038</v>
      </c>
      <c r="N87" s="12">
        <f t="shared" si="27"/>
        <v>0.96001290288494256</v>
      </c>
      <c r="O87" s="12">
        <f t="shared" si="28"/>
        <v>0.52164222280564265</v>
      </c>
      <c r="P87" s="13">
        <f t="shared" si="29"/>
        <v>0.43837068007929991</v>
      </c>
      <c r="Q87" s="3">
        <v>8.8000000000000106E-2</v>
      </c>
      <c r="U87" s="31">
        <f t="shared" si="15"/>
        <v>0.99482674999999987</v>
      </c>
    </row>
    <row r="88" spans="3:21" x14ac:dyDescent="0.2">
      <c r="C88" s="12">
        <f t="shared" si="16"/>
        <v>664.84836960000075</v>
      </c>
      <c r="D88" s="13">
        <f t="shared" si="17"/>
        <v>51.681030000000042</v>
      </c>
      <c r="E88" s="12">
        <f t="shared" si="18"/>
        <v>-3.6392295000000701</v>
      </c>
      <c r="F88" s="12">
        <f t="shared" si="19"/>
        <v>178.73353800000027</v>
      </c>
      <c r="G88" s="12">
        <f t="shared" si="20"/>
        <v>719.00736600000096</v>
      </c>
      <c r="H88" s="12">
        <f t="shared" si="21"/>
        <v>10284.524969999999</v>
      </c>
      <c r="I88" s="12">
        <f t="shared" si="22"/>
        <v>51.164219700000089</v>
      </c>
      <c r="J88" s="22">
        <f t="shared" si="23"/>
        <v>255274.2628263603</v>
      </c>
      <c r="K88" s="22">
        <f t="shared" si="24"/>
        <v>245063.1090345603</v>
      </c>
      <c r="L88" s="22">
        <f t="shared" si="25"/>
        <v>10211.153791799996</v>
      </c>
      <c r="M88" s="22">
        <f t="shared" si="26"/>
        <v>267707.11817760032</v>
      </c>
      <c r="N88" s="12">
        <f t="shared" si="27"/>
        <v>0.95999928203202489</v>
      </c>
      <c r="O88" s="12">
        <f t="shared" si="28"/>
        <v>0.52208007401887535</v>
      </c>
      <c r="P88" s="13">
        <f t="shared" si="29"/>
        <v>0.43791920801314954</v>
      </c>
      <c r="Q88" s="5">
        <v>8.9000000000000107E-2</v>
      </c>
      <c r="U88" s="31">
        <f t="shared" si="15"/>
        <v>0.99482674999999987</v>
      </c>
    </row>
    <row r="89" spans="3:21" x14ac:dyDescent="0.2">
      <c r="C89" s="12">
        <f t="shared" si="16"/>
        <v>672.31857600000069</v>
      </c>
      <c r="D89" s="13">
        <f t="shared" si="17"/>
        <v>51.624300000000041</v>
      </c>
      <c r="E89" s="12">
        <f t="shared" si="18"/>
        <v>-3.6959595000000647</v>
      </c>
      <c r="F89" s="12">
        <f t="shared" si="19"/>
        <v>180.74178000000023</v>
      </c>
      <c r="G89" s="12">
        <f t="shared" si="20"/>
        <v>728.34512400000085</v>
      </c>
      <c r="H89" s="12">
        <f t="shared" si="21"/>
        <v>10273.235699999999</v>
      </c>
      <c r="I89" s="12">
        <f t="shared" si="22"/>
        <v>51.108057000000095</v>
      </c>
      <c r="J89" s="22">
        <f t="shared" si="23"/>
        <v>258146.09415690025</v>
      </c>
      <c r="K89" s="22">
        <f t="shared" si="24"/>
        <v>247816.62711360026</v>
      </c>
      <c r="L89" s="22">
        <f t="shared" si="25"/>
        <v>10329.467043299985</v>
      </c>
      <c r="M89" s="22">
        <f t="shared" si="26"/>
        <v>271179.13940640033</v>
      </c>
      <c r="N89" s="12">
        <f t="shared" si="27"/>
        <v>0.95998596423844484</v>
      </c>
      <c r="O89" s="12">
        <f t="shared" si="28"/>
        <v>0.52250742086920254</v>
      </c>
      <c r="P89" s="13">
        <f t="shared" si="29"/>
        <v>0.4374785433692423</v>
      </c>
      <c r="Q89" s="3">
        <v>9.0000000000000094E-2</v>
      </c>
      <c r="U89" s="31">
        <f t="shared" si="15"/>
        <v>0.99482674999999987</v>
      </c>
    </row>
    <row r="90" spans="3:21" x14ac:dyDescent="0.2">
      <c r="C90" s="12">
        <f t="shared" si="16"/>
        <v>679.78878240000074</v>
      </c>
      <c r="D90" s="13">
        <f t="shared" si="17"/>
        <v>51.567570000000046</v>
      </c>
      <c r="E90" s="12">
        <f t="shared" si="18"/>
        <v>-3.7526895000000664</v>
      </c>
      <c r="F90" s="12">
        <f t="shared" si="19"/>
        <v>182.75002200000023</v>
      </c>
      <c r="G90" s="12">
        <f t="shared" si="20"/>
        <v>737.68288200000086</v>
      </c>
      <c r="H90" s="12">
        <f t="shared" si="21"/>
        <v>10261.946429999998</v>
      </c>
      <c r="I90" s="12">
        <f t="shared" si="22"/>
        <v>51.0518943000001</v>
      </c>
      <c r="J90" s="22">
        <f t="shared" si="23"/>
        <v>261017.92548744028</v>
      </c>
      <c r="K90" s="22">
        <f t="shared" si="24"/>
        <v>250570.14519264028</v>
      </c>
      <c r="L90" s="22">
        <f t="shared" si="25"/>
        <v>10447.780294800003</v>
      </c>
      <c r="M90" s="22">
        <f t="shared" si="26"/>
        <v>274651.16063520033</v>
      </c>
      <c r="N90" s="12">
        <f t="shared" si="27"/>
        <v>0.95997293950103546</v>
      </c>
      <c r="O90" s="12">
        <f t="shared" si="28"/>
        <v>0.52292463688673496</v>
      </c>
      <c r="P90" s="13">
        <f t="shared" si="29"/>
        <v>0.4370483026143005</v>
      </c>
      <c r="Q90" s="5">
        <v>9.1000000000000095E-2</v>
      </c>
      <c r="U90" s="31">
        <f t="shared" si="15"/>
        <v>0.99482674999999987</v>
      </c>
    </row>
    <row r="91" spans="3:21" x14ac:dyDescent="0.2">
      <c r="C91" s="12">
        <f t="shared" si="16"/>
        <v>687.25898880000068</v>
      </c>
      <c r="D91" s="13">
        <f t="shared" si="17"/>
        <v>51.510840000000037</v>
      </c>
      <c r="E91" s="12">
        <f t="shared" si="18"/>
        <v>-3.809419500000061</v>
      </c>
      <c r="F91" s="12">
        <f t="shared" si="19"/>
        <v>184.75826400000022</v>
      </c>
      <c r="G91" s="12">
        <f t="shared" si="20"/>
        <v>747.02064000000075</v>
      </c>
      <c r="H91" s="12">
        <f t="shared" si="21"/>
        <v>10250.657159999999</v>
      </c>
      <c r="I91" s="12">
        <f t="shared" si="22"/>
        <v>50.995731600000106</v>
      </c>
      <c r="J91" s="22">
        <f t="shared" si="23"/>
        <v>263889.75681798032</v>
      </c>
      <c r="K91" s="22">
        <f t="shared" si="24"/>
        <v>253323.66327168027</v>
      </c>
      <c r="L91" s="22">
        <f t="shared" si="25"/>
        <v>10566.09354630005</v>
      </c>
      <c r="M91" s="22">
        <f t="shared" si="26"/>
        <v>278123.18186400027</v>
      </c>
      <c r="N91" s="12">
        <f t="shared" si="27"/>
        <v>0.95996019825207513</v>
      </c>
      <c r="O91" s="12">
        <f t="shared" si="28"/>
        <v>0.52333207809897586</v>
      </c>
      <c r="P91" s="13">
        <f t="shared" si="29"/>
        <v>0.43662812015309926</v>
      </c>
      <c r="Q91" s="3">
        <v>9.2000000000000096E-2</v>
      </c>
      <c r="U91" s="31">
        <f t="shared" si="15"/>
        <v>0.99482674999999987</v>
      </c>
    </row>
    <row r="92" spans="3:21" x14ac:dyDescent="0.2">
      <c r="C92" s="12">
        <f t="shared" si="16"/>
        <v>694.72919520000062</v>
      </c>
      <c r="D92" s="13">
        <f t="shared" si="17"/>
        <v>51.454110000000036</v>
      </c>
      <c r="E92" s="12">
        <f t="shared" si="18"/>
        <v>-3.8661495000000698</v>
      </c>
      <c r="F92" s="12">
        <f t="shared" si="19"/>
        <v>186.76650600000022</v>
      </c>
      <c r="G92" s="12">
        <f t="shared" si="20"/>
        <v>756.35839800000076</v>
      </c>
      <c r="H92" s="12">
        <f t="shared" si="21"/>
        <v>10239.36789</v>
      </c>
      <c r="I92" s="12">
        <f t="shared" si="22"/>
        <v>50.939568900000097</v>
      </c>
      <c r="J92" s="22">
        <f t="shared" si="23"/>
        <v>266761.58814852021</v>
      </c>
      <c r="K92" s="22">
        <f t="shared" si="24"/>
        <v>256077.18135072023</v>
      </c>
      <c r="L92" s="22">
        <f t="shared" si="25"/>
        <v>10684.40679779998</v>
      </c>
      <c r="M92" s="22">
        <f t="shared" si="26"/>
        <v>281595.20309280028</v>
      </c>
      <c r="N92" s="12">
        <f t="shared" si="27"/>
        <v>0.95994773133584954</v>
      </c>
      <c r="O92" s="12">
        <f t="shared" si="28"/>
        <v>0.5237300840441067</v>
      </c>
      <c r="P92" s="13">
        <f t="shared" si="29"/>
        <v>0.43621764729174284</v>
      </c>
      <c r="Q92" s="5">
        <v>9.3000000000000096E-2</v>
      </c>
      <c r="U92" s="31">
        <f t="shared" si="15"/>
        <v>0.99482674999999987</v>
      </c>
    </row>
    <row r="93" spans="3:21" x14ac:dyDescent="0.2">
      <c r="C93" s="12">
        <f t="shared" si="16"/>
        <v>702.19940160000067</v>
      </c>
      <c r="D93" s="13">
        <f t="shared" si="17"/>
        <v>51.397380000000041</v>
      </c>
      <c r="E93" s="12">
        <f t="shared" si="18"/>
        <v>-3.9228795000000645</v>
      </c>
      <c r="F93" s="12">
        <f t="shared" si="19"/>
        <v>188.77474800000024</v>
      </c>
      <c r="G93" s="12">
        <f t="shared" si="20"/>
        <v>765.69615600000077</v>
      </c>
      <c r="H93" s="12">
        <f t="shared" si="21"/>
        <v>10228.078619999998</v>
      </c>
      <c r="I93" s="12">
        <f t="shared" si="22"/>
        <v>50.883406200000103</v>
      </c>
      <c r="J93" s="22">
        <f t="shared" si="23"/>
        <v>269633.41947906028</v>
      </c>
      <c r="K93" s="22">
        <f t="shared" si="24"/>
        <v>258830.69942976025</v>
      </c>
      <c r="L93" s="22">
        <f t="shared" si="25"/>
        <v>10802.720049300027</v>
      </c>
      <c r="M93" s="22">
        <f t="shared" si="26"/>
        <v>285067.22432160034</v>
      </c>
      <c r="N93" s="12">
        <f t="shared" si="27"/>
        <v>0.95993552998670861</v>
      </c>
      <c r="O93" s="12">
        <f t="shared" si="28"/>
        <v>0.52411897871468427</v>
      </c>
      <c r="P93" s="13">
        <f t="shared" si="29"/>
        <v>0.43581655127202434</v>
      </c>
      <c r="Q93" s="3">
        <v>9.4000000000000097E-2</v>
      </c>
      <c r="U93" s="31">
        <f t="shared" si="15"/>
        <v>0.99482674999999987</v>
      </c>
    </row>
    <row r="94" spans="3:21" x14ac:dyDescent="0.2">
      <c r="C94" s="12">
        <f t="shared" si="16"/>
        <v>709.66960800000061</v>
      </c>
      <c r="D94" s="13">
        <f t="shared" si="17"/>
        <v>51.340650000000046</v>
      </c>
      <c r="E94" s="12">
        <f t="shared" si="18"/>
        <v>-3.9796095000000662</v>
      </c>
      <c r="F94" s="12">
        <f t="shared" si="19"/>
        <v>190.78299000000024</v>
      </c>
      <c r="G94" s="12">
        <f t="shared" si="20"/>
        <v>775.03391400000078</v>
      </c>
      <c r="H94" s="12">
        <f t="shared" si="21"/>
        <v>10216.789349999999</v>
      </c>
      <c r="I94" s="12">
        <f t="shared" si="22"/>
        <v>50.827243500000094</v>
      </c>
      <c r="J94" s="22">
        <f t="shared" si="23"/>
        <v>272505.25080960023</v>
      </c>
      <c r="K94" s="22">
        <f t="shared" si="24"/>
        <v>261584.21750880024</v>
      </c>
      <c r="L94" s="22">
        <f t="shared" si="25"/>
        <v>10921.033300799987</v>
      </c>
      <c r="M94" s="22">
        <f t="shared" si="26"/>
        <v>288539.24555040034</v>
      </c>
      <c r="N94" s="12">
        <f t="shared" si="27"/>
        <v>0.95992358580851522</v>
      </c>
      <c r="O94" s="12">
        <f t="shared" si="28"/>
        <v>0.52449907143725971</v>
      </c>
      <c r="P94" s="13">
        <f t="shared" si="29"/>
        <v>0.43542451437125551</v>
      </c>
      <c r="Q94" s="5">
        <v>9.5000000000000098E-2</v>
      </c>
      <c r="U94" s="31">
        <f t="shared" si="15"/>
        <v>0.99482674999999987</v>
      </c>
    </row>
    <row r="95" spans="3:21" x14ac:dyDescent="0.2">
      <c r="C95" s="12">
        <f t="shared" si="16"/>
        <v>717.13981440000066</v>
      </c>
      <c r="D95" s="13">
        <f t="shared" si="17"/>
        <v>51.283920000000037</v>
      </c>
      <c r="E95" s="12">
        <f t="shared" si="18"/>
        <v>-4.0363395000000608</v>
      </c>
      <c r="F95" s="12">
        <f t="shared" si="19"/>
        <v>192.79123200000024</v>
      </c>
      <c r="G95" s="12">
        <f t="shared" si="20"/>
        <v>784.37167200000079</v>
      </c>
      <c r="H95" s="12">
        <f t="shared" si="21"/>
        <v>10205.50008</v>
      </c>
      <c r="I95" s="12">
        <f t="shared" si="22"/>
        <v>50.771080800000099</v>
      </c>
      <c r="J95" s="22">
        <f t="shared" si="23"/>
        <v>275377.08214014024</v>
      </c>
      <c r="K95" s="22">
        <f t="shared" si="24"/>
        <v>264337.73558784026</v>
      </c>
      <c r="L95" s="22">
        <f t="shared" si="25"/>
        <v>11039.346552299976</v>
      </c>
      <c r="M95" s="22">
        <f t="shared" si="26"/>
        <v>292011.26677920029</v>
      </c>
      <c r="N95" s="12">
        <f t="shared" si="27"/>
        <v>0.95991189075537509</v>
      </c>
      <c r="O95" s="12">
        <f t="shared" si="28"/>
        <v>0.52487065769294117</v>
      </c>
      <c r="P95" s="13">
        <f t="shared" si="29"/>
        <v>0.43504123306243392</v>
      </c>
      <c r="Q95" s="3">
        <v>9.6000000000000099E-2</v>
      </c>
      <c r="U95" s="31">
        <f t="shared" si="15"/>
        <v>0.99482674999999987</v>
      </c>
    </row>
    <row r="96" spans="3:21" x14ac:dyDescent="0.2">
      <c r="C96" s="12">
        <f t="shared" si="16"/>
        <v>724.61002080000071</v>
      </c>
      <c r="D96" s="13">
        <f t="shared" si="17"/>
        <v>51.227190000000036</v>
      </c>
      <c r="E96" s="12">
        <f t="shared" si="18"/>
        <v>-4.0930695000000696</v>
      </c>
      <c r="F96" s="12">
        <f t="shared" si="19"/>
        <v>194.79947400000023</v>
      </c>
      <c r="G96" s="12">
        <f t="shared" si="20"/>
        <v>793.70943000000079</v>
      </c>
      <c r="H96" s="12">
        <f t="shared" si="21"/>
        <v>10194.210809999999</v>
      </c>
      <c r="I96" s="12">
        <f t="shared" si="22"/>
        <v>50.714918100000091</v>
      </c>
      <c r="J96" s="22">
        <f t="shared" si="23"/>
        <v>278248.91347068024</v>
      </c>
      <c r="K96" s="22">
        <f t="shared" si="24"/>
        <v>267091.25366688031</v>
      </c>
      <c r="L96" s="22">
        <f t="shared" si="25"/>
        <v>11157.659803799936</v>
      </c>
      <c r="M96" s="22">
        <f t="shared" si="26"/>
        <v>295483.28800800029</v>
      </c>
      <c r="N96" s="12">
        <f t="shared" si="27"/>
        <v>0.95990043711356432</v>
      </c>
      <c r="O96" s="12">
        <f t="shared" si="28"/>
        <v>0.52523401988347362</v>
      </c>
      <c r="P96" s="13">
        <f t="shared" si="29"/>
        <v>0.4346664172300907</v>
      </c>
      <c r="Q96" s="5">
        <v>9.70000000000001E-2</v>
      </c>
      <c r="U96" s="31">
        <f t="shared" si="15"/>
        <v>0.99482674999999987</v>
      </c>
    </row>
    <row r="97" spans="3:21" x14ac:dyDescent="0.2">
      <c r="C97" s="12">
        <f t="shared" si="16"/>
        <v>732.08022720000065</v>
      </c>
      <c r="D97" s="13">
        <f t="shared" si="17"/>
        <v>51.170460000000041</v>
      </c>
      <c r="E97" s="12">
        <f t="shared" si="18"/>
        <v>-4.1497995000000643</v>
      </c>
      <c r="F97" s="12">
        <f t="shared" si="19"/>
        <v>196.80771600000023</v>
      </c>
      <c r="G97" s="12">
        <f t="shared" si="20"/>
        <v>803.0471880000008</v>
      </c>
      <c r="H97" s="12">
        <f t="shared" si="21"/>
        <v>10182.921539999999</v>
      </c>
      <c r="I97" s="12">
        <f t="shared" si="22"/>
        <v>50.658755400000096</v>
      </c>
      <c r="J97" s="22">
        <f t="shared" si="23"/>
        <v>281120.74480122025</v>
      </c>
      <c r="K97" s="22">
        <f t="shared" si="24"/>
        <v>269844.77174592024</v>
      </c>
      <c r="L97" s="22">
        <f t="shared" si="25"/>
        <v>11275.973055300012</v>
      </c>
      <c r="M97" s="22">
        <f t="shared" si="26"/>
        <v>298955.3092368003</v>
      </c>
      <c r="N97" s="12">
        <f t="shared" si="27"/>
        <v>0.95988921748456091</v>
      </c>
      <c r="O97" s="12">
        <f t="shared" si="28"/>
        <v>0.5255894280470087</v>
      </c>
      <c r="P97" s="13">
        <f t="shared" si="29"/>
        <v>0.43429978943755221</v>
      </c>
      <c r="Q97" s="3">
        <v>9.8000000000000101E-2</v>
      </c>
      <c r="U97" s="31">
        <f t="shared" si="15"/>
        <v>0.99482674999999987</v>
      </c>
    </row>
    <row r="98" spans="3:21" x14ac:dyDescent="0.2">
      <c r="C98" s="12">
        <f t="shared" si="16"/>
        <v>739.5504336000007</v>
      </c>
      <c r="D98" s="13">
        <f t="shared" si="17"/>
        <v>51.113730000000047</v>
      </c>
      <c r="E98" s="12">
        <f t="shared" si="18"/>
        <v>-4.206529500000066</v>
      </c>
      <c r="F98" s="12">
        <f t="shared" si="19"/>
        <v>198.81595800000022</v>
      </c>
      <c r="G98" s="12">
        <f t="shared" si="20"/>
        <v>812.38494600000081</v>
      </c>
      <c r="H98" s="12">
        <f t="shared" si="21"/>
        <v>10171.63227</v>
      </c>
      <c r="I98" s="12">
        <f t="shared" si="22"/>
        <v>50.602592700000095</v>
      </c>
      <c r="J98" s="22">
        <f t="shared" si="23"/>
        <v>283992.57613176032</v>
      </c>
      <c r="K98" s="22">
        <f t="shared" si="24"/>
        <v>272598.28982496029</v>
      </c>
      <c r="L98" s="22">
        <f t="shared" si="25"/>
        <v>11394.28630680003</v>
      </c>
      <c r="M98" s="22">
        <f t="shared" si="26"/>
        <v>302427.33046560036</v>
      </c>
      <c r="N98" s="12">
        <f t="shared" si="27"/>
        <v>0.95987822476910956</v>
      </c>
      <c r="O98" s="12">
        <f t="shared" si="28"/>
        <v>0.52593714052737983</v>
      </c>
      <c r="P98" s="13">
        <f t="shared" si="29"/>
        <v>0.43394108424172972</v>
      </c>
      <c r="Q98" s="5">
        <v>9.9000000000000102E-2</v>
      </c>
      <c r="U98" s="31">
        <f t="shared" si="15"/>
        <v>0.99482674999999987</v>
      </c>
    </row>
    <row r="99" spans="3:21" x14ac:dyDescent="0.2">
      <c r="C99" s="12">
        <f t="shared" si="16"/>
        <v>747.02064000000007</v>
      </c>
      <c r="D99" s="13">
        <f t="shared" si="17"/>
        <v>51.057000000000045</v>
      </c>
      <c r="E99" s="12">
        <f t="shared" si="18"/>
        <v>-4.2632595000000606</v>
      </c>
      <c r="F99" s="12">
        <f t="shared" si="19"/>
        <v>200.82420000000008</v>
      </c>
      <c r="G99" s="12">
        <f t="shared" si="20"/>
        <v>821.72270400000002</v>
      </c>
      <c r="H99" s="12">
        <f t="shared" si="21"/>
        <v>10160.342999999999</v>
      </c>
      <c r="I99" s="12">
        <f t="shared" si="22"/>
        <v>50.5464300000001</v>
      </c>
      <c r="J99" s="22">
        <f t="shared" si="23"/>
        <v>286864.40746229998</v>
      </c>
      <c r="K99" s="22">
        <f t="shared" si="24"/>
        <v>275351.80790400004</v>
      </c>
      <c r="L99" s="22">
        <f t="shared" si="25"/>
        <v>11512.599558299931</v>
      </c>
      <c r="M99" s="22">
        <f t="shared" si="26"/>
        <v>305899.35169440001</v>
      </c>
      <c r="N99" s="12">
        <f t="shared" si="27"/>
        <v>0.95986745215224045</v>
      </c>
      <c r="O99" s="12">
        <f t="shared" si="28"/>
        <v>0.52627740460036754</v>
      </c>
      <c r="P99" s="13">
        <f t="shared" si="29"/>
        <v>0.43359004755187291</v>
      </c>
      <c r="Q99" s="3">
        <v>0.1</v>
      </c>
      <c r="U99" s="31">
        <f t="shared" si="15"/>
        <v>0.99482674999999987</v>
      </c>
    </row>
    <row r="100" spans="3:21" x14ac:dyDescent="0.2">
      <c r="C100" s="12">
        <f t="shared" si="16"/>
        <v>754.49084640000001</v>
      </c>
      <c r="D100" s="13">
        <f t="shared" si="17"/>
        <v>51.00027000000005</v>
      </c>
      <c r="E100" s="12">
        <f t="shared" si="18"/>
        <v>-4.3199895000000623</v>
      </c>
      <c r="F100" s="12">
        <f t="shared" si="19"/>
        <v>202.83244200000007</v>
      </c>
      <c r="G100" s="12">
        <f t="shared" si="20"/>
        <v>831.06046200000003</v>
      </c>
      <c r="H100" s="12">
        <f t="shared" si="21"/>
        <v>10149.05373</v>
      </c>
      <c r="I100" s="12">
        <f t="shared" si="22"/>
        <v>50.490267300000099</v>
      </c>
      <c r="J100" s="22">
        <f t="shared" si="23"/>
        <v>289736.23879284004</v>
      </c>
      <c r="K100" s="22">
        <f t="shared" si="24"/>
        <v>278105.32598304003</v>
      </c>
      <c r="L100" s="22">
        <f t="shared" si="25"/>
        <v>11630.912809800007</v>
      </c>
      <c r="M100" s="22">
        <f t="shared" si="26"/>
        <v>309371.37292320002</v>
      </c>
      <c r="N100" s="12">
        <f t="shared" si="27"/>
        <v>0.95985689308917943</v>
      </c>
      <c r="O100" s="12">
        <f t="shared" si="28"/>
        <v>0.52661045706014464</v>
      </c>
      <c r="P100" s="13">
        <f t="shared" si="29"/>
        <v>0.43324643602903479</v>
      </c>
      <c r="Q100" s="5">
        <v>0.10100000000000001</v>
      </c>
      <c r="U100" s="31">
        <f t="shared" si="15"/>
        <v>0.99482674999999987</v>
      </c>
    </row>
    <row r="101" spans="3:21" x14ac:dyDescent="0.2">
      <c r="C101" s="12">
        <f t="shared" si="16"/>
        <v>761.96105279999995</v>
      </c>
      <c r="D101" s="13">
        <f t="shared" si="17"/>
        <v>50.943540000000048</v>
      </c>
      <c r="E101" s="12">
        <f t="shared" si="18"/>
        <v>-4.3767195000000569</v>
      </c>
      <c r="F101" s="12">
        <f t="shared" si="19"/>
        <v>204.84068400000004</v>
      </c>
      <c r="G101" s="12">
        <f t="shared" si="20"/>
        <v>840.39821999999992</v>
      </c>
      <c r="H101" s="12">
        <f t="shared" si="21"/>
        <v>10137.76446</v>
      </c>
      <c r="I101" s="12">
        <f t="shared" si="22"/>
        <v>50.434104600000104</v>
      </c>
      <c r="J101" s="22">
        <f t="shared" si="23"/>
        <v>292608.07012338005</v>
      </c>
      <c r="K101" s="22">
        <f t="shared" si="24"/>
        <v>280858.84406208002</v>
      </c>
      <c r="L101" s="22">
        <f t="shared" si="25"/>
        <v>11749.226061300025</v>
      </c>
      <c r="M101" s="22">
        <f t="shared" si="26"/>
        <v>312843.39415199996</v>
      </c>
      <c r="N101" s="12">
        <f t="shared" si="27"/>
        <v>0.95984654129209124</v>
      </c>
      <c r="O101" s="12">
        <f t="shared" si="28"/>
        <v>0.52693652476882424</v>
      </c>
      <c r="P101" s="13">
        <f t="shared" si="29"/>
        <v>0.43291001652326699</v>
      </c>
      <c r="Q101" s="3">
        <v>0.10199999999999999</v>
      </c>
      <c r="U101" s="31">
        <f t="shared" si="15"/>
        <v>0.99482674999999987</v>
      </c>
    </row>
    <row r="102" spans="3:21" x14ac:dyDescent="0.2">
      <c r="C102" s="12">
        <f t="shared" si="16"/>
        <v>769.4312592</v>
      </c>
      <c r="D102" s="13">
        <f t="shared" si="17"/>
        <v>50.88681000000004</v>
      </c>
      <c r="E102" s="12">
        <f t="shared" si="18"/>
        <v>-4.4334495000000587</v>
      </c>
      <c r="F102" s="12">
        <f t="shared" si="19"/>
        <v>206.84892600000003</v>
      </c>
      <c r="G102" s="12">
        <f t="shared" si="20"/>
        <v>849.73597799999993</v>
      </c>
      <c r="H102" s="12">
        <f t="shared" si="21"/>
        <v>10126.475190000001</v>
      </c>
      <c r="I102" s="12">
        <f t="shared" si="22"/>
        <v>50.377941900000103</v>
      </c>
      <c r="J102" s="22">
        <f t="shared" si="23"/>
        <v>295479.90145392</v>
      </c>
      <c r="K102" s="22">
        <f t="shared" si="24"/>
        <v>283612.36214112001</v>
      </c>
      <c r="L102" s="22">
        <f t="shared" si="25"/>
        <v>11867.539312799985</v>
      </c>
      <c r="M102" s="22">
        <f t="shared" si="26"/>
        <v>316315.41538079997</v>
      </c>
      <c r="N102" s="12">
        <f t="shared" si="27"/>
        <v>0.95983639071759086</v>
      </c>
      <c r="O102" s="12">
        <f t="shared" si="28"/>
        <v>0.52725582517179337</v>
      </c>
      <c r="P102" s="13">
        <f t="shared" si="29"/>
        <v>0.43258056554579749</v>
      </c>
      <c r="Q102" s="5">
        <v>0.10299999999999999</v>
      </c>
      <c r="U102" s="31">
        <f t="shared" si="15"/>
        <v>0.99482674999999987</v>
      </c>
    </row>
    <row r="103" spans="3:21" x14ac:dyDescent="0.2">
      <c r="C103" s="12">
        <f t="shared" si="16"/>
        <v>776.90146559999994</v>
      </c>
      <c r="D103" s="13">
        <f t="shared" si="17"/>
        <v>50.830080000000045</v>
      </c>
      <c r="E103" s="12">
        <f t="shared" si="18"/>
        <v>-4.4901795000000604</v>
      </c>
      <c r="F103" s="12">
        <f t="shared" si="19"/>
        <v>208.85716800000003</v>
      </c>
      <c r="G103" s="12">
        <f t="shared" si="20"/>
        <v>859.07373599999994</v>
      </c>
      <c r="H103" s="12">
        <f t="shared" si="21"/>
        <v>10115.18592</v>
      </c>
      <c r="I103" s="12">
        <f t="shared" si="22"/>
        <v>50.321779200000108</v>
      </c>
      <c r="J103" s="22">
        <f t="shared" si="23"/>
        <v>298351.73278445995</v>
      </c>
      <c r="K103" s="22">
        <f t="shared" si="24"/>
        <v>286365.88022016</v>
      </c>
      <c r="L103" s="22">
        <f t="shared" si="25"/>
        <v>11985.852564299945</v>
      </c>
      <c r="M103" s="22">
        <f t="shared" si="26"/>
        <v>319787.43660960003</v>
      </c>
      <c r="N103" s="12">
        <f t="shared" si="27"/>
        <v>0.95982643555497982</v>
      </c>
      <c r="O103" s="12">
        <f t="shared" si="28"/>
        <v>0.52756856678128716</v>
      </c>
      <c r="P103" s="13">
        <f t="shared" si="29"/>
        <v>0.43225786877369266</v>
      </c>
      <c r="Q103" s="3">
        <v>0.104</v>
      </c>
      <c r="U103" s="31">
        <f t="shared" si="15"/>
        <v>0.99482674999999987</v>
      </c>
    </row>
    <row r="104" spans="3:21" x14ac:dyDescent="0.2">
      <c r="C104" s="12">
        <f t="shared" si="16"/>
        <v>784.37167199999999</v>
      </c>
      <c r="D104" s="13">
        <f t="shared" si="17"/>
        <v>50.77335000000005</v>
      </c>
      <c r="E104" s="12">
        <f t="shared" si="18"/>
        <v>-4.5469095000000621</v>
      </c>
      <c r="F104" s="12">
        <f t="shared" si="19"/>
        <v>210.86541000000005</v>
      </c>
      <c r="G104" s="12">
        <f t="shared" si="20"/>
        <v>868.41149399999995</v>
      </c>
      <c r="H104" s="12">
        <f t="shared" si="21"/>
        <v>10103.896650000001</v>
      </c>
      <c r="I104" s="12">
        <f t="shared" si="22"/>
        <v>50.2656165000001</v>
      </c>
      <c r="J104" s="22">
        <f t="shared" si="23"/>
        <v>301223.56411500002</v>
      </c>
      <c r="K104" s="22">
        <f t="shared" si="24"/>
        <v>289119.39829919999</v>
      </c>
      <c r="L104" s="22">
        <f t="shared" si="25"/>
        <v>12104.165815800021</v>
      </c>
      <c r="M104" s="22">
        <f t="shared" si="26"/>
        <v>323259.45783840003</v>
      </c>
      <c r="N104" s="12">
        <f t="shared" si="27"/>
        <v>0.95981667021515304</v>
      </c>
      <c r="O104" s="12">
        <f t="shared" si="28"/>
        <v>0.52787494963046933</v>
      </c>
      <c r="P104" s="13">
        <f t="shared" si="29"/>
        <v>0.43194172058468372</v>
      </c>
      <c r="Q104" s="5">
        <v>0.105</v>
      </c>
      <c r="U104" s="31">
        <f t="shared" si="15"/>
        <v>0.99482674999999987</v>
      </c>
    </row>
    <row r="105" spans="3:21" x14ac:dyDescent="0.2">
      <c r="C105" s="12">
        <f t="shared" si="16"/>
        <v>791.84187840000004</v>
      </c>
      <c r="D105" s="13">
        <f t="shared" si="17"/>
        <v>50.716620000000049</v>
      </c>
      <c r="E105" s="12">
        <f t="shared" si="18"/>
        <v>-4.6036395000000567</v>
      </c>
      <c r="F105" s="12">
        <f t="shared" si="19"/>
        <v>212.87365200000005</v>
      </c>
      <c r="G105" s="12">
        <f t="shared" si="20"/>
        <v>877.74925199999996</v>
      </c>
      <c r="H105" s="12">
        <f t="shared" si="21"/>
        <v>10092.607380000001</v>
      </c>
      <c r="I105" s="12">
        <f t="shared" si="22"/>
        <v>50.209453800000105</v>
      </c>
      <c r="J105" s="22">
        <f t="shared" si="23"/>
        <v>304095.39544554002</v>
      </c>
      <c r="K105" s="22">
        <f t="shared" si="24"/>
        <v>291872.91637824004</v>
      </c>
      <c r="L105" s="22">
        <f t="shared" si="25"/>
        <v>12222.479067299981</v>
      </c>
      <c r="M105" s="22">
        <f t="shared" si="26"/>
        <v>326731.47906719998</v>
      </c>
      <c r="N105" s="12">
        <f t="shared" si="27"/>
        <v>0.9598070893201377</v>
      </c>
      <c r="O105" s="12">
        <f t="shared" si="28"/>
        <v>0.52817516570009115</v>
      </c>
      <c r="P105" s="13">
        <f t="shared" si="29"/>
        <v>0.43163192362004654</v>
      </c>
      <c r="Q105" s="3">
        <v>0.106</v>
      </c>
      <c r="U105" s="31">
        <f t="shared" si="15"/>
        <v>0.99482674999999987</v>
      </c>
    </row>
    <row r="106" spans="3:21" x14ac:dyDescent="0.2">
      <c r="C106" s="12">
        <f t="shared" si="16"/>
        <v>799.31208479999998</v>
      </c>
      <c r="D106" s="13">
        <f t="shared" si="17"/>
        <v>50.65989000000004</v>
      </c>
      <c r="E106" s="12">
        <f t="shared" si="18"/>
        <v>-4.6603695000000585</v>
      </c>
      <c r="F106" s="12">
        <f t="shared" si="19"/>
        <v>214.88189400000005</v>
      </c>
      <c r="G106" s="12">
        <f t="shared" si="20"/>
        <v>887.08700999999996</v>
      </c>
      <c r="H106" s="12">
        <f t="shared" si="21"/>
        <v>10081.31811</v>
      </c>
      <c r="I106" s="12">
        <f t="shared" si="22"/>
        <v>50.153291100000111</v>
      </c>
      <c r="J106" s="22">
        <f t="shared" si="23"/>
        <v>306967.22677607997</v>
      </c>
      <c r="K106" s="22">
        <f t="shared" si="24"/>
        <v>294626.43445728003</v>
      </c>
      <c r="L106" s="22">
        <f t="shared" si="25"/>
        <v>12340.79231879994</v>
      </c>
      <c r="M106" s="22">
        <f t="shared" si="26"/>
        <v>330203.50029599998</v>
      </c>
      <c r="N106" s="12">
        <f t="shared" si="27"/>
        <v>0.95979768769321405</v>
      </c>
      <c r="O106" s="12">
        <f t="shared" si="28"/>
        <v>0.52846939931964676</v>
      </c>
      <c r="P106" s="13">
        <f t="shared" si="29"/>
        <v>0.43132828837356729</v>
      </c>
      <c r="Q106" s="5">
        <v>0.107</v>
      </c>
      <c r="U106" s="31">
        <f t="shared" si="15"/>
        <v>0.99482674999999987</v>
      </c>
    </row>
    <row r="107" spans="3:21" x14ac:dyDescent="0.2">
      <c r="C107" s="12">
        <f t="shared" si="16"/>
        <v>806.78229119999992</v>
      </c>
      <c r="D107" s="13">
        <f t="shared" si="17"/>
        <v>50.603160000000045</v>
      </c>
      <c r="E107" s="12">
        <f t="shared" si="18"/>
        <v>-4.7170995000000602</v>
      </c>
      <c r="F107" s="12">
        <f t="shared" si="19"/>
        <v>216.89013600000004</v>
      </c>
      <c r="G107" s="12">
        <f t="shared" si="20"/>
        <v>896.42476799999986</v>
      </c>
      <c r="H107" s="12">
        <f t="shared" si="21"/>
        <v>10070.028840000001</v>
      </c>
      <c r="I107" s="12">
        <f t="shared" si="22"/>
        <v>50.097128400000102</v>
      </c>
      <c r="J107" s="22">
        <f t="shared" si="23"/>
        <v>309839.05810661992</v>
      </c>
      <c r="K107" s="22">
        <f t="shared" si="24"/>
        <v>297379.95253631996</v>
      </c>
      <c r="L107" s="22">
        <f t="shared" si="25"/>
        <v>12459.105570299958</v>
      </c>
      <c r="M107" s="22">
        <f t="shared" si="26"/>
        <v>333675.52152479999</v>
      </c>
      <c r="N107" s="12">
        <f t="shared" si="27"/>
        <v>0.9597884603495902</v>
      </c>
      <c r="O107" s="12">
        <f t="shared" si="28"/>
        <v>0.52875782754478151</v>
      </c>
      <c r="P107" s="13">
        <f t="shared" si="29"/>
        <v>0.43103063280480869</v>
      </c>
      <c r="Q107" s="3">
        <v>0.108</v>
      </c>
      <c r="U107" s="31">
        <f t="shared" si="15"/>
        <v>0.99482674999999987</v>
      </c>
    </row>
    <row r="108" spans="3:21" x14ac:dyDescent="0.2">
      <c r="C108" s="12">
        <f t="shared" si="16"/>
        <v>814.25249759999997</v>
      </c>
      <c r="D108" s="13">
        <f t="shared" si="17"/>
        <v>50.546430000000043</v>
      </c>
      <c r="E108" s="12">
        <f t="shared" si="18"/>
        <v>-4.7738295000000619</v>
      </c>
      <c r="F108" s="12">
        <f t="shared" si="19"/>
        <v>218.89837800000004</v>
      </c>
      <c r="G108" s="12">
        <f t="shared" si="20"/>
        <v>905.76252599999987</v>
      </c>
      <c r="H108" s="12">
        <f t="shared" si="21"/>
        <v>10058.73957</v>
      </c>
      <c r="I108" s="12">
        <f t="shared" si="22"/>
        <v>50.040965700000093</v>
      </c>
      <c r="J108" s="22">
        <f t="shared" si="23"/>
        <v>312710.88943715999</v>
      </c>
      <c r="K108" s="22">
        <f t="shared" si="24"/>
        <v>300133.47061536001</v>
      </c>
      <c r="L108" s="22">
        <f t="shared" si="25"/>
        <v>12577.418821799976</v>
      </c>
      <c r="M108" s="22">
        <f t="shared" si="26"/>
        <v>337147.54275359999</v>
      </c>
      <c r="N108" s="12">
        <f t="shared" si="27"/>
        <v>0.95977940248758931</v>
      </c>
      <c r="O108" s="12">
        <f t="shared" si="28"/>
        <v>0.52904062051257938</v>
      </c>
      <c r="P108" s="13">
        <f t="shared" si="29"/>
        <v>0.43073878197500992</v>
      </c>
      <c r="Q108" s="5">
        <v>0.109</v>
      </c>
      <c r="U108" s="31">
        <f t="shared" si="15"/>
        <v>0.99482674999999987</v>
      </c>
    </row>
    <row r="109" spans="3:21" x14ac:dyDescent="0.2">
      <c r="C109" s="12">
        <f t="shared" si="16"/>
        <v>821.72270400000002</v>
      </c>
      <c r="D109" s="13">
        <f t="shared" si="17"/>
        <v>50.489700000000049</v>
      </c>
      <c r="E109" s="12">
        <f t="shared" si="18"/>
        <v>-4.8305595000000565</v>
      </c>
      <c r="F109" s="12">
        <f t="shared" si="19"/>
        <v>220.90662000000006</v>
      </c>
      <c r="G109" s="12">
        <f t="shared" si="20"/>
        <v>915.10028399999999</v>
      </c>
      <c r="H109" s="12">
        <f t="shared" si="21"/>
        <v>10047.4503</v>
      </c>
      <c r="I109" s="12">
        <f t="shared" si="22"/>
        <v>49.984803000000106</v>
      </c>
      <c r="J109" s="22">
        <f t="shared" si="23"/>
        <v>315582.7207677</v>
      </c>
      <c r="K109" s="22">
        <f t="shared" si="24"/>
        <v>302886.9886944</v>
      </c>
      <c r="L109" s="22">
        <f t="shared" si="25"/>
        <v>12695.732073299994</v>
      </c>
      <c r="M109" s="22">
        <f t="shared" si="26"/>
        <v>340619.5639824</v>
      </c>
      <c r="N109" s="12">
        <f t="shared" si="27"/>
        <v>0.95977050948031684</v>
      </c>
      <c r="O109" s="12">
        <f t="shared" si="28"/>
        <v>0.5293179417762286</v>
      </c>
      <c r="P109" s="13">
        <f t="shared" si="29"/>
        <v>0.43045256770408824</v>
      </c>
      <c r="Q109" s="3">
        <v>0.11</v>
      </c>
      <c r="U109" s="31">
        <f t="shared" si="15"/>
        <v>0.99482674999999987</v>
      </c>
    </row>
    <row r="110" spans="3:21" x14ac:dyDescent="0.2">
      <c r="C110" s="12">
        <f t="shared" si="16"/>
        <v>829.19291039999996</v>
      </c>
      <c r="D110" s="13">
        <f t="shared" si="17"/>
        <v>50.43297000000004</v>
      </c>
      <c r="E110" s="12">
        <f t="shared" si="18"/>
        <v>-4.8872895000000582</v>
      </c>
      <c r="F110" s="12">
        <f t="shared" si="19"/>
        <v>222.91486200000006</v>
      </c>
      <c r="G110" s="12">
        <f t="shared" si="20"/>
        <v>924.43804199999988</v>
      </c>
      <c r="H110" s="12">
        <f t="shared" si="21"/>
        <v>10036.161029999999</v>
      </c>
      <c r="I110" s="12">
        <f t="shared" si="22"/>
        <v>49.928640300000104</v>
      </c>
      <c r="J110" s="22">
        <f t="shared" si="23"/>
        <v>318454.55209823995</v>
      </c>
      <c r="K110" s="22">
        <f t="shared" si="24"/>
        <v>305640.50677343999</v>
      </c>
      <c r="L110" s="22">
        <f t="shared" si="25"/>
        <v>12814.045324799954</v>
      </c>
      <c r="M110" s="22">
        <f t="shared" si="26"/>
        <v>344091.58521119994</v>
      </c>
      <c r="N110" s="12">
        <f t="shared" si="27"/>
        <v>0.95976177686778064</v>
      </c>
      <c r="O110" s="12">
        <f t="shared" si="28"/>
        <v>0.52958994862044539</v>
      </c>
      <c r="P110" s="13">
        <f t="shared" si="29"/>
        <v>0.43017182824733524</v>
      </c>
      <c r="Q110" s="5">
        <v>0.111</v>
      </c>
      <c r="U110" s="31">
        <f t="shared" si="15"/>
        <v>0.99482674999999987</v>
      </c>
    </row>
    <row r="111" spans="3:21" x14ac:dyDescent="0.2">
      <c r="C111" s="12">
        <f t="shared" si="16"/>
        <v>836.66311680000001</v>
      </c>
      <c r="D111" s="13">
        <f t="shared" si="17"/>
        <v>50.376240000000045</v>
      </c>
      <c r="E111" s="12">
        <f t="shared" si="18"/>
        <v>-4.94401950000006</v>
      </c>
      <c r="F111" s="12">
        <f t="shared" si="19"/>
        <v>224.92310400000005</v>
      </c>
      <c r="G111" s="12">
        <f t="shared" si="20"/>
        <v>933.7758</v>
      </c>
      <c r="H111" s="12">
        <f t="shared" si="21"/>
        <v>10024.87176</v>
      </c>
      <c r="I111" s="12">
        <f t="shared" si="22"/>
        <v>49.872477600000103</v>
      </c>
      <c r="J111" s="22">
        <f t="shared" si="23"/>
        <v>321326.38342878001</v>
      </c>
      <c r="K111" s="22">
        <f t="shared" si="24"/>
        <v>308394.02485248004</v>
      </c>
      <c r="L111" s="22">
        <f t="shared" si="25"/>
        <v>12932.358576299972</v>
      </c>
      <c r="M111" s="22">
        <f t="shared" si="26"/>
        <v>347563.60644</v>
      </c>
      <c r="N111" s="12">
        <f t="shared" si="27"/>
        <v>0.95975320034943112</v>
      </c>
      <c r="O111" s="12">
        <f t="shared" si="28"/>
        <v>0.52985679235893735</v>
      </c>
      <c r="P111" s="13">
        <f t="shared" si="29"/>
        <v>0.42989640799049378</v>
      </c>
      <c r="Q111" s="3">
        <v>0.112</v>
      </c>
      <c r="U111" s="31">
        <f t="shared" si="15"/>
        <v>0.99482674999999987</v>
      </c>
    </row>
    <row r="112" spans="3:21" x14ac:dyDescent="0.2">
      <c r="C112" s="12">
        <f t="shared" si="16"/>
        <v>844.13332319999995</v>
      </c>
      <c r="D112" s="13">
        <f t="shared" si="17"/>
        <v>50.319510000000044</v>
      </c>
      <c r="E112" s="12">
        <f t="shared" si="18"/>
        <v>-5.0007495000000617</v>
      </c>
      <c r="F112" s="12">
        <f t="shared" si="19"/>
        <v>226.93134600000005</v>
      </c>
      <c r="G112" s="12">
        <f t="shared" si="20"/>
        <v>943.1135579999999</v>
      </c>
      <c r="H112" s="12">
        <f t="shared" si="21"/>
        <v>10013.582490000001</v>
      </c>
      <c r="I112" s="12">
        <f t="shared" si="22"/>
        <v>49.816314900000094</v>
      </c>
      <c r="J112" s="22">
        <f t="shared" si="23"/>
        <v>324198.21475931996</v>
      </c>
      <c r="K112" s="22">
        <f t="shared" si="24"/>
        <v>311147.54293151997</v>
      </c>
      <c r="L112" s="22">
        <f t="shared" si="25"/>
        <v>13050.67182779999</v>
      </c>
      <c r="M112" s="22">
        <f t="shared" si="26"/>
        <v>351035.62766880001</v>
      </c>
      <c r="N112" s="12">
        <f t="shared" si="27"/>
        <v>0.95974477577710104</v>
      </c>
      <c r="O112" s="12">
        <f t="shared" si="28"/>
        <v>0.5301186186150868</v>
      </c>
      <c r="P112" s="13">
        <f t="shared" si="29"/>
        <v>0.42962615716201424</v>
      </c>
      <c r="Q112" s="5">
        <v>0.113</v>
      </c>
      <c r="U112" s="31">
        <f t="shared" si="15"/>
        <v>0.99482674999999987</v>
      </c>
    </row>
    <row r="113" spans="3:21" x14ac:dyDescent="0.2">
      <c r="C113" s="12">
        <f t="shared" si="16"/>
        <v>851.6035296</v>
      </c>
      <c r="D113" s="13">
        <f t="shared" si="17"/>
        <v>50.262780000000049</v>
      </c>
      <c r="E113" s="12">
        <f t="shared" si="18"/>
        <v>-5.0574795000000563</v>
      </c>
      <c r="F113" s="12">
        <f t="shared" si="19"/>
        <v>228.93958800000004</v>
      </c>
      <c r="G113" s="12">
        <f t="shared" si="20"/>
        <v>952.45131600000002</v>
      </c>
      <c r="H113" s="12">
        <f t="shared" si="21"/>
        <v>10002.29322</v>
      </c>
      <c r="I113" s="12">
        <f t="shared" si="22"/>
        <v>49.7601522000001</v>
      </c>
      <c r="J113" s="22">
        <f t="shared" si="23"/>
        <v>327070.04608986003</v>
      </c>
      <c r="K113" s="22">
        <f t="shared" si="24"/>
        <v>313901.06101056002</v>
      </c>
      <c r="L113" s="22">
        <f t="shared" si="25"/>
        <v>13168.985079300008</v>
      </c>
      <c r="M113" s="22">
        <f t="shared" si="26"/>
        <v>354507.64889760001</v>
      </c>
      <c r="N113" s="12">
        <f t="shared" si="27"/>
        <v>0.95973649914831416</v>
      </c>
      <c r="O113" s="12">
        <f t="shared" si="28"/>
        <v>0.53037556758694793</v>
      </c>
      <c r="P113" s="13">
        <f t="shared" si="29"/>
        <v>0.42936093156136623</v>
      </c>
      <c r="Q113" s="3">
        <v>0.114</v>
      </c>
      <c r="U113" s="31">
        <f t="shared" si="15"/>
        <v>0.99482674999999987</v>
      </c>
    </row>
    <row r="114" spans="3:21" x14ac:dyDescent="0.2">
      <c r="C114" s="12">
        <f t="shared" si="16"/>
        <v>859.07373599999994</v>
      </c>
      <c r="D114" s="13">
        <f t="shared" si="17"/>
        <v>50.20605000000004</v>
      </c>
      <c r="E114" s="12">
        <f t="shared" si="18"/>
        <v>-5.114209500000058</v>
      </c>
      <c r="F114" s="12">
        <f t="shared" si="19"/>
        <v>230.94783000000007</v>
      </c>
      <c r="G114" s="12">
        <f t="shared" si="20"/>
        <v>961.78907399999991</v>
      </c>
      <c r="H114" s="12">
        <f t="shared" si="21"/>
        <v>9991.0039500000003</v>
      </c>
      <c r="I114" s="12">
        <f t="shared" si="22"/>
        <v>49.703989500000098</v>
      </c>
      <c r="J114" s="22">
        <f t="shared" si="23"/>
        <v>329941.87742039998</v>
      </c>
      <c r="K114" s="22">
        <f t="shared" si="24"/>
        <v>316654.57908960001</v>
      </c>
      <c r="L114" s="22">
        <f t="shared" si="25"/>
        <v>13287.298330799968</v>
      </c>
      <c r="M114" s="22">
        <f t="shared" si="26"/>
        <v>357979.67012640001</v>
      </c>
      <c r="N114" s="12">
        <f t="shared" si="27"/>
        <v>0.95972836659994576</v>
      </c>
      <c r="O114" s="12">
        <f t="shared" si="28"/>
        <v>0.53062777429757257</v>
      </c>
      <c r="P114" s="13">
        <f t="shared" si="29"/>
        <v>0.42910059230237318</v>
      </c>
      <c r="Q114" s="5">
        <v>0.115</v>
      </c>
      <c r="U114" s="31">
        <f t="shared" si="15"/>
        <v>0.99482674999999987</v>
      </c>
    </row>
    <row r="115" spans="3:21" x14ac:dyDescent="0.2">
      <c r="C115" s="12">
        <f t="shared" si="16"/>
        <v>866.54394240000011</v>
      </c>
      <c r="D115" s="13">
        <f t="shared" si="17"/>
        <v>50.149320000000046</v>
      </c>
      <c r="E115" s="12">
        <f t="shared" si="18"/>
        <v>-5.1709395000000598</v>
      </c>
      <c r="F115" s="12">
        <f t="shared" si="19"/>
        <v>232.95607200000006</v>
      </c>
      <c r="G115" s="12">
        <f t="shared" si="20"/>
        <v>971.12683200000004</v>
      </c>
      <c r="H115" s="12">
        <f t="shared" si="21"/>
        <v>9979.714680000001</v>
      </c>
      <c r="I115" s="12">
        <f t="shared" si="22"/>
        <v>49.647826800000104</v>
      </c>
      <c r="J115" s="22">
        <f t="shared" si="23"/>
        <v>332813.70875093999</v>
      </c>
      <c r="K115" s="22">
        <f t="shared" si="24"/>
        <v>319408.09716864006</v>
      </c>
      <c r="L115" s="22">
        <f t="shared" si="25"/>
        <v>13405.611582299927</v>
      </c>
      <c r="M115" s="22">
        <f t="shared" si="26"/>
        <v>361451.69135520002</v>
      </c>
      <c r="N115" s="12">
        <f t="shared" si="27"/>
        <v>0.95972037440220959</v>
      </c>
      <c r="O115" s="12">
        <f t="shared" si="28"/>
        <v>0.53087536883160191</v>
      </c>
      <c r="P115" s="13">
        <f t="shared" si="29"/>
        <v>0.42884500557060767</v>
      </c>
      <c r="Q115" s="3">
        <v>0.11600000000000001</v>
      </c>
      <c r="U115" s="31">
        <f t="shared" si="15"/>
        <v>0.99482674999999987</v>
      </c>
    </row>
    <row r="116" spans="3:21" x14ac:dyDescent="0.2">
      <c r="C116" s="12">
        <f t="shared" si="16"/>
        <v>874.01414879999993</v>
      </c>
      <c r="D116" s="13">
        <f t="shared" si="17"/>
        <v>50.092590000000044</v>
      </c>
      <c r="E116" s="12">
        <f t="shared" si="18"/>
        <v>-5.2276695000000615</v>
      </c>
      <c r="F116" s="12">
        <f t="shared" si="19"/>
        <v>234.96431400000006</v>
      </c>
      <c r="G116" s="12">
        <f t="shared" si="20"/>
        <v>980.46458999999993</v>
      </c>
      <c r="H116" s="12">
        <f t="shared" si="21"/>
        <v>9968.4254099999998</v>
      </c>
      <c r="I116" s="12">
        <f t="shared" si="22"/>
        <v>49.591664100000102</v>
      </c>
      <c r="J116" s="22">
        <f t="shared" si="23"/>
        <v>335685.54008147999</v>
      </c>
      <c r="K116" s="22">
        <f t="shared" si="24"/>
        <v>322161.61524767999</v>
      </c>
      <c r="L116" s="22">
        <f t="shared" si="25"/>
        <v>13523.924833800003</v>
      </c>
      <c r="M116" s="22">
        <f t="shared" si="26"/>
        <v>364923.71258400002</v>
      </c>
      <c r="N116" s="12">
        <f t="shared" si="27"/>
        <v>0.95971251895295406</v>
      </c>
      <c r="O116" s="12">
        <f t="shared" si="28"/>
        <v>0.5311184765589958</v>
      </c>
      <c r="P116" s="13">
        <f t="shared" si="29"/>
        <v>0.42859404239395826</v>
      </c>
      <c r="Q116" s="5">
        <v>0.11700000000000001</v>
      </c>
      <c r="U116" s="31">
        <f t="shared" si="15"/>
        <v>0.99482674999999987</v>
      </c>
    </row>
    <row r="117" spans="3:21" x14ac:dyDescent="0.2">
      <c r="C117" s="12">
        <f t="shared" si="16"/>
        <v>881.48435519999987</v>
      </c>
      <c r="D117" s="13">
        <f t="shared" si="17"/>
        <v>50.035860000000049</v>
      </c>
      <c r="E117" s="12">
        <f t="shared" si="18"/>
        <v>-5.2843995000000561</v>
      </c>
      <c r="F117" s="12">
        <f t="shared" si="19"/>
        <v>236.97255600000005</v>
      </c>
      <c r="G117" s="12">
        <f t="shared" si="20"/>
        <v>989.80234799999982</v>
      </c>
      <c r="H117" s="12">
        <f t="shared" si="21"/>
        <v>9957.1361400000005</v>
      </c>
      <c r="I117" s="12">
        <f t="shared" si="22"/>
        <v>49.535501400000101</v>
      </c>
      <c r="J117" s="22">
        <f t="shared" si="23"/>
        <v>338557.37141202</v>
      </c>
      <c r="K117" s="22">
        <f t="shared" si="24"/>
        <v>324915.13332671998</v>
      </c>
      <c r="L117" s="22">
        <f t="shared" si="25"/>
        <v>13642.238085300021</v>
      </c>
      <c r="M117" s="22">
        <f t="shared" si="26"/>
        <v>368395.73381279997</v>
      </c>
      <c r="N117" s="12">
        <f t="shared" si="27"/>
        <v>0.95970479677225051</v>
      </c>
      <c r="O117" s="12">
        <f t="shared" si="28"/>
        <v>0.5313572183467089</v>
      </c>
      <c r="P117" s="13">
        <f t="shared" si="29"/>
        <v>0.42834757842554161</v>
      </c>
      <c r="Q117" s="3">
        <v>0.11799999999999999</v>
      </c>
      <c r="U117" s="31">
        <f t="shared" si="15"/>
        <v>0.99482674999999987</v>
      </c>
    </row>
    <row r="118" spans="3:21" x14ac:dyDescent="0.2">
      <c r="C118" s="12">
        <f t="shared" si="16"/>
        <v>888.95456160000003</v>
      </c>
      <c r="D118" s="13">
        <f t="shared" si="17"/>
        <v>49.97913000000004</v>
      </c>
      <c r="E118" s="12">
        <f t="shared" si="18"/>
        <v>-5.3411295000000578</v>
      </c>
      <c r="F118" s="12">
        <f t="shared" si="19"/>
        <v>238.98079800000005</v>
      </c>
      <c r="G118" s="12">
        <f t="shared" si="20"/>
        <v>999.14010599999995</v>
      </c>
      <c r="H118" s="12">
        <f t="shared" si="21"/>
        <v>9945.8468699999994</v>
      </c>
      <c r="I118" s="12">
        <f t="shared" si="22"/>
        <v>49.479338700000106</v>
      </c>
      <c r="J118" s="22">
        <f t="shared" si="23"/>
        <v>341429.20274255995</v>
      </c>
      <c r="K118" s="22">
        <f t="shared" si="24"/>
        <v>327668.65140576003</v>
      </c>
      <c r="L118" s="22">
        <f t="shared" si="25"/>
        <v>13760.551336799923</v>
      </c>
      <c r="M118" s="22">
        <f t="shared" si="26"/>
        <v>371867.75504160003</v>
      </c>
      <c r="N118" s="12">
        <f t="shared" si="27"/>
        <v>0.95969720449725127</v>
      </c>
      <c r="O118" s="12">
        <f t="shared" si="28"/>
        <v>0.53159171075906397</v>
      </c>
      <c r="P118" s="13">
        <f t="shared" si="29"/>
        <v>0.42810549373818729</v>
      </c>
      <c r="Q118" s="5">
        <v>0.11899999999999999</v>
      </c>
      <c r="U118" s="31">
        <f t="shared" si="15"/>
        <v>0.99482674999999987</v>
      </c>
    </row>
    <row r="119" spans="3:21" x14ac:dyDescent="0.2">
      <c r="C119" s="12">
        <f t="shared" si="16"/>
        <v>896.42476799999986</v>
      </c>
      <c r="D119" s="13">
        <f t="shared" si="17"/>
        <v>49.922400000000046</v>
      </c>
      <c r="E119" s="12">
        <f t="shared" si="18"/>
        <v>-5.3978595000000666</v>
      </c>
      <c r="F119" s="12">
        <f t="shared" si="19"/>
        <v>240.98904000000007</v>
      </c>
      <c r="G119" s="12">
        <f t="shared" si="20"/>
        <v>1008.4778639999998</v>
      </c>
      <c r="H119" s="12">
        <f t="shared" si="21"/>
        <v>9934.5576000000001</v>
      </c>
      <c r="I119" s="12">
        <f t="shared" si="22"/>
        <v>49.42317600000009</v>
      </c>
      <c r="J119" s="22">
        <f t="shared" si="23"/>
        <v>344301.0340730999</v>
      </c>
      <c r="K119" s="22">
        <f t="shared" si="24"/>
        <v>330422.16948479996</v>
      </c>
      <c r="L119" s="22">
        <f t="shared" si="25"/>
        <v>13878.864588299941</v>
      </c>
      <c r="M119" s="22">
        <f t="shared" si="26"/>
        <v>375339.77627039998</v>
      </c>
      <c r="N119" s="12">
        <f t="shared" si="27"/>
        <v>0.9596897388773068</v>
      </c>
      <c r="O119" s="12">
        <f t="shared" si="28"/>
        <v>0.53182206624751915</v>
      </c>
      <c r="P119" s="13">
        <f t="shared" si="29"/>
        <v>0.42786767262978764</v>
      </c>
      <c r="Q119" s="3">
        <v>0.12</v>
      </c>
      <c r="U119" s="31">
        <f t="shared" si="15"/>
        <v>0.99482674999999987</v>
      </c>
    </row>
    <row r="120" spans="3:21" x14ac:dyDescent="0.2">
      <c r="C120" s="12">
        <f t="shared" si="16"/>
        <v>903.89497440000002</v>
      </c>
      <c r="D120" s="13">
        <f t="shared" si="17"/>
        <v>49.865670000000044</v>
      </c>
      <c r="E120" s="12">
        <f t="shared" si="18"/>
        <v>-5.4545895000000613</v>
      </c>
      <c r="F120" s="12">
        <f t="shared" si="19"/>
        <v>242.99728200000007</v>
      </c>
      <c r="G120" s="12">
        <f t="shared" si="20"/>
        <v>1017.815622</v>
      </c>
      <c r="H120" s="12">
        <f t="shared" si="21"/>
        <v>9923.268329999999</v>
      </c>
      <c r="I120" s="12">
        <f t="shared" si="22"/>
        <v>49.367013300000103</v>
      </c>
      <c r="J120" s="22">
        <f t="shared" si="23"/>
        <v>347172.86540364003</v>
      </c>
      <c r="K120" s="22">
        <f t="shared" si="24"/>
        <v>333175.68756384001</v>
      </c>
      <c r="L120" s="22">
        <f t="shared" si="25"/>
        <v>13997.177839800017</v>
      </c>
      <c r="M120" s="22">
        <f t="shared" si="26"/>
        <v>378811.79749919998</v>
      </c>
      <c r="N120" s="12">
        <f t="shared" si="27"/>
        <v>0.95968239676932643</v>
      </c>
      <c r="O120" s="12">
        <f t="shared" si="28"/>
        <v>0.5320483933304806</v>
      </c>
      <c r="P120" s="13">
        <f t="shared" si="29"/>
        <v>0.42763400343884583</v>
      </c>
      <c r="Q120" s="5">
        <v>0.121</v>
      </c>
      <c r="U120" s="31">
        <f t="shared" si="15"/>
        <v>0.99482674999999987</v>
      </c>
    </row>
    <row r="121" spans="3:21" x14ac:dyDescent="0.2">
      <c r="C121" s="12">
        <f t="shared" si="16"/>
        <v>911.36518079999996</v>
      </c>
      <c r="D121" s="13">
        <f t="shared" si="17"/>
        <v>49.80894000000005</v>
      </c>
      <c r="E121" s="12">
        <f t="shared" si="18"/>
        <v>-5.5113195000000559</v>
      </c>
      <c r="F121" s="12">
        <f t="shared" si="19"/>
        <v>245.00552400000007</v>
      </c>
      <c r="G121" s="12">
        <f t="shared" si="20"/>
        <v>1027.1533799999997</v>
      </c>
      <c r="H121" s="12">
        <f t="shared" si="21"/>
        <v>9911.9790599999997</v>
      </c>
      <c r="I121" s="12">
        <f t="shared" si="22"/>
        <v>49.310850600000109</v>
      </c>
      <c r="J121" s="22">
        <f t="shared" si="23"/>
        <v>350044.69673418003</v>
      </c>
      <c r="K121" s="22">
        <f t="shared" si="24"/>
        <v>335929.20564288</v>
      </c>
      <c r="L121" s="22">
        <f t="shared" si="25"/>
        <v>14115.491091300035</v>
      </c>
      <c r="M121" s="22">
        <f t="shared" si="26"/>
        <v>382283.81872799993</v>
      </c>
      <c r="N121" s="12">
        <f t="shared" si="27"/>
        <v>0.95967517513336542</v>
      </c>
      <c r="O121" s="12">
        <f t="shared" si="28"/>
        <v>0.53227079676376265</v>
      </c>
      <c r="P121" s="13">
        <f t="shared" si="29"/>
        <v>0.42740437836960277</v>
      </c>
      <c r="Q121" s="3">
        <v>0.122</v>
      </c>
      <c r="U121" s="31">
        <f t="shared" si="15"/>
        <v>0.99482674999999987</v>
      </c>
    </row>
    <row r="122" spans="3:21" x14ac:dyDescent="0.2">
      <c r="C122" s="12">
        <f t="shared" si="16"/>
        <v>918.83538720000001</v>
      </c>
      <c r="D122" s="13">
        <f t="shared" si="17"/>
        <v>49.752210000000041</v>
      </c>
      <c r="E122" s="12">
        <f t="shared" si="18"/>
        <v>-5.5680495000000576</v>
      </c>
      <c r="F122" s="12">
        <f t="shared" si="19"/>
        <v>247.01376600000006</v>
      </c>
      <c r="G122" s="12">
        <f t="shared" si="20"/>
        <v>1036.4911379999999</v>
      </c>
      <c r="H122" s="12">
        <f t="shared" si="21"/>
        <v>9900.6897900000004</v>
      </c>
      <c r="I122" s="12">
        <f t="shared" si="22"/>
        <v>49.2546879000001</v>
      </c>
      <c r="J122" s="22">
        <f t="shared" si="23"/>
        <v>352916.52806471998</v>
      </c>
      <c r="K122" s="22">
        <f t="shared" si="24"/>
        <v>338682.72372192005</v>
      </c>
      <c r="L122" s="22">
        <f t="shared" si="25"/>
        <v>14233.804342799936</v>
      </c>
      <c r="M122" s="22">
        <f t="shared" si="26"/>
        <v>385755.83995679999</v>
      </c>
      <c r="N122" s="12">
        <f t="shared" si="27"/>
        <v>0.95966807102842844</v>
      </c>
      <c r="O122" s="12">
        <f t="shared" si="28"/>
        <v>0.53248937770225901</v>
      </c>
      <c r="P122" s="13">
        <f t="shared" si="29"/>
        <v>0.42717869332616942</v>
      </c>
      <c r="Q122" s="5">
        <v>0.123</v>
      </c>
      <c r="U122" s="31">
        <f t="shared" si="15"/>
        <v>0.99482674999999987</v>
      </c>
    </row>
    <row r="123" spans="3:21" x14ac:dyDescent="0.2">
      <c r="C123" s="12">
        <f t="shared" si="16"/>
        <v>926.30559359999995</v>
      </c>
      <c r="D123" s="13">
        <f t="shared" si="17"/>
        <v>49.695480000000039</v>
      </c>
      <c r="E123" s="12">
        <f t="shared" si="18"/>
        <v>-5.6247795000000664</v>
      </c>
      <c r="F123" s="12">
        <f t="shared" si="19"/>
        <v>249.02200800000006</v>
      </c>
      <c r="G123" s="12">
        <f t="shared" si="20"/>
        <v>1045.828896</v>
      </c>
      <c r="H123" s="12">
        <f t="shared" si="21"/>
        <v>9889.4005199999992</v>
      </c>
      <c r="I123" s="12">
        <f t="shared" si="22"/>
        <v>49.198525200000091</v>
      </c>
      <c r="J123" s="22">
        <f t="shared" si="23"/>
        <v>355788.35939525993</v>
      </c>
      <c r="K123" s="22">
        <f t="shared" si="24"/>
        <v>341436.24180095998</v>
      </c>
      <c r="L123" s="22">
        <f t="shared" si="25"/>
        <v>14352.117594299954</v>
      </c>
      <c r="M123" s="22">
        <f t="shared" si="26"/>
        <v>389227.86118559999</v>
      </c>
      <c r="N123" s="12">
        <f t="shared" si="27"/>
        <v>0.95966108160847496</v>
      </c>
      <c r="O123" s="12">
        <f t="shared" si="28"/>
        <v>0.53270423385334909</v>
      </c>
      <c r="P123" s="13">
        <f t="shared" si="29"/>
        <v>0.42695684775512588</v>
      </c>
      <c r="Q123" s="3">
        <v>0.124</v>
      </c>
      <c r="U123" s="31">
        <f t="shared" si="15"/>
        <v>0.99482674999999987</v>
      </c>
    </row>
    <row r="124" spans="3:21" x14ac:dyDescent="0.2">
      <c r="C124" s="12">
        <f t="shared" si="16"/>
        <v>933.7758</v>
      </c>
      <c r="D124" s="13">
        <f t="shared" si="17"/>
        <v>49.638750000000044</v>
      </c>
      <c r="E124" s="12">
        <f t="shared" si="18"/>
        <v>-5.6815095000000611</v>
      </c>
      <c r="F124" s="12">
        <f t="shared" si="19"/>
        <v>251.03025000000005</v>
      </c>
      <c r="G124" s="12">
        <f t="shared" si="20"/>
        <v>1055.1666540000001</v>
      </c>
      <c r="H124" s="12">
        <f t="shared" si="21"/>
        <v>9878.1112499999999</v>
      </c>
      <c r="I124" s="12">
        <f t="shared" si="22"/>
        <v>49.142362500000097</v>
      </c>
      <c r="J124" s="22">
        <f t="shared" si="23"/>
        <v>358660.19072580006</v>
      </c>
      <c r="K124" s="22">
        <f t="shared" si="24"/>
        <v>344189.75988000003</v>
      </c>
      <c r="L124" s="22">
        <f t="shared" si="25"/>
        <v>14470.430845800031</v>
      </c>
      <c r="M124" s="22">
        <f t="shared" si="26"/>
        <v>392699.88241440005</v>
      </c>
      <c r="N124" s="12">
        <f t="shared" si="27"/>
        <v>0.95965420411861979</v>
      </c>
      <c r="O124" s="12">
        <f t="shared" si="28"/>
        <v>0.5329154596225274</v>
      </c>
      <c r="P124" s="13">
        <f t="shared" si="29"/>
        <v>0.42673874449609239</v>
      </c>
      <c r="Q124" s="5">
        <v>0.125</v>
      </c>
      <c r="U124" s="31">
        <f t="shared" si="15"/>
        <v>0.99482674999999987</v>
      </c>
    </row>
    <row r="125" spans="3:21" x14ac:dyDescent="0.2">
      <c r="C125" s="12">
        <f t="shared" si="16"/>
        <v>941.24600639999994</v>
      </c>
      <c r="D125" s="13">
        <f t="shared" si="17"/>
        <v>49.58202000000005</v>
      </c>
      <c r="E125" s="12">
        <f t="shared" si="18"/>
        <v>-5.7382395000000557</v>
      </c>
      <c r="F125" s="12">
        <f t="shared" si="19"/>
        <v>253.03849200000008</v>
      </c>
      <c r="G125" s="12">
        <f t="shared" si="20"/>
        <v>1064.5044119999998</v>
      </c>
      <c r="H125" s="12">
        <f t="shared" si="21"/>
        <v>9866.8219800000006</v>
      </c>
      <c r="I125" s="12">
        <f t="shared" si="22"/>
        <v>49.086199800000102</v>
      </c>
      <c r="J125" s="22">
        <f t="shared" si="23"/>
        <v>361532.02205634001</v>
      </c>
      <c r="K125" s="22">
        <f t="shared" si="24"/>
        <v>346943.27795904002</v>
      </c>
      <c r="L125" s="22">
        <f t="shared" si="25"/>
        <v>14588.74409729999</v>
      </c>
      <c r="M125" s="22">
        <f t="shared" si="26"/>
        <v>396171.90364319994</v>
      </c>
      <c r="N125" s="12">
        <f t="shared" si="27"/>
        <v>0.95964743589151136</v>
      </c>
      <c r="O125" s="12">
        <f t="shared" si="28"/>
        <v>0.53312314625171398</v>
      </c>
      <c r="P125" s="13">
        <f t="shared" si="29"/>
        <v>0.42652428963979738</v>
      </c>
      <c r="Q125" s="3">
        <v>0.126</v>
      </c>
      <c r="U125" s="31">
        <f t="shared" si="15"/>
        <v>0.99482674999999987</v>
      </c>
    </row>
    <row r="126" spans="3:21" x14ac:dyDescent="0.2">
      <c r="C126" s="12">
        <f t="shared" si="16"/>
        <v>948.71621279999999</v>
      </c>
      <c r="D126" s="13">
        <f t="shared" si="17"/>
        <v>49.525290000000048</v>
      </c>
      <c r="E126" s="12">
        <f t="shared" si="18"/>
        <v>-5.7949695000000645</v>
      </c>
      <c r="F126" s="12">
        <f t="shared" si="19"/>
        <v>255.04673400000007</v>
      </c>
      <c r="G126" s="12">
        <f t="shared" si="20"/>
        <v>1073.8421699999999</v>
      </c>
      <c r="H126" s="12">
        <f t="shared" si="21"/>
        <v>9855.5327100000013</v>
      </c>
      <c r="I126" s="12">
        <f t="shared" si="22"/>
        <v>49.030037100000094</v>
      </c>
      <c r="J126" s="22">
        <f t="shared" si="23"/>
        <v>364403.85338687996</v>
      </c>
      <c r="K126" s="22">
        <f t="shared" si="24"/>
        <v>349696.79603808001</v>
      </c>
      <c r="L126" s="22">
        <f t="shared" si="25"/>
        <v>14707.05734879995</v>
      </c>
      <c r="M126" s="22">
        <f t="shared" si="26"/>
        <v>399643.924872</v>
      </c>
      <c r="N126" s="12">
        <f t="shared" si="27"/>
        <v>0.95964077434388217</v>
      </c>
      <c r="O126" s="12">
        <f t="shared" si="28"/>
        <v>0.53332738195066909</v>
      </c>
      <c r="P126" s="13">
        <f t="shared" si="29"/>
        <v>0.42631339239321309</v>
      </c>
      <c r="Q126" s="5">
        <v>0.127</v>
      </c>
      <c r="U126" s="31">
        <f t="shared" si="15"/>
        <v>0.99482674999999987</v>
      </c>
    </row>
    <row r="127" spans="3:21" x14ac:dyDescent="0.2">
      <c r="C127" s="12">
        <f t="shared" si="16"/>
        <v>956.18641919999993</v>
      </c>
      <c r="D127" s="13">
        <f t="shared" si="17"/>
        <v>49.468560000000039</v>
      </c>
      <c r="E127" s="12">
        <f t="shared" si="18"/>
        <v>-5.8516995000000662</v>
      </c>
      <c r="F127" s="12">
        <f t="shared" si="19"/>
        <v>257.05497600000007</v>
      </c>
      <c r="G127" s="12">
        <f t="shared" si="20"/>
        <v>1083.179928</v>
      </c>
      <c r="H127" s="12">
        <f t="shared" si="21"/>
        <v>9844.2434400000002</v>
      </c>
      <c r="I127" s="12">
        <f t="shared" si="22"/>
        <v>48.973874400000099</v>
      </c>
      <c r="J127" s="22">
        <f t="shared" si="23"/>
        <v>367275.68471741996</v>
      </c>
      <c r="K127" s="22">
        <f t="shared" si="24"/>
        <v>352450.31411712</v>
      </c>
      <c r="L127" s="22">
        <f t="shared" si="25"/>
        <v>14825.370600299968</v>
      </c>
      <c r="M127" s="22">
        <f t="shared" si="26"/>
        <v>403115.94610080007</v>
      </c>
      <c r="N127" s="12">
        <f t="shared" si="27"/>
        <v>0.95963421697326212</v>
      </c>
      <c r="O127" s="12">
        <f t="shared" si="28"/>
        <v>0.53352825202191212</v>
      </c>
      <c r="P127" s="13">
        <f t="shared" si="29"/>
        <v>0.42610596495135</v>
      </c>
      <c r="Q127" s="3">
        <v>0.128</v>
      </c>
      <c r="U127" s="31">
        <f t="shared" si="15"/>
        <v>0.99482674999999987</v>
      </c>
    </row>
    <row r="128" spans="3:21" x14ac:dyDescent="0.2">
      <c r="C128" s="12">
        <f t="shared" si="16"/>
        <v>963.6566256000001</v>
      </c>
      <c r="D128" s="13">
        <f t="shared" si="17"/>
        <v>49.411830000000045</v>
      </c>
      <c r="E128" s="12">
        <f t="shared" si="18"/>
        <v>-5.9084295000000608</v>
      </c>
      <c r="F128" s="12">
        <f t="shared" si="19"/>
        <v>259.06321800000006</v>
      </c>
      <c r="G128" s="12">
        <f t="shared" si="20"/>
        <v>1092.5176860000001</v>
      </c>
      <c r="H128" s="12">
        <f t="shared" si="21"/>
        <v>9832.9541700000009</v>
      </c>
      <c r="I128" s="12">
        <f t="shared" si="22"/>
        <v>48.917711700000098</v>
      </c>
      <c r="J128" s="22">
        <f t="shared" si="23"/>
        <v>370147.51604796003</v>
      </c>
      <c r="K128" s="22">
        <f t="shared" si="24"/>
        <v>355203.83219616004</v>
      </c>
      <c r="L128" s="22">
        <f t="shared" si="25"/>
        <v>14943.683851799986</v>
      </c>
      <c r="M128" s="22">
        <f t="shared" si="26"/>
        <v>406587.96732960007</v>
      </c>
      <c r="N128" s="12">
        <f t="shared" si="27"/>
        <v>0.95962776135484396</v>
      </c>
      <c r="O128" s="12">
        <f t="shared" si="28"/>
        <v>0.53372583897951398</v>
      </c>
      <c r="P128" s="13">
        <f t="shared" si="29"/>
        <v>0.42590192237532998</v>
      </c>
      <c r="Q128" s="5">
        <v>0.129</v>
      </c>
      <c r="U128" s="31">
        <f t="shared" si="15"/>
        <v>0.99482674999999987</v>
      </c>
    </row>
    <row r="129" spans="3:21" x14ac:dyDescent="0.2">
      <c r="C129" s="12">
        <f t="shared" si="16"/>
        <v>971.12683199999992</v>
      </c>
      <c r="D129" s="13">
        <f t="shared" si="17"/>
        <v>49.355100000000043</v>
      </c>
      <c r="E129" s="12">
        <f t="shared" si="18"/>
        <v>-5.9651595000000626</v>
      </c>
      <c r="F129" s="12">
        <f t="shared" si="19"/>
        <v>261.07146000000006</v>
      </c>
      <c r="G129" s="12">
        <f t="shared" si="20"/>
        <v>1101.8554439999998</v>
      </c>
      <c r="H129" s="12">
        <f t="shared" si="21"/>
        <v>9821.6648999999998</v>
      </c>
      <c r="I129" s="12">
        <f t="shared" si="22"/>
        <v>48.861549000000096</v>
      </c>
      <c r="J129" s="22">
        <f t="shared" si="23"/>
        <v>373019.34737849992</v>
      </c>
      <c r="K129" s="22">
        <f t="shared" si="24"/>
        <v>357957.35027519998</v>
      </c>
      <c r="L129" s="22">
        <f t="shared" si="25"/>
        <v>15061.997103299946</v>
      </c>
      <c r="M129" s="22">
        <f t="shared" si="26"/>
        <v>410059.98855839996</v>
      </c>
      <c r="N129" s="12">
        <f t="shared" si="27"/>
        <v>0.9596214051384937</v>
      </c>
      <c r="O129" s="12">
        <f t="shared" si="28"/>
        <v>0.53392022266211403</v>
      </c>
      <c r="P129" s="13">
        <f t="shared" si="29"/>
        <v>0.42570118247637967</v>
      </c>
      <c r="Q129" s="3">
        <v>0.13</v>
      </c>
      <c r="U129" s="31">
        <f t="shared" si="15"/>
        <v>0.99482674999999987</v>
      </c>
    </row>
    <row r="130" spans="3:21" x14ac:dyDescent="0.2">
      <c r="C130" s="12">
        <f t="shared" si="16"/>
        <v>978.59703840000009</v>
      </c>
      <c r="D130" s="13">
        <f t="shared" si="17"/>
        <v>49.298370000000048</v>
      </c>
      <c r="E130" s="12">
        <f t="shared" si="18"/>
        <v>-6.0218895000000643</v>
      </c>
      <c r="F130" s="12">
        <f t="shared" si="19"/>
        <v>263.07970200000005</v>
      </c>
      <c r="G130" s="12">
        <f t="shared" si="20"/>
        <v>1111.1932019999999</v>
      </c>
      <c r="H130" s="12">
        <f t="shared" si="21"/>
        <v>9810.3756299999986</v>
      </c>
      <c r="I130" s="12">
        <f t="shared" si="22"/>
        <v>48.805386300000094</v>
      </c>
      <c r="J130" s="22">
        <f t="shared" si="23"/>
        <v>375891.17870904005</v>
      </c>
      <c r="K130" s="22">
        <f t="shared" si="24"/>
        <v>360710.86835424008</v>
      </c>
      <c r="L130" s="22">
        <f t="shared" si="25"/>
        <v>15180.310354799964</v>
      </c>
      <c r="M130" s="22">
        <f t="shared" si="26"/>
        <v>413532.00978720002</v>
      </c>
      <c r="N130" s="12">
        <f t="shared" si="27"/>
        <v>0.9596151460458977</v>
      </c>
      <c r="O130" s="12">
        <f t="shared" si="28"/>
        <v>0.53411148034048206</v>
      </c>
      <c r="P130" s="13">
        <f t="shared" si="29"/>
        <v>0.42550366570541565</v>
      </c>
      <c r="Q130" s="5">
        <v>0.13100000000000001</v>
      </c>
      <c r="U130" s="31">
        <f t="shared" si="15"/>
        <v>0.99482674999999987</v>
      </c>
    </row>
    <row r="131" spans="3:21" x14ac:dyDescent="0.2">
      <c r="C131" s="12">
        <f t="shared" si="16"/>
        <v>986.06724480000003</v>
      </c>
      <c r="D131" s="13">
        <f t="shared" si="17"/>
        <v>49.241640000000039</v>
      </c>
      <c r="E131" s="12">
        <f t="shared" si="18"/>
        <v>-6.078619500000066</v>
      </c>
      <c r="F131" s="12">
        <f t="shared" si="19"/>
        <v>265.08794400000005</v>
      </c>
      <c r="G131" s="12">
        <f t="shared" si="20"/>
        <v>1120.5309600000001</v>
      </c>
      <c r="H131" s="12">
        <f t="shared" si="21"/>
        <v>9799.0863599999993</v>
      </c>
      <c r="I131" s="12">
        <f t="shared" si="22"/>
        <v>48.749223600000093</v>
      </c>
      <c r="J131" s="22">
        <f t="shared" si="23"/>
        <v>378763.01003958</v>
      </c>
      <c r="K131" s="22">
        <f t="shared" si="24"/>
        <v>363464.38643328001</v>
      </c>
      <c r="L131" s="22">
        <f t="shared" si="25"/>
        <v>15298.623606299981</v>
      </c>
      <c r="M131" s="22">
        <f t="shared" si="26"/>
        <v>417004.03101600008</v>
      </c>
      <c r="N131" s="12">
        <f t="shared" si="27"/>
        <v>0.95960898186784049</v>
      </c>
      <c r="O131" s="12">
        <f t="shared" si="28"/>
        <v>0.53429968681993423</v>
      </c>
      <c r="P131" s="13">
        <f t="shared" si="29"/>
        <v>0.42530929504790627</v>
      </c>
      <c r="Q131" s="3">
        <v>0.13200000000000001</v>
      </c>
      <c r="U131" s="31">
        <f t="shared" si="15"/>
        <v>0.99482674999999987</v>
      </c>
    </row>
    <row r="132" spans="3:21" x14ac:dyDescent="0.2">
      <c r="C132" s="12">
        <f t="shared" si="16"/>
        <v>993.53745120000008</v>
      </c>
      <c r="D132" s="13">
        <f t="shared" si="17"/>
        <v>49.184910000000045</v>
      </c>
      <c r="E132" s="12">
        <f t="shared" si="18"/>
        <v>-6.1353495000000606</v>
      </c>
      <c r="F132" s="12">
        <f t="shared" si="19"/>
        <v>267.0961860000001</v>
      </c>
      <c r="G132" s="12">
        <f t="shared" si="20"/>
        <v>1129.8687180000002</v>
      </c>
      <c r="H132" s="12">
        <f t="shared" si="21"/>
        <v>9787.79709</v>
      </c>
      <c r="I132" s="12">
        <f t="shared" si="22"/>
        <v>48.693060900000098</v>
      </c>
      <c r="J132" s="22">
        <f t="shared" si="23"/>
        <v>381634.84137012006</v>
      </c>
      <c r="K132" s="22">
        <f t="shared" si="24"/>
        <v>366217.90451232006</v>
      </c>
      <c r="L132" s="22">
        <f t="shared" si="25"/>
        <v>15416.936857799999</v>
      </c>
      <c r="M132" s="22">
        <f t="shared" si="26"/>
        <v>420476.05224480008</v>
      </c>
      <c r="N132" s="12">
        <f t="shared" si="27"/>
        <v>0.95960291046160473</v>
      </c>
      <c r="O132" s="12">
        <f t="shared" si="28"/>
        <v>0.53448491453788516</v>
      </c>
      <c r="P132" s="13">
        <f t="shared" si="29"/>
        <v>0.42511799592371957</v>
      </c>
      <c r="Q132" s="5">
        <v>0.13300000000000001</v>
      </c>
      <c r="U132" s="31">
        <f t="shared" si="15"/>
        <v>0.99482674999999987</v>
      </c>
    </row>
    <row r="133" spans="3:21" x14ac:dyDescent="0.2">
      <c r="C133" s="12">
        <f t="shared" si="16"/>
        <v>1001.0076576</v>
      </c>
      <c r="D133" s="13">
        <f t="shared" si="17"/>
        <v>49.128180000000043</v>
      </c>
      <c r="E133" s="12">
        <f t="shared" si="18"/>
        <v>-6.1920795000000624</v>
      </c>
      <c r="F133" s="12">
        <f t="shared" si="19"/>
        <v>269.1044280000001</v>
      </c>
      <c r="G133" s="12">
        <f t="shared" si="20"/>
        <v>1139.2064759999998</v>
      </c>
      <c r="H133" s="12">
        <f t="shared" si="21"/>
        <v>9776.5078199999989</v>
      </c>
      <c r="I133" s="12">
        <f t="shared" si="22"/>
        <v>48.636898200000097</v>
      </c>
      <c r="J133" s="22">
        <f t="shared" si="23"/>
        <v>384506.67270066001</v>
      </c>
      <c r="K133" s="22">
        <f t="shared" si="24"/>
        <v>368971.42259136005</v>
      </c>
      <c r="L133" s="22">
        <f t="shared" si="25"/>
        <v>15535.250109299959</v>
      </c>
      <c r="M133" s="22">
        <f t="shared" si="26"/>
        <v>423948.07347359997</v>
      </c>
      <c r="N133" s="12">
        <f t="shared" si="27"/>
        <v>0.95959692974848787</v>
      </c>
      <c r="O133" s="12">
        <f t="shared" si="28"/>
        <v>0.53466723365680491</v>
      </c>
      <c r="P133" s="13">
        <f t="shared" si="29"/>
        <v>0.42492969609168296</v>
      </c>
      <c r="Q133" s="3">
        <v>0.13400000000000001</v>
      </c>
      <c r="U133" s="31">
        <f t="shared" si="15"/>
        <v>0.99482674999999987</v>
      </c>
    </row>
    <row r="134" spans="3:21" x14ac:dyDescent="0.2">
      <c r="C134" s="12">
        <f t="shared" si="16"/>
        <v>1008.4778640000001</v>
      </c>
      <c r="D134" s="13">
        <f t="shared" si="17"/>
        <v>49.071450000000048</v>
      </c>
      <c r="E134" s="12">
        <f t="shared" si="18"/>
        <v>-6.2488095000000641</v>
      </c>
      <c r="F134" s="12">
        <f t="shared" si="19"/>
        <v>271.11267000000009</v>
      </c>
      <c r="G134" s="12">
        <f t="shared" si="20"/>
        <v>1148.544234</v>
      </c>
      <c r="H134" s="12">
        <f t="shared" si="21"/>
        <v>9765.2185499999996</v>
      </c>
      <c r="I134" s="12">
        <f t="shared" si="22"/>
        <v>48.580735500000095</v>
      </c>
      <c r="J134" s="22">
        <f t="shared" si="23"/>
        <v>387378.50403120002</v>
      </c>
      <c r="K134" s="22">
        <f t="shared" si="24"/>
        <v>371724.94067040004</v>
      </c>
      <c r="L134" s="22">
        <f t="shared" si="25"/>
        <v>15653.563360799977</v>
      </c>
      <c r="M134" s="22">
        <f t="shared" si="26"/>
        <v>427420.09470239998</v>
      </c>
      <c r="N134" s="12">
        <f t="shared" si="27"/>
        <v>0.95959103771142862</v>
      </c>
      <c r="O134" s="12">
        <f t="shared" si="28"/>
        <v>0.53484671215283108</v>
      </c>
      <c r="P134" s="13">
        <f t="shared" si="29"/>
        <v>0.42474432555859754</v>
      </c>
      <c r="Q134" s="5">
        <v>0.13500000000000001</v>
      </c>
      <c r="U134" s="31">
        <f t="shared" si="15"/>
        <v>0.99482674999999987</v>
      </c>
    </row>
    <row r="135" spans="3:21" x14ac:dyDescent="0.2">
      <c r="C135" s="12">
        <f t="shared" si="16"/>
        <v>1015.9480704</v>
      </c>
      <c r="D135" s="13">
        <f t="shared" si="17"/>
        <v>49.01472000000004</v>
      </c>
      <c r="E135" s="12">
        <f t="shared" si="18"/>
        <v>-6.3055395000000658</v>
      </c>
      <c r="F135" s="12">
        <f t="shared" si="19"/>
        <v>273.12091200000009</v>
      </c>
      <c r="G135" s="12">
        <f t="shared" si="20"/>
        <v>1157.8819920000001</v>
      </c>
      <c r="H135" s="12">
        <f t="shared" si="21"/>
        <v>9753.9292800000003</v>
      </c>
      <c r="I135" s="12">
        <f t="shared" si="22"/>
        <v>48.524572800000094</v>
      </c>
      <c r="J135" s="22">
        <f t="shared" si="23"/>
        <v>390250.33536173997</v>
      </c>
      <c r="K135" s="22">
        <f t="shared" si="24"/>
        <v>374478.45874944003</v>
      </c>
      <c r="L135" s="22">
        <f t="shared" si="25"/>
        <v>15771.876612299937</v>
      </c>
      <c r="M135" s="22">
        <f t="shared" si="26"/>
        <v>430892.1159312001</v>
      </c>
      <c r="N135" s="12">
        <f t="shared" si="27"/>
        <v>0.95958523239274018</v>
      </c>
      <c r="O135" s="12">
        <f t="shared" si="28"/>
        <v>0.53502341590027058</v>
      </c>
      <c r="P135" s="13">
        <f t="shared" si="29"/>
        <v>0.4245618164924696</v>
      </c>
      <c r="Q135" s="3">
        <v>0.13600000000000001</v>
      </c>
      <c r="U135" s="31">
        <f t="shared" si="15"/>
        <v>0.99482674999999987</v>
      </c>
    </row>
    <row r="136" spans="3:21" x14ac:dyDescent="0.2">
      <c r="C136" s="12">
        <f t="shared" si="16"/>
        <v>1023.4182768000001</v>
      </c>
      <c r="D136" s="13">
        <f t="shared" si="17"/>
        <v>48.957990000000045</v>
      </c>
      <c r="E136" s="12">
        <f t="shared" si="18"/>
        <v>-6.3622695000000604</v>
      </c>
      <c r="F136" s="12">
        <f t="shared" si="19"/>
        <v>275.12915400000009</v>
      </c>
      <c r="G136" s="12">
        <f t="shared" si="20"/>
        <v>1167.2197500000002</v>
      </c>
      <c r="H136" s="12">
        <f t="shared" si="21"/>
        <v>9742.640010000001</v>
      </c>
      <c r="I136" s="12">
        <f t="shared" si="22"/>
        <v>48.468410100000099</v>
      </c>
      <c r="J136" s="22">
        <f t="shared" si="23"/>
        <v>393122.16669228004</v>
      </c>
      <c r="K136" s="22">
        <f t="shared" si="24"/>
        <v>377231.97682848002</v>
      </c>
      <c r="L136" s="22">
        <f t="shared" si="25"/>
        <v>15890.189863800013</v>
      </c>
      <c r="M136" s="22">
        <f t="shared" si="26"/>
        <v>434364.1371600001</v>
      </c>
      <c r="N136" s="12">
        <f t="shared" si="27"/>
        <v>0.95957951189194024</v>
      </c>
      <c r="O136" s="12">
        <f t="shared" si="28"/>
        <v>0.53519740875221289</v>
      </c>
      <c r="P136" s="13">
        <f t="shared" si="29"/>
        <v>0.42438210313972735</v>
      </c>
      <c r="Q136" s="5">
        <v>0.13700000000000001</v>
      </c>
      <c r="U136" s="31">
        <f t="shared" si="15"/>
        <v>0.99482674999999987</v>
      </c>
    </row>
    <row r="137" spans="3:21" x14ac:dyDescent="0.2">
      <c r="C137" s="12">
        <f t="shared" si="16"/>
        <v>1030.8884832000001</v>
      </c>
      <c r="D137" s="13">
        <f t="shared" si="17"/>
        <v>48.901260000000043</v>
      </c>
      <c r="E137" s="12">
        <f t="shared" si="18"/>
        <v>-6.4189995000000621</v>
      </c>
      <c r="F137" s="12">
        <f t="shared" si="19"/>
        <v>277.13739600000008</v>
      </c>
      <c r="G137" s="12">
        <f t="shared" si="20"/>
        <v>1176.5575079999999</v>
      </c>
      <c r="H137" s="12">
        <f t="shared" si="21"/>
        <v>9731.3507399999999</v>
      </c>
      <c r="I137" s="12">
        <f t="shared" si="22"/>
        <v>48.412247400000098</v>
      </c>
      <c r="J137" s="22">
        <f t="shared" si="23"/>
        <v>395993.9980228201</v>
      </c>
      <c r="K137" s="22">
        <f t="shared" si="24"/>
        <v>379985.49490752007</v>
      </c>
      <c r="L137" s="22">
        <f t="shared" si="25"/>
        <v>16008.503115300031</v>
      </c>
      <c r="M137" s="22">
        <f t="shared" si="26"/>
        <v>437836.15838879999</v>
      </c>
      <c r="N137" s="12">
        <f t="shared" si="27"/>
        <v>0.9595738743636778</v>
      </c>
      <c r="O137" s="12">
        <f t="shared" si="28"/>
        <v>0.53536875261746042</v>
      </c>
      <c r="P137" s="13">
        <f t="shared" si="29"/>
        <v>0.42420512174621738</v>
      </c>
      <c r="Q137" s="3">
        <v>0.13800000000000001</v>
      </c>
      <c r="U137" s="31">
        <f t="shared" si="15"/>
        <v>0.99482674999999987</v>
      </c>
    </row>
    <row r="138" spans="3:21" x14ac:dyDescent="0.2">
      <c r="C138" s="12">
        <f t="shared" si="16"/>
        <v>1038.3586895999999</v>
      </c>
      <c r="D138" s="13">
        <f t="shared" si="17"/>
        <v>48.844530000000049</v>
      </c>
      <c r="E138" s="12">
        <f t="shared" si="18"/>
        <v>-6.4757295000000639</v>
      </c>
      <c r="F138" s="12">
        <f t="shared" si="19"/>
        <v>279.14563800000008</v>
      </c>
      <c r="G138" s="12">
        <f t="shared" si="20"/>
        <v>1185.895266</v>
      </c>
      <c r="H138" s="12">
        <f t="shared" si="21"/>
        <v>9720.0614700000006</v>
      </c>
      <c r="I138" s="12">
        <f t="shared" si="22"/>
        <v>48.356084700000096</v>
      </c>
      <c r="J138" s="22">
        <f t="shared" si="23"/>
        <v>398865.82935335994</v>
      </c>
      <c r="K138" s="22">
        <f t="shared" si="24"/>
        <v>382739.01298656</v>
      </c>
      <c r="L138" s="22">
        <f t="shared" si="25"/>
        <v>16126.816366799932</v>
      </c>
      <c r="M138" s="22">
        <f t="shared" si="26"/>
        <v>441308.17961759999</v>
      </c>
      <c r="N138" s="12">
        <f t="shared" si="27"/>
        <v>0.95956831801574816</v>
      </c>
      <c r="O138" s="12">
        <f t="shared" si="28"/>
        <v>0.53553750753397344</v>
      </c>
      <c r="P138" s="13">
        <f t="shared" si="29"/>
        <v>0.42403081048177471</v>
      </c>
      <c r="Q138" s="5">
        <v>0.13900000000000001</v>
      </c>
      <c r="U138" s="31">
        <f t="shared" si="15"/>
        <v>0.99482674999999987</v>
      </c>
    </row>
    <row r="139" spans="3:21" x14ac:dyDescent="0.2">
      <c r="C139" s="12">
        <f t="shared" si="16"/>
        <v>1045.828896</v>
      </c>
      <c r="D139" s="13">
        <f t="shared" si="17"/>
        <v>48.78780000000004</v>
      </c>
      <c r="E139" s="12">
        <f t="shared" si="18"/>
        <v>-6.5324595000000656</v>
      </c>
      <c r="F139" s="12">
        <f t="shared" si="19"/>
        <v>281.15388000000007</v>
      </c>
      <c r="G139" s="12">
        <f t="shared" si="20"/>
        <v>1195.2330240000001</v>
      </c>
      <c r="H139" s="12">
        <f t="shared" si="21"/>
        <v>9708.7721999999994</v>
      </c>
      <c r="I139" s="12">
        <f t="shared" si="22"/>
        <v>48.299922000000088</v>
      </c>
      <c r="J139" s="22">
        <f t="shared" si="23"/>
        <v>401737.66068389994</v>
      </c>
      <c r="K139" s="22">
        <f t="shared" si="24"/>
        <v>385492.53106559999</v>
      </c>
      <c r="L139" s="22">
        <f t="shared" si="25"/>
        <v>16245.12961829995</v>
      </c>
      <c r="M139" s="22">
        <f t="shared" si="26"/>
        <v>444780.20084640011</v>
      </c>
      <c r="N139" s="12">
        <f t="shared" si="27"/>
        <v>0.9595628411071917</v>
      </c>
      <c r="O139" s="12">
        <f t="shared" si="28"/>
        <v>0.53570373173900887</v>
      </c>
      <c r="P139" s="13">
        <f t="shared" si="29"/>
        <v>0.42385910936818283</v>
      </c>
      <c r="Q139" s="3">
        <v>0.14000000000000001</v>
      </c>
      <c r="U139" s="31">
        <f t="shared" si="15"/>
        <v>0.99482674999999987</v>
      </c>
    </row>
    <row r="140" spans="3:21" x14ac:dyDescent="0.2">
      <c r="C140" s="12">
        <f t="shared" si="16"/>
        <v>1053.2991024</v>
      </c>
      <c r="D140" s="13">
        <f t="shared" si="17"/>
        <v>48.731070000000045</v>
      </c>
      <c r="E140" s="12">
        <f t="shared" si="18"/>
        <v>-6.5891895000000602</v>
      </c>
      <c r="F140" s="12">
        <f t="shared" si="19"/>
        <v>283.16212200000007</v>
      </c>
      <c r="G140" s="12">
        <f t="shared" si="20"/>
        <v>1204.5707819999998</v>
      </c>
      <c r="H140" s="12">
        <f t="shared" si="21"/>
        <v>9697.4829300000001</v>
      </c>
      <c r="I140" s="12">
        <f t="shared" si="22"/>
        <v>48.2437593000001</v>
      </c>
      <c r="J140" s="22">
        <f t="shared" si="23"/>
        <v>404609.49201444007</v>
      </c>
      <c r="K140" s="22">
        <f t="shared" si="24"/>
        <v>388246.04914464004</v>
      </c>
      <c r="L140" s="22">
        <f t="shared" si="25"/>
        <v>16363.442869800027</v>
      </c>
      <c r="M140" s="22">
        <f t="shared" si="26"/>
        <v>448252.22207519994</v>
      </c>
      <c r="N140" s="12">
        <f t="shared" si="27"/>
        <v>0.95955744194647807</v>
      </c>
      <c r="O140" s="12">
        <f t="shared" si="28"/>
        <v>0.53586748173612764</v>
      </c>
      <c r="P140" s="13">
        <f t="shared" si="29"/>
        <v>0.42368996021035044</v>
      </c>
      <c r="Q140" s="5">
        <v>0.14099999999999999</v>
      </c>
      <c r="U140" s="31">
        <f t="shared" si="15"/>
        <v>0.99482674999999987</v>
      </c>
    </row>
    <row r="141" spans="3:21" x14ac:dyDescent="0.2">
      <c r="C141" s="12">
        <f t="shared" si="16"/>
        <v>1060.7693087999999</v>
      </c>
      <c r="D141" s="13">
        <f t="shared" si="17"/>
        <v>48.674340000000043</v>
      </c>
      <c r="E141" s="12">
        <f t="shared" si="18"/>
        <v>-6.6459195000000619</v>
      </c>
      <c r="F141" s="12">
        <f t="shared" si="19"/>
        <v>285.17036400000006</v>
      </c>
      <c r="G141" s="12">
        <f t="shared" si="20"/>
        <v>1213.9085399999999</v>
      </c>
      <c r="H141" s="12">
        <f t="shared" si="21"/>
        <v>9686.193659999999</v>
      </c>
      <c r="I141" s="12">
        <f t="shared" si="22"/>
        <v>48.187596600000091</v>
      </c>
      <c r="J141" s="22">
        <f t="shared" si="23"/>
        <v>407481.3233449799</v>
      </c>
      <c r="K141" s="22">
        <f t="shared" si="24"/>
        <v>390999.56722367997</v>
      </c>
      <c r="L141" s="22">
        <f t="shared" si="25"/>
        <v>16481.756121299928</v>
      </c>
      <c r="M141" s="22">
        <f t="shared" si="26"/>
        <v>451724.243304</v>
      </c>
      <c r="N141" s="12">
        <f t="shared" si="27"/>
        <v>0.95955211888976266</v>
      </c>
      <c r="O141" s="12">
        <f t="shared" si="28"/>
        <v>0.5360288123592335</v>
      </c>
      <c r="P141" s="13">
        <f t="shared" si="29"/>
        <v>0.42352330653052916</v>
      </c>
      <c r="Q141" s="3">
        <v>0.14199999999999999</v>
      </c>
      <c r="U141" s="31">
        <f t="shared" si="15"/>
        <v>0.99482674999999987</v>
      </c>
    </row>
    <row r="142" spans="3:21" x14ac:dyDescent="0.2">
      <c r="C142" s="12">
        <f t="shared" si="16"/>
        <v>1068.2395151999999</v>
      </c>
      <c r="D142" s="13">
        <f t="shared" si="17"/>
        <v>48.617610000000049</v>
      </c>
      <c r="E142" s="12">
        <f t="shared" si="18"/>
        <v>-6.7026495000000637</v>
      </c>
      <c r="F142" s="12">
        <f t="shared" si="19"/>
        <v>287.17860600000006</v>
      </c>
      <c r="G142" s="12">
        <f t="shared" si="20"/>
        <v>1223.246298</v>
      </c>
      <c r="H142" s="12">
        <f t="shared" si="21"/>
        <v>9674.9043899999997</v>
      </c>
      <c r="I142" s="12">
        <f t="shared" si="22"/>
        <v>48.131433900000097</v>
      </c>
      <c r="J142" s="22">
        <f t="shared" si="23"/>
        <v>410353.15467551997</v>
      </c>
      <c r="K142" s="22">
        <f t="shared" si="24"/>
        <v>393753.08530272002</v>
      </c>
      <c r="L142" s="22">
        <f t="shared" si="25"/>
        <v>16600.069372799946</v>
      </c>
      <c r="M142" s="22">
        <f t="shared" si="26"/>
        <v>455196.26453280001</v>
      </c>
      <c r="N142" s="12">
        <f t="shared" si="27"/>
        <v>0.95954687033921748</v>
      </c>
      <c r="O142" s="12">
        <f t="shared" si="28"/>
        <v>0.53618777683379126</v>
      </c>
      <c r="P142" s="13">
        <f t="shared" si="29"/>
        <v>0.42335909350542622</v>
      </c>
      <c r="Q142" s="5">
        <v>0.14299999999999999</v>
      </c>
      <c r="U142" s="31">
        <f t="shared" ref="U142:U205" si="30">(Prev*Total_SnSeq)+((1-Prev)*Total_SpSeq)</f>
        <v>0.99482674999999987</v>
      </c>
    </row>
    <row r="143" spans="3:21" x14ac:dyDescent="0.2">
      <c r="C143" s="12">
        <f t="shared" ref="C143:C206" si="31">cohort*Q143*SnTest1*((corr*(SQRT(SnTest1*(1-SnTest1)*SnTest2*(1-SnTest2)))+SnTest1*SnTest2)/SnTest1)</f>
        <v>1075.7097216</v>
      </c>
      <c r="D143" s="13">
        <f t="shared" ref="D143:D206" si="32">(1-Q143)*(1-SpTest1)*cohort</f>
        <v>48.56088000000004</v>
      </c>
      <c r="E143" s="12">
        <f t="shared" ref="E143:E206" si="33">(cohort*(1-Q143)*(1-SpTest1))-TNTest2</f>
        <v>-6.7593795000000654</v>
      </c>
      <c r="F143" s="12">
        <f t="shared" ref="F143:F206" si="34">cohort*Q143*(1-SnTest1)</f>
        <v>289.18684800000005</v>
      </c>
      <c r="G143" s="12">
        <f t="shared" ref="G143:G206" si="35">(cohort*Q143*SnTest1)-TPSeq</f>
        <v>1232.5840559999997</v>
      </c>
      <c r="H143" s="12">
        <f t="shared" ref="H143:H206" si="36">(1-Q143)*SpTest1*cohort</f>
        <v>9663.6151200000004</v>
      </c>
      <c r="I143" s="12">
        <f t="shared" ref="I143:I206" si="37">cohort*(1-Q143)*(1-SpTest1)*(SpTest2-(corr*(SQRT(SpTest1*(1-SpTest1)*SpTest2*(1-SpTest2)))+SpTest2*SpTest1))/(1-SpTest1)</f>
        <v>48.075271200000095</v>
      </c>
      <c r="J143" s="22">
        <f t="shared" si="23"/>
        <v>413224.98600605997</v>
      </c>
      <c r="K143" s="22">
        <f t="shared" si="24"/>
        <v>396506.60338176001</v>
      </c>
      <c r="L143" s="22">
        <f t="shared" si="25"/>
        <v>16718.382624299964</v>
      </c>
      <c r="M143" s="22">
        <f t="shared" si="26"/>
        <v>458668.28576159989</v>
      </c>
      <c r="N143" s="12">
        <f t="shared" si="27"/>
        <v>0.95954169474143369</v>
      </c>
      <c r="O143" s="12">
        <f t="shared" si="28"/>
        <v>0.53634442683537409</v>
      </c>
      <c r="P143" s="13">
        <f t="shared" si="29"/>
        <v>0.4231972679060596</v>
      </c>
      <c r="Q143" s="3">
        <v>0.14399999999999999</v>
      </c>
      <c r="U143" s="31">
        <f t="shared" si="30"/>
        <v>0.99482674999999987</v>
      </c>
    </row>
    <row r="144" spans="3:21" x14ac:dyDescent="0.2">
      <c r="C144" s="12">
        <f t="shared" si="31"/>
        <v>1083.179928</v>
      </c>
      <c r="D144" s="13">
        <f t="shared" si="32"/>
        <v>48.504150000000038</v>
      </c>
      <c r="E144" s="12">
        <f t="shared" si="33"/>
        <v>-6.81610950000006</v>
      </c>
      <c r="F144" s="12">
        <f t="shared" si="34"/>
        <v>291.19509000000005</v>
      </c>
      <c r="G144" s="12">
        <f t="shared" si="35"/>
        <v>1241.9218139999998</v>
      </c>
      <c r="H144" s="12">
        <f t="shared" si="36"/>
        <v>9652.3258499999993</v>
      </c>
      <c r="I144" s="12">
        <f t="shared" si="37"/>
        <v>48.019108500000101</v>
      </c>
      <c r="J144" s="22">
        <f t="shared" ref="J144:J207" si="38">(C144*$H$6)+(E144*$H$6)+(G144*$H$3)+(I144*$H$3)</f>
        <v>416096.8173366001</v>
      </c>
      <c r="K144" s="22">
        <f t="shared" ref="K144:K207" si="39">(C144*$H$6)</f>
        <v>399260.12146080006</v>
      </c>
      <c r="L144" s="22">
        <f t="shared" ref="L144:L207" si="40">J144-K144</f>
        <v>16836.69587580004</v>
      </c>
      <c r="M144" s="22">
        <f t="shared" ref="M144:M207" si="41">(F144*$H$3)+(G144*$H$6)</f>
        <v>462140.30699039996</v>
      </c>
      <c r="N144" s="12">
        <f t="shared" ref="N144:N207" si="42">K144/J144</f>
        <v>0.95953659058588747</v>
      </c>
      <c r="O144" s="12">
        <f t="shared" ref="O144:O207" si="43">M144/(M144+K144)</f>
        <v>0.53649881254566978</v>
      </c>
      <c r="P144" s="13">
        <f t="shared" ref="P144:P207" si="44">N144-O144</f>
        <v>0.42303777804021769</v>
      </c>
      <c r="Q144" s="5">
        <v>0.14499999999999999</v>
      </c>
      <c r="U144" s="31">
        <f t="shared" si="30"/>
        <v>0.99482674999999987</v>
      </c>
    </row>
    <row r="145" spans="3:21" x14ac:dyDescent="0.2">
      <c r="C145" s="12">
        <f t="shared" si="31"/>
        <v>1090.6501343999998</v>
      </c>
      <c r="D145" s="13">
        <f t="shared" si="32"/>
        <v>48.447420000000044</v>
      </c>
      <c r="E145" s="12">
        <f t="shared" si="33"/>
        <v>-6.8728395000000617</v>
      </c>
      <c r="F145" s="12">
        <f t="shared" si="34"/>
        <v>293.20333200000005</v>
      </c>
      <c r="G145" s="12">
        <f t="shared" si="35"/>
        <v>1251.2595719999999</v>
      </c>
      <c r="H145" s="12">
        <f t="shared" si="36"/>
        <v>9641.03658</v>
      </c>
      <c r="I145" s="12">
        <f t="shared" si="37"/>
        <v>47.962945800000099</v>
      </c>
      <c r="J145" s="22">
        <f t="shared" si="38"/>
        <v>418968.64866713993</v>
      </c>
      <c r="K145" s="22">
        <f t="shared" si="39"/>
        <v>402013.63953983999</v>
      </c>
      <c r="L145" s="22">
        <f t="shared" si="40"/>
        <v>16955.009127299942</v>
      </c>
      <c r="M145" s="22">
        <f t="shared" si="41"/>
        <v>465612.32821920002</v>
      </c>
      <c r="N145" s="12">
        <f t="shared" si="42"/>
        <v>0.95953155640347143</v>
      </c>
      <c r="O145" s="12">
        <f t="shared" si="43"/>
        <v>0.53665098270607714</v>
      </c>
      <c r="P145" s="13">
        <f t="shared" si="44"/>
        <v>0.42288057369739429</v>
      </c>
      <c r="Q145" s="3">
        <v>0.14599999999999999</v>
      </c>
      <c r="U145" s="31">
        <f t="shared" si="30"/>
        <v>0.99482674999999987</v>
      </c>
    </row>
    <row r="146" spans="3:21" x14ac:dyDescent="0.2">
      <c r="C146" s="12">
        <f t="shared" si="31"/>
        <v>1098.1203407999999</v>
      </c>
      <c r="D146" s="13">
        <f t="shared" si="32"/>
        <v>48.390690000000049</v>
      </c>
      <c r="E146" s="12">
        <f t="shared" si="33"/>
        <v>-6.9295695000000705</v>
      </c>
      <c r="F146" s="12">
        <f t="shared" si="34"/>
        <v>295.21157400000004</v>
      </c>
      <c r="G146" s="12">
        <f t="shared" si="35"/>
        <v>1260.5973299999996</v>
      </c>
      <c r="H146" s="12">
        <f t="shared" si="36"/>
        <v>9629.7473100000007</v>
      </c>
      <c r="I146" s="12">
        <f t="shared" si="37"/>
        <v>47.906783100000091</v>
      </c>
      <c r="J146" s="22">
        <f t="shared" si="38"/>
        <v>421840.47999767994</v>
      </c>
      <c r="K146" s="22">
        <f t="shared" si="39"/>
        <v>404767.15761887998</v>
      </c>
      <c r="L146" s="22">
        <f t="shared" si="40"/>
        <v>17073.32237879996</v>
      </c>
      <c r="M146" s="22">
        <f t="shared" si="41"/>
        <v>469084.34944799991</v>
      </c>
      <c r="N146" s="12">
        <f t="shared" si="42"/>
        <v>0.95952659076508295</v>
      </c>
      <c r="O146" s="12">
        <f t="shared" si="43"/>
        <v>0.53680098466901049</v>
      </c>
      <c r="P146" s="13">
        <f t="shared" si="44"/>
        <v>0.42272560609607246</v>
      </c>
      <c r="Q146" s="5">
        <v>0.14699999999999999</v>
      </c>
      <c r="U146" s="31">
        <f t="shared" si="30"/>
        <v>0.99482674999999987</v>
      </c>
    </row>
    <row r="147" spans="3:21" x14ac:dyDescent="0.2">
      <c r="C147" s="12">
        <f t="shared" si="31"/>
        <v>1105.5905471999999</v>
      </c>
      <c r="D147" s="13">
        <f t="shared" si="32"/>
        <v>48.33396000000004</v>
      </c>
      <c r="E147" s="12">
        <f t="shared" si="33"/>
        <v>-6.9862995000000652</v>
      </c>
      <c r="F147" s="12">
        <f t="shared" si="34"/>
        <v>297.21981600000004</v>
      </c>
      <c r="G147" s="12">
        <f t="shared" si="35"/>
        <v>1269.9350879999997</v>
      </c>
      <c r="H147" s="12">
        <f t="shared" si="36"/>
        <v>9618.4580399999995</v>
      </c>
      <c r="I147" s="12">
        <f t="shared" si="37"/>
        <v>47.850620400000096</v>
      </c>
      <c r="J147" s="22">
        <f t="shared" si="38"/>
        <v>424712.31132822001</v>
      </c>
      <c r="K147" s="22">
        <f t="shared" si="39"/>
        <v>407520.67569792003</v>
      </c>
      <c r="L147" s="22">
        <f t="shared" si="40"/>
        <v>17191.635630299977</v>
      </c>
      <c r="M147" s="22">
        <f t="shared" si="41"/>
        <v>472556.37067679991</v>
      </c>
      <c r="N147" s="12">
        <f t="shared" si="42"/>
        <v>0.95952169228027351</v>
      </c>
      <c r="O147" s="12">
        <f t="shared" si="43"/>
        <v>0.53694886444702761</v>
      </c>
      <c r="P147" s="13">
        <f t="shared" si="44"/>
        <v>0.4225728278332459</v>
      </c>
      <c r="Q147" s="3">
        <v>0.14799999999999999</v>
      </c>
      <c r="U147" s="31">
        <f t="shared" si="30"/>
        <v>0.99482674999999987</v>
      </c>
    </row>
    <row r="148" spans="3:21" x14ac:dyDescent="0.2">
      <c r="C148" s="12">
        <f t="shared" si="31"/>
        <v>1113.0607535999998</v>
      </c>
      <c r="D148" s="13">
        <f t="shared" si="32"/>
        <v>48.277230000000039</v>
      </c>
      <c r="E148" s="12">
        <f t="shared" si="33"/>
        <v>-7.0430295000000598</v>
      </c>
      <c r="F148" s="12">
        <f t="shared" si="34"/>
        <v>299.22805800000003</v>
      </c>
      <c r="G148" s="12">
        <f t="shared" si="35"/>
        <v>1279.2728459999998</v>
      </c>
      <c r="H148" s="12">
        <f t="shared" si="36"/>
        <v>9607.1687700000002</v>
      </c>
      <c r="I148" s="12">
        <f t="shared" si="37"/>
        <v>47.794457700000102</v>
      </c>
      <c r="J148" s="22">
        <f t="shared" si="38"/>
        <v>427584.14265875996</v>
      </c>
      <c r="K148" s="22">
        <f t="shared" si="39"/>
        <v>410274.19377695996</v>
      </c>
      <c r="L148" s="22">
        <f t="shared" si="40"/>
        <v>17309.948881799995</v>
      </c>
      <c r="M148" s="22">
        <f t="shared" si="41"/>
        <v>476028.39190559997</v>
      </c>
      <c r="N148" s="12">
        <f t="shared" si="42"/>
        <v>0.95951685959594979</v>
      </c>
      <c r="O148" s="12">
        <f t="shared" si="43"/>
        <v>0.53709466675988615</v>
      </c>
      <c r="P148" s="13">
        <f t="shared" si="44"/>
        <v>0.42242219283606364</v>
      </c>
      <c r="Q148" s="5">
        <v>0.14899999999999999</v>
      </c>
      <c r="U148" s="31">
        <f t="shared" si="30"/>
        <v>0.99482674999999987</v>
      </c>
    </row>
    <row r="149" spans="3:21" x14ac:dyDescent="0.2">
      <c r="C149" s="12">
        <f t="shared" si="31"/>
        <v>1120.5309599999998</v>
      </c>
      <c r="D149" s="13">
        <f t="shared" si="32"/>
        <v>48.220500000000044</v>
      </c>
      <c r="E149" s="12">
        <f t="shared" si="33"/>
        <v>-7.0997595000000615</v>
      </c>
      <c r="F149" s="12">
        <f t="shared" si="34"/>
        <v>301.23630000000003</v>
      </c>
      <c r="G149" s="12">
        <f t="shared" si="35"/>
        <v>1288.610604</v>
      </c>
      <c r="H149" s="12">
        <f t="shared" si="36"/>
        <v>9595.8795000000009</v>
      </c>
      <c r="I149" s="12">
        <f t="shared" si="37"/>
        <v>47.7382950000001</v>
      </c>
      <c r="J149" s="22">
        <f t="shared" si="38"/>
        <v>430455.97398929991</v>
      </c>
      <c r="K149" s="22">
        <f t="shared" si="39"/>
        <v>413027.71185599995</v>
      </c>
      <c r="L149" s="22">
        <f t="shared" si="40"/>
        <v>17428.262133299955</v>
      </c>
      <c r="M149" s="22">
        <f t="shared" si="41"/>
        <v>479500.41313440003</v>
      </c>
      <c r="N149" s="12">
        <f t="shared" si="42"/>
        <v>0.95951209139512794</v>
      </c>
      <c r="O149" s="12">
        <f t="shared" si="43"/>
        <v>0.53723843507963132</v>
      </c>
      <c r="P149" s="13">
        <f t="shared" si="44"/>
        <v>0.42227365631549663</v>
      </c>
      <c r="Q149" s="3">
        <v>0.15</v>
      </c>
      <c r="U149" s="31">
        <f t="shared" si="30"/>
        <v>0.99482674999999987</v>
      </c>
    </row>
    <row r="150" spans="3:21" x14ac:dyDescent="0.2">
      <c r="C150" s="12">
        <f t="shared" si="31"/>
        <v>1128.0011663999999</v>
      </c>
      <c r="D150" s="13">
        <f t="shared" si="32"/>
        <v>48.163770000000042</v>
      </c>
      <c r="E150" s="12">
        <f t="shared" si="33"/>
        <v>-7.1564895000000703</v>
      </c>
      <c r="F150" s="12">
        <f t="shared" si="34"/>
        <v>303.24454200000008</v>
      </c>
      <c r="G150" s="12">
        <f t="shared" si="35"/>
        <v>1297.9483619999996</v>
      </c>
      <c r="H150" s="12">
        <f t="shared" si="36"/>
        <v>9584.5902299999998</v>
      </c>
      <c r="I150" s="12">
        <f t="shared" si="37"/>
        <v>47.682132300000085</v>
      </c>
      <c r="J150" s="22">
        <f t="shared" si="38"/>
        <v>433327.80531983997</v>
      </c>
      <c r="K150" s="22">
        <f t="shared" si="39"/>
        <v>415781.22993504</v>
      </c>
      <c r="L150" s="22">
        <f t="shared" si="40"/>
        <v>17546.575384799973</v>
      </c>
      <c r="M150" s="22">
        <f t="shared" si="41"/>
        <v>482972.43436319992</v>
      </c>
      <c r="N150" s="12">
        <f t="shared" si="42"/>
        <v>0.95950738639573607</v>
      </c>
      <c r="O150" s="12">
        <f t="shared" si="43"/>
        <v>0.53738021167380934</v>
      </c>
      <c r="P150" s="13">
        <f t="shared" si="44"/>
        <v>0.42212717472192673</v>
      </c>
      <c r="Q150" s="5">
        <v>0.151</v>
      </c>
      <c r="U150" s="31">
        <f t="shared" si="30"/>
        <v>0.99482674999999987</v>
      </c>
    </row>
    <row r="151" spans="3:21" x14ac:dyDescent="0.2">
      <c r="C151" s="12">
        <f t="shared" si="31"/>
        <v>1135.4713727999999</v>
      </c>
      <c r="D151" s="13">
        <f t="shared" si="32"/>
        <v>48.10704000000004</v>
      </c>
      <c r="E151" s="12">
        <f t="shared" si="33"/>
        <v>-7.213219500000065</v>
      </c>
      <c r="F151" s="12">
        <f t="shared" si="34"/>
        <v>305.25278400000008</v>
      </c>
      <c r="G151" s="12">
        <f t="shared" si="35"/>
        <v>1307.2861199999998</v>
      </c>
      <c r="H151" s="12">
        <f t="shared" si="36"/>
        <v>9573.3009599999987</v>
      </c>
      <c r="I151" s="12">
        <f t="shared" si="37"/>
        <v>47.62596960000009</v>
      </c>
      <c r="J151" s="22">
        <f t="shared" si="38"/>
        <v>436199.63665037992</v>
      </c>
      <c r="K151" s="22">
        <f t="shared" si="39"/>
        <v>418534.74801407999</v>
      </c>
      <c r="L151" s="22">
        <f t="shared" si="40"/>
        <v>17664.888636299933</v>
      </c>
      <c r="M151" s="22">
        <f t="shared" si="41"/>
        <v>486444.45559199993</v>
      </c>
      <c r="N151" s="12">
        <f t="shared" si="42"/>
        <v>0.95950274334946639</v>
      </c>
      <c r="O151" s="12">
        <f t="shared" si="43"/>
        <v>0.53752003764689804</v>
      </c>
      <c r="P151" s="13">
        <f t="shared" si="44"/>
        <v>0.42198270570256835</v>
      </c>
      <c r="Q151" s="3">
        <v>0.152</v>
      </c>
      <c r="U151" s="31">
        <f t="shared" si="30"/>
        <v>0.99482674999999987</v>
      </c>
    </row>
    <row r="152" spans="3:21" x14ac:dyDescent="0.2">
      <c r="C152" s="12">
        <f t="shared" si="31"/>
        <v>1142.9415791999998</v>
      </c>
      <c r="D152" s="13">
        <f t="shared" si="32"/>
        <v>48.050310000000039</v>
      </c>
      <c r="E152" s="12">
        <f t="shared" si="33"/>
        <v>-7.2699495000000667</v>
      </c>
      <c r="F152" s="12">
        <f t="shared" si="34"/>
        <v>307.26102600000007</v>
      </c>
      <c r="G152" s="12">
        <f t="shared" si="35"/>
        <v>1316.6238779999999</v>
      </c>
      <c r="H152" s="12">
        <f t="shared" si="36"/>
        <v>9562.0116899999994</v>
      </c>
      <c r="I152" s="12">
        <f t="shared" si="37"/>
        <v>47.569806900000088</v>
      </c>
      <c r="J152" s="22">
        <f t="shared" si="38"/>
        <v>439071.46798091993</v>
      </c>
      <c r="K152" s="22">
        <f t="shared" si="39"/>
        <v>421288.26609311992</v>
      </c>
      <c r="L152" s="22">
        <f t="shared" si="40"/>
        <v>17783.201887800009</v>
      </c>
      <c r="M152" s="22">
        <f t="shared" si="41"/>
        <v>489916.47682079999</v>
      </c>
      <c r="N152" s="12">
        <f t="shared" si="42"/>
        <v>0.95949816104066965</v>
      </c>
      <c r="O152" s="12">
        <f t="shared" si="43"/>
        <v>0.53765795298003805</v>
      </c>
      <c r="P152" s="13">
        <f t="shared" si="44"/>
        <v>0.42184020806063161</v>
      </c>
      <c r="Q152" s="5">
        <v>0.153</v>
      </c>
      <c r="U152" s="31">
        <f t="shared" si="30"/>
        <v>0.99482674999999987</v>
      </c>
    </row>
    <row r="153" spans="3:21" x14ac:dyDescent="0.2">
      <c r="C153" s="12">
        <f t="shared" si="31"/>
        <v>1150.4117856</v>
      </c>
      <c r="D153" s="13">
        <f t="shared" si="32"/>
        <v>47.993580000000044</v>
      </c>
      <c r="E153" s="12">
        <f t="shared" si="33"/>
        <v>-7.3266795000000613</v>
      </c>
      <c r="F153" s="12">
        <f t="shared" si="34"/>
        <v>309.26926800000007</v>
      </c>
      <c r="G153" s="12">
        <f t="shared" si="35"/>
        <v>1325.961636</v>
      </c>
      <c r="H153" s="12">
        <f t="shared" si="36"/>
        <v>9550.7224200000001</v>
      </c>
      <c r="I153" s="12">
        <f t="shared" si="37"/>
        <v>47.513644200000094</v>
      </c>
      <c r="J153" s="22">
        <f t="shared" si="38"/>
        <v>441943.29931146</v>
      </c>
      <c r="K153" s="22">
        <f t="shared" si="39"/>
        <v>424041.78417216003</v>
      </c>
      <c r="L153" s="22">
        <f t="shared" si="40"/>
        <v>17901.515139299969</v>
      </c>
      <c r="M153" s="22">
        <f t="shared" si="41"/>
        <v>493388.49804960005</v>
      </c>
      <c r="N153" s="12">
        <f t="shared" si="42"/>
        <v>0.95949363828529532</v>
      </c>
      <c r="O153" s="12">
        <f t="shared" si="43"/>
        <v>0.53779399656914617</v>
      </c>
      <c r="P153" s="13">
        <f t="shared" si="44"/>
        <v>0.42169964171614915</v>
      </c>
      <c r="Q153" s="3">
        <v>0.154</v>
      </c>
      <c r="U153" s="31">
        <f t="shared" si="30"/>
        <v>0.99482674999999987</v>
      </c>
    </row>
    <row r="154" spans="3:21" x14ac:dyDescent="0.2">
      <c r="C154" s="12">
        <f t="shared" si="31"/>
        <v>1157.8819919999999</v>
      </c>
      <c r="D154" s="13">
        <f t="shared" si="32"/>
        <v>47.936850000000042</v>
      </c>
      <c r="E154" s="12">
        <f t="shared" si="33"/>
        <v>-7.3834095000000701</v>
      </c>
      <c r="F154" s="12">
        <f t="shared" si="34"/>
        <v>311.27751000000006</v>
      </c>
      <c r="G154" s="12">
        <f t="shared" si="35"/>
        <v>1335.2993939999997</v>
      </c>
      <c r="H154" s="12">
        <f t="shared" si="36"/>
        <v>9539.4331499999989</v>
      </c>
      <c r="I154" s="12">
        <f t="shared" si="37"/>
        <v>47.457481500000092</v>
      </c>
      <c r="J154" s="22">
        <f t="shared" si="38"/>
        <v>444815.13064199995</v>
      </c>
      <c r="K154" s="22">
        <f t="shared" si="39"/>
        <v>426795.30225119996</v>
      </c>
      <c r="L154" s="22">
        <f t="shared" si="40"/>
        <v>18019.828390799987</v>
      </c>
      <c r="M154" s="22">
        <f t="shared" si="41"/>
        <v>496860.51927839994</v>
      </c>
      <c r="N154" s="12">
        <f t="shared" si="42"/>
        <v>0.95948917392987054</v>
      </c>
      <c r="O154" s="12">
        <f t="shared" si="43"/>
        <v>0.53792820626148929</v>
      </c>
      <c r="P154" s="13">
        <f t="shared" si="44"/>
        <v>0.42156096766838125</v>
      </c>
      <c r="Q154" s="5">
        <v>0.155</v>
      </c>
      <c r="U154" s="31">
        <f t="shared" si="30"/>
        <v>0.99482674999999987</v>
      </c>
    </row>
    <row r="155" spans="3:21" x14ac:dyDescent="0.2">
      <c r="C155" s="12">
        <f t="shared" si="31"/>
        <v>1165.3521983999999</v>
      </c>
      <c r="D155" s="13">
        <f t="shared" si="32"/>
        <v>47.880120000000034</v>
      </c>
      <c r="E155" s="12">
        <f t="shared" si="33"/>
        <v>-7.4401395000000647</v>
      </c>
      <c r="F155" s="12">
        <f t="shared" si="34"/>
        <v>313.28575200000006</v>
      </c>
      <c r="G155" s="12">
        <f t="shared" si="35"/>
        <v>1344.6371519999998</v>
      </c>
      <c r="H155" s="12">
        <f t="shared" si="36"/>
        <v>9528.1438799999996</v>
      </c>
      <c r="I155" s="12">
        <f t="shared" si="37"/>
        <v>47.401318800000091</v>
      </c>
      <c r="J155" s="22">
        <f t="shared" si="38"/>
        <v>447686.96197253995</v>
      </c>
      <c r="K155" s="22">
        <f t="shared" si="39"/>
        <v>429548.82033024001</v>
      </c>
      <c r="L155" s="22">
        <f t="shared" si="40"/>
        <v>18138.141642299946</v>
      </c>
      <c r="M155" s="22">
        <f t="shared" si="41"/>
        <v>500332.54050719994</v>
      </c>
      <c r="N155" s="12">
        <f t="shared" si="42"/>
        <v>0.95948476685051975</v>
      </c>
      <c r="O155" s="12">
        <f t="shared" si="43"/>
        <v>0.53806061889078671</v>
      </c>
      <c r="P155" s="13">
        <f t="shared" si="44"/>
        <v>0.42142414795973304</v>
      </c>
      <c r="Q155" s="3">
        <v>0.156</v>
      </c>
      <c r="U155" s="31">
        <f t="shared" si="30"/>
        <v>0.99482674999999987</v>
      </c>
    </row>
    <row r="156" spans="3:21" x14ac:dyDescent="0.2">
      <c r="C156" s="12">
        <f t="shared" si="31"/>
        <v>1172.8224048</v>
      </c>
      <c r="D156" s="13">
        <f t="shared" si="32"/>
        <v>47.823390000000039</v>
      </c>
      <c r="E156" s="12">
        <f t="shared" si="33"/>
        <v>-7.4968695000000665</v>
      </c>
      <c r="F156" s="12">
        <f t="shared" si="34"/>
        <v>315.29399400000011</v>
      </c>
      <c r="G156" s="12">
        <f t="shared" si="35"/>
        <v>1353.9749099999999</v>
      </c>
      <c r="H156" s="12">
        <f t="shared" si="36"/>
        <v>9516.8546100000003</v>
      </c>
      <c r="I156" s="12">
        <f t="shared" si="37"/>
        <v>47.345156100000096</v>
      </c>
      <c r="J156" s="22">
        <f t="shared" si="38"/>
        <v>450558.79330308002</v>
      </c>
      <c r="K156" s="22">
        <f t="shared" si="39"/>
        <v>432302.33840928</v>
      </c>
      <c r="L156" s="22">
        <f t="shared" si="40"/>
        <v>18256.454893800023</v>
      </c>
      <c r="M156" s="22">
        <f t="shared" si="41"/>
        <v>503804.561736</v>
      </c>
      <c r="N156" s="12">
        <f t="shared" si="42"/>
        <v>0.95948041595202127</v>
      </c>
      <c r="O156" s="12">
        <f t="shared" si="43"/>
        <v>0.53819127031091385</v>
      </c>
      <c r="P156" s="13">
        <f t="shared" si="44"/>
        <v>0.42128914564110742</v>
      </c>
      <c r="Q156" s="5">
        <v>0.157</v>
      </c>
      <c r="U156" s="31">
        <f t="shared" si="30"/>
        <v>0.99482674999999987</v>
      </c>
    </row>
    <row r="157" spans="3:21" x14ac:dyDescent="0.2">
      <c r="C157" s="12">
        <f t="shared" si="31"/>
        <v>1180.2926112000002</v>
      </c>
      <c r="D157" s="13">
        <f t="shared" si="32"/>
        <v>47.766660000000044</v>
      </c>
      <c r="E157" s="12">
        <f t="shared" si="33"/>
        <v>-7.5535995000000611</v>
      </c>
      <c r="F157" s="12">
        <f t="shared" si="34"/>
        <v>317.30223600000011</v>
      </c>
      <c r="G157" s="12">
        <f t="shared" si="35"/>
        <v>1363.312668</v>
      </c>
      <c r="H157" s="12">
        <f t="shared" si="36"/>
        <v>9505.5653399999992</v>
      </c>
      <c r="I157" s="12">
        <f t="shared" si="37"/>
        <v>47.288993400000095</v>
      </c>
      <c r="J157" s="22">
        <f t="shared" si="38"/>
        <v>453430.62463362009</v>
      </c>
      <c r="K157" s="22">
        <f t="shared" si="39"/>
        <v>435055.8564883201</v>
      </c>
      <c r="L157" s="22">
        <f t="shared" si="40"/>
        <v>18374.768145299982</v>
      </c>
      <c r="M157" s="22">
        <f t="shared" si="41"/>
        <v>507276.58296480001</v>
      </c>
      <c r="N157" s="12">
        <f t="shared" si="42"/>
        <v>0.95947612016690065</v>
      </c>
      <c r="O157" s="12">
        <f t="shared" si="43"/>
        <v>0.53832019542826781</v>
      </c>
      <c r="P157" s="13">
        <f t="shared" si="44"/>
        <v>0.42115592473863284</v>
      </c>
      <c r="Q157" s="3">
        <v>0.158</v>
      </c>
      <c r="U157" s="31">
        <f t="shared" si="30"/>
        <v>0.99482674999999987</v>
      </c>
    </row>
    <row r="158" spans="3:21" x14ac:dyDescent="0.2">
      <c r="C158" s="12">
        <f t="shared" si="31"/>
        <v>1187.7628176000001</v>
      </c>
      <c r="D158" s="13">
        <f t="shared" si="32"/>
        <v>47.709930000000043</v>
      </c>
      <c r="E158" s="12">
        <f t="shared" si="33"/>
        <v>-7.6103295000000699</v>
      </c>
      <c r="F158" s="12">
        <f t="shared" si="34"/>
        <v>319.3104780000001</v>
      </c>
      <c r="G158" s="12">
        <f t="shared" si="35"/>
        <v>1372.6504260000002</v>
      </c>
      <c r="H158" s="12">
        <f t="shared" si="36"/>
        <v>9494.2760699999999</v>
      </c>
      <c r="I158" s="12">
        <f t="shared" si="37"/>
        <v>47.232830700000086</v>
      </c>
      <c r="J158" s="22">
        <f t="shared" si="38"/>
        <v>456302.45596415998</v>
      </c>
      <c r="K158" s="22">
        <f t="shared" si="39"/>
        <v>437809.37456736004</v>
      </c>
      <c r="L158" s="22">
        <f t="shared" si="40"/>
        <v>18493.081396799942</v>
      </c>
      <c r="M158" s="22">
        <f t="shared" si="41"/>
        <v>510748.60419360013</v>
      </c>
      <c r="N158" s="12">
        <f t="shared" si="42"/>
        <v>0.95947187845455628</v>
      </c>
      <c r="O158" s="12">
        <f t="shared" si="43"/>
        <v>0.5384474282328614</v>
      </c>
      <c r="P158" s="13">
        <f t="shared" si="44"/>
        <v>0.42102445022169488</v>
      </c>
      <c r="Q158" s="5">
        <v>0.159</v>
      </c>
      <c r="U158" s="31">
        <f t="shared" si="30"/>
        <v>0.99482674999999987</v>
      </c>
    </row>
    <row r="159" spans="3:21" x14ac:dyDescent="0.2">
      <c r="C159" s="12">
        <f t="shared" si="31"/>
        <v>1195.2330239999999</v>
      </c>
      <c r="D159" s="13">
        <f t="shared" si="32"/>
        <v>47.653200000000034</v>
      </c>
      <c r="E159" s="12">
        <f t="shared" si="33"/>
        <v>-7.6670595000000645</v>
      </c>
      <c r="F159" s="12">
        <f t="shared" si="34"/>
        <v>321.3187200000001</v>
      </c>
      <c r="G159" s="12">
        <f t="shared" si="35"/>
        <v>1381.9881839999998</v>
      </c>
      <c r="H159" s="12">
        <f t="shared" si="36"/>
        <v>9482.9868000000006</v>
      </c>
      <c r="I159" s="12">
        <f t="shared" si="37"/>
        <v>47.176668000000092</v>
      </c>
      <c r="J159" s="22">
        <f t="shared" si="38"/>
        <v>459174.28729469993</v>
      </c>
      <c r="K159" s="22">
        <f t="shared" si="39"/>
        <v>440562.89264639997</v>
      </c>
      <c r="L159" s="22">
        <f t="shared" si="40"/>
        <v>18611.39464829996</v>
      </c>
      <c r="M159" s="22">
        <f t="shared" si="41"/>
        <v>514220.62542239996</v>
      </c>
      <c r="N159" s="12">
        <f t="shared" si="42"/>
        <v>0.95946768980041974</v>
      </c>
      <c r="O159" s="12">
        <f t="shared" si="43"/>
        <v>0.53857300182819678</v>
      </c>
      <c r="P159" s="13">
        <f t="shared" si="44"/>
        <v>0.42089468797222296</v>
      </c>
      <c r="Q159" s="3">
        <v>0.16</v>
      </c>
      <c r="U159" s="31">
        <f t="shared" si="30"/>
        <v>0.99482674999999987</v>
      </c>
    </row>
    <row r="160" spans="3:21" x14ac:dyDescent="0.2">
      <c r="C160" s="12">
        <f t="shared" si="31"/>
        <v>1202.7032304000002</v>
      </c>
      <c r="D160" s="13">
        <f t="shared" si="32"/>
        <v>47.596470000000039</v>
      </c>
      <c r="E160" s="12">
        <f t="shared" si="33"/>
        <v>-7.7237895000000663</v>
      </c>
      <c r="F160" s="12">
        <f t="shared" si="34"/>
        <v>323.32696200000009</v>
      </c>
      <c r="G160" s="12">
        <f t="shared" si="35"/>
        <v>1391.3259419999999</v>
      </c>
      <c r="H160" s="12">
        <f t="shared" si="36"/>
        <v>9471.6975299999995</v>
      </c>
      <c r="I160" s="12">
        <f t="shared" si="37"/>
        <v>47.12050530000009</v>
      </c>
      <c r="J160" s="22">
        <f t="shared" si="38"/>
        <v>462046.11862524011</v>
      </c>
      <c r="K160" s="22">
        <f t="shared" si="39"/>
        <v>443316.41072544007</v>
      </c>
      <c r="L160" s="22">
        <f t="shared" si="40"/>
        <v>18729.707899800036</v>
      </c>
      <c r="M160" s="22">
        <f t="shared" si="41"/>
        <v>517692.64665120002</v>
      </c>
      <c r="N160" s="12">
        <f t="shared" si="42"/>
        <v>0.95946355321514676</v>
      </c>
      <c r="O160" s="12">
        <f t="shared" si="43"/>
        <v>0.53869694845998217</v>
      </c>
      <c r="P160" s="13">
        <f t="shared" si="44"/>
        <v>0.42076660475516459</v>
      </c>
      <c r="Q160" s="5">
        <v>0.161</v>
      </c>
      <c r="U160" s="31">
        <f t="shared" si="30"/>
        <v>0.99482674999999987</v>
      </c>
    </row>
    <row r="161" spans="3:21" x14ac:dyDescent="0.2">
      <c r="C161" s="12">
        <f t="shared" si="31"/>
        <v>1210.1734368</v>
      </c>
      <c r="D161" s="13">
        <f t="shared" si="32"/>
        <v>47.539740000000045</v>
      </c>
      <c r="E161" s="12">
        <f t="shared" si="33"/>
        <v>-7.7805195000000609</v>
      </c>
      <c r="F161" s="12">
        <f t="shared" si="34"/>
        <v>325.33520400000009</v>
      </c>
      <c r="G161" s="12">
        <f t="shared" si="35"/>
        <v>1400.6637000000001</v>
      </c>
      <c r="H161" s="12">
        <f t="shared" si="36"/>
        <v>9460.4082600000002</v>
      </c>
      <c r="I161" s="12">
        <f t="shared" si="37"/>
        <v>47.064342600000096</v>
      </c>
      <c r="J161" s="22">
        <f t="shared" si="38"/>
        <v>464917.94995577994</v>
      </c>
      <c r="K161" s="22">
        <f t="shared" si="39"/>
        <v>446069.92880448001</v>
      </c>
      <c r="L161" s="22">
        <f t="shared" si="40"/>
        <v>18848.021151299938</v>
      </c>
      <c r="M161" s="22">
        <f t="shared" si="41"/>
        <v>521164.66788000002</v>
      </c>
      <c r="N161" s="12">
        <f t="shared" si="42"/>
        <v>0.9594594677338385</v>
      </c>
      <c r="O161" s="12">
        <f t="shared" si="43"/>
        <v>0.53881929954373653</v>
      </c>
      <c r="P161" s="13">
        <f t="shared" si="44"/>
        <v>0.42064016819010197</v>
      </c>
      <c r="Q161" s="3">
        <v>0.16200000000000001</v>
      </c>
      <c r="U161" s="31">
        <f t="shared" si="30"/>
        <v>0.99482674999999987</v>
      </c>
    </row>
    <row r="162" spans="3:21" x14ac:dyDescent="0.2">
      <c r="C162" s="12">
        <f t="shared" si="31"/>
        <v>1217.6436432</v>
      </c>
      <c r="D162" s="13">
        <f t="shared" si="32"/>
        <v>47.483010000000043</v>
      </c>
      <c r="E162" s="12">
        <f t="shared" si="33"/>
        <v>-7.8372495000000697</v>
      </c>
      <c r="F162" s="12">
        <f t="shared" si="34"/>
        <v>327.34344600000009</v>
      </c>
      <c r="G162" s="12">
        <f t="shared" si="35"/>
        <v>1410.0014580000002</v>
      </c>
      <c r="H162" s="12">
        <f t="shared" si="36"/>
        <v>9449.118989999999</v>
      </c>
      <c r="I162" s="12">
        <f t="shared" si="37"/>
        <v>47.008179900000087</v>
      </c>
      <c r="J162" s="22">
        <f t="shared" si="38"/>
        <v>467789.78128632001</v>
      </c>
      <c r="K162" s="22">
        <f t="shared" si="39"/>
        <v>448823.44688352005</v>
      </c>
      <c r="L162" s="22">
        <f t="shared" si="40"/>
        <v>18966.334402799956</v>
      </c>
      <c r="M162" s="22">
        <f t="shared" si="41"/>
        <v>524636.68910880014</v>
      </c>
      <c r="N162" s="12">
        <f t="shared" si="42"/>
        <v>0.95945543241528986</v>
      </c>
      <c r="O162" s="12">
        <f t="shared" si="43"/>
        <v>0.53894008569133545</v>
      </c>
      <c r="P162" s="13">
        <f t="shared" si="44"/>
        <v>0.42051534672395441</v>
      </c>
      <c r="Q162" s="5">
        <v>0.16300000000000001</v>
      </c>
      <c r="U162" s="31">
        <f t="shared" si="30"/>
        <v>0.99482674999999987</v>
      </c>
    </row>
    <row r="163" spans="3:21" x14ac:dyDescent="0.2">
      <c r="C163" s="12">
        <f t="shared" si="31"/>
        <v>1225.1138496000001</v>
      </c>
      <c r="D163" s="13">
        <f t="shared" si="32"/>
        <v>47.426280000000034</v>
      </c>
      <c r="E163" s="12">
        <f t="shared" si="33"/>
        <v>-7.8939795000000643</v>
      </c>
      <c r="F163" s="12">
        <f t="shared" si="34"/>
        <v>329.35168800000014</v>
      </c>
      <c r="G163" s="12">
        <f t="shared" si="35"/>
        <v>1419.3392159999999</v>
      </c>
      <c r="H163" s="12">
        <f t="shared" si="36"/>
        <v>9437.8297199999997</v>
      </c>
      <c r="I163" s="12">
        <f t="shared" si="37"/>
        <v>46.952017200000093</v>
      </c>
      <c r="J163" s="22">
        <f t="shared" si="38"/>
        <v>470661.61261686002</v>
      </c>
      <c r="K163" s="22">
        <f t="shared" si="39"/>
        <v>451576.96496256004</v>
      </c>
      <c r="L163" s="22">
        <f t="shared" si="40"/>
        <v>19084.647654299974</v>
      </c>
      <c r="M163" s="22">
        <f t="shared" si="41"/>
        <v>528108.71033759997</v>
      </c>
      <c r="N163" s="12">
        <f t="shared" si="42"/>
        <v>0.95945144634126822</v>
      </c>
      <c r="O163" s="12">
        <f t="shared" si="43"/>
        <v>0.5390593367365466</v>
      </c>
      <c r="P163" s="13">
        <f t="shared" si="44"/>
        <v>0.42039210960472162</v>
      </c>
      <c r="Q163" s="3">
        <v>0.16400000000000001</v>
      </c>
      <c r="U163" s="31">
        <f t="shared" si="30"/>
        <v>0.99482674999999987</v>
      </c>
    </row>
    <row r="164" spans="3:21" x14ac:dyDescent="0.2">
      <c r="C164" s="12">
        <f t="shared" si="31"/>
        <v>1232.5840560000001</v>
      </c>
      <c r="D164" s="13">
        <f t="shared" si="32"/>
        <v>47.369550000000039</v>
      </c>
      <c r="E164" s="12">
        <f t="shared" si="33"/>
        <v>-7.950709500000066</v>
      </c>
      <c r="F164" s="12">
        <f t="shared" si="34"/>
        <v>331.35993000000013</v>
      </c>
      <c r="G164" s="12">
        <f t="shared" si="35"/>
        <v>1428.676974</v>
      </c>
      <c r="H164" s="12">
        <f t="shared" si="36"/>
        <v>9426.5404499999986</v>
      </c>
      <c r="I164" s="12">
        <f t="shared" si="37"/>
        <v>46.895854500000091</v>
      </c>
      <c r="J164" s="22">
        <f t="shared" si="38"/>
        <v>473533.44394740008</v>
      </c>
      <c r="K164" s="22">
        <f t="shared" si="39"/>
        <v>454330.48304160009</v>
      </c>
      <c r="L164" s="22">
        <f t="shared" si="40"/>
        <v>19202.960905799991</v>
      </c>
      <c r="M164" s="22">
        <f t="shared" si="41"/>
        <v>531580.73156639992</v>
      </c>
      <c r="N164" s="12">
        <f t="shared" si="42"/>
        <v>0.95944750861581585</v>
      </c>
      <c r="O164" s="12">
        <f t="shared" si="43"/>
        <v>0.53917708175959567</v>
      </c>
      <c r="P164" s="13">
        <f t="shared" si="44"/>
        <v>0.42027042685622018</v>
      </c>
      <c r="Q164" s="5">
        <v>0.16500000000000001</v>
      </c>
      <c r="U164" s="31">
        <f t="shared" si="30"/>
        <v>0.99482674999999987</v>
      </c>
    </row>
    <row r="165" spans="3:21" x14ac:dyDescent="0.2">
      <c r="C165" s="12">
        <f t="shared" si="31"/>
        <v>1240.0542624</v>
      </c>
      <c r="D165" s="13">
        <f t="shared" si="32"/>
        <v>47.312820000000038</v>
      </c>
      <c r="E165" s="12">
        <f t="shared" si="33"/>
        <v>-8.0074395000000607</v>
      </c>
      <c r="F165" s="12">
        <f t="shared" si="34"/>
        <v>333.36817200000013</v>
      </c>
      <c r="G165" s="12">
        <f t="shared" si="35"/>
        <v>1438.0147320000001</v>
      </c>
      <c r="H165" s="12">
        <f t="shared" si="36"/>
        <v>9415.2511799999993</v>
      </c>
      <c r="I165" s="12">
        <f t="shared" si="37"/>
        <v>46.839691800000097</v>
      </c>
      <c r="J165" s="22">
        <f t="shared" si="38"/>
        <v>476405.27527793997</v>
      </c>
      <c r="K165" s="22">
        <f t="shared" si="39"/>
        <v>457084.00112064002</v>
      </c>
      <c r="L165" s="22">
        <f t="shared" si="40"/>
        <v>19321.274157299951</v>
      </c>
      <c r="M165" s="22">
        <f t="shared" si="41"/>
        <v>535052.7527952001</v>
      </c>
      <c r="N165" s="12">
        <f t="shared" si="42"/>
        <v>0.95944361836457892</v>
      </c>
      <c r="O165" s="12">
        <f t="shared" si="43"/>
        <v>0.53929334911080917</v>
      </c>
      <c r="P165" s="13">
        <f t="shared" si="44"/>
        <v>0.42015026925376975</v>
      </c>
      <c r="Q165" s="3">
        <v>0.16600000000000001</v>
      </c>
      <c r="U165" s="31">
        <f t="shared" si="30"/>
        <v>0.99482674999999987</v>
      </c>
    </row>
    <row r="166" spans="3:21" x14ac:dyDescent="0.2">
      <c r="C166" s="12">
        <f t="shared" si="31"/>
        <v>1247.5244688000002</v>
      </c>
      <c r="D166" s="13">
        <f t="shared" si="32"/>
        <v>47.256090000000043</v>
      </c>
      <c r="E166" s="12">
        <f t="shared" si="33"/>
        <v>-8.0641695000000695</v>
      </c>
      <c r="F166" s="12">
        <f t="shared" si="34"/>
        <v>335.37641400000012</v>
      </c>
      <c r="G166" s="12">
        <f t="shared" si="35"/>
        <v>1447.3524900000002</v>
      </c>
      <c r="H166" s="12">
        <f t="shared" si="36"/>
        <v>9403.96191</v>
      </c>
      <c r="I166" s="12">
        <f t="shared" si="37"/>
        <v>46.783529100000088</v>
      </c>
      <c r="J166" s="22">
        <f t="shared" si="38"/>
        <v>479277.1066084801</v>
      </c>
      <c r="K166" s="22">
        <f t="shared" si="39"/>
        <v>459837.51919968013</v>
      </c>
      <c r="L166" s="22">
        <f t="shared" si="40"/>
        <v>19439.587408799969</v>
      </c>
      <c r="M166" s="22">
        <f t="shared" si="41"/>
        <v>538524.77402400016</v>
      </c>
      <c r="N166" s="12">
        <f t="shared" si="42"/>
        <v>0.95943977473415998</v>
      </c>
      <c r="O166" s="12">
        <f t="shared" si="43"/>
        <v>0.53940816643337031</v>
      </c>
      <c r="P166" s="13">
        <f t="shared" si="44"/>
        <v>0.42003160830078967</v>
      </c>
      <c r="Q166" s="5">
        <v>0.16700000000000001</v>
      </c>
      <c r="U166" s="31">
        <f t="shared" si="30"/>
        <v>0.99482674999999987</v>
      </c>
    </row>
    <row r="167" spans="3:21" x14ac:dyDescent="0.2">
      <c r="C167" s="12">
        <f t="shared" si="31"/>
        <v>1254.9946752000001</v>
      </c>
      <c r="D167" s="13">
        <f t="shared" si="32"/>
        <v>47.199360000000034</v>
      </c>
      <c r="E167" s="12">
        <f t="shared" si="33"/>
        <v>-8.1208995000000641</v>
      </c>
      <c r="F167" s="12">
        <f t="shared" si="34"/>
        <v>337.38465600000012</v>
      </c>
      <c r="G167" s="12">
        <f t="shared" si="35"/>
        <v>1456.6902479999999</v>
      </c>
      <c r="H167" s="12">
        <f t="shared" si="36"/>
        <v>9392.6726399999989</v>
      </c>
      <c r="I167" s="12">
        <f t="shared" si="37"/>
        <v>46.727366400000093</v>
      </c>
      <c r="J167" s="22">
        <f t="shared" si="38"/>
        <v>482148.93793902005</v>
      </c>
      <c r="K167" s="22">
        <f t="shared" si="39"/>
        <v>462591.03727872006</v>
      </c>
      <c r="L167" s="22">
        <f t="shared" si="40"/>
        <v>19557.900660299987</v>
      </c>
      <c r="M167" s="22">
        <f t="shared" si="41"/>
        <v>541996.79525279999</v>
      </c>
      <c r="N167" s="12">
        <f t="shared" si="42"/>
        <v>0.95943597689149407</v>
      </c>
      <c r="O167" s="12">
        <f t="shared" si="43"/>
        <v>0.53952156068523183</v>
      </c>
      <c r="P167" s="13">
        <f t="shared" si="44"/>
        <v>0.41991441620626224</v>
      </c>
      <c r="Q167" s="3">
        <v>0.16800000000000001</v>
      </c>
      <c r="U167" s="31">
        <f t="shared" si="30"/>
        <v>0.99482674999999987</v>
      </c>
    </row>
    <row r="168" spans="3:21" x14ac:dyDescent="0.2">
      <c r="C168" s="12">
        <f t="shared" si="31"/>
        <v>1262.4648816000001</v>
      </c>
      <c r="D168" s="13">
        <f t="shared" si="32"/>
        <v>47.14263000000004</v>
      </c>
      <c r="E168" s="12">
        <f t="shared" si="33"/>
        <v>-8.1776295000000658</v>
      </c>
      <c r="F168" s="12">
        <f t="shared" si="34"/>
        <v>339.39289800000012</v>
      </c>
      <c r="G168" s="12">
        <f t="shared" si="35"/>
        <v>1466.028006</v>
      </c>
      <c r="H168" s="12">
        <f t="shared" si="36"/>
        <v>9381.3833699999996</v>
      </c>
      <c r="I168" s="12">
        <f t="shared" si="37"/>
        <v>46.671203700000092</v>
      </c>
      <c r="J168" s="22">
        <f t="shared" si="38"/>
        <v>485020.76926956006</v>
      </c>
      <c r="K168" s="22">
        <f t="shared" si="39"/>
        <v>465344.55535776005</v>
      </c>
      <c r="L168" s="22">
        <f t="shared" si="40"/>
        <v>19676.213911800005</v>
      </c>
      <c r="M168" s="22">
        <f t="shared" si="41"/>
        <v>545468.81648160005</v>
      </c>
      <c r="N168" s="12">
        <f t="shared" si="42"/>
        <v>0.95943222402324679</v>
      </c>
      <c r="O168" s="12">
        <f t="shared" si="43"/>
        <v>0.53963355816021663</v>
      </c>
      <c r="P168" s="13">
        <f t="shared" si="44"/>
        <v>0.41979866586303016</v>
      </c>
      <c r="Q168" s="5">
        <v>0.16900000000000001</v>
      </c>
      <c r="U168" s="31">
        <f t="shared" si="30"/>
        <v>0.99482674999999987</v>
      </c>
    </row>
    <row r="169" spans="3:21" x14ac:dyDescent="0.2">
      <c r="C169" s="12">
        <f t="shared" si="31"/>
        <v>1269.9350880000002</v>
      </c>
      <c r="D169" s="13">
        <f t="shared" si="32"/>
        <v>47.085900000000038</v>
      </c>
      <c r="E169" s="12">
        <f t="shared" si="33"/>
        <v>-8.2343595000000605</v>
      </c>
      <c r="F169" s="12">
        <f t="shared" si="34"/>
        <v>341.40114000000011</v>
      </c>
      <c r="G169" s="12">
        <f t="shared" si="35"/>
        <v>1475.3657640000001</v>
      </c>
      <c r="H169" s="12">
        <f t="shared" si="36"/>
        <v>9370.0941000000003</v>
      </c>
      <c r="I169" s="12">
        <f t="shared" si="37"/>
        <v>46.615041000000097</v>
      </c>
      <c r="J169" s="22">
        <f t="shared" si="38"/>
        <v>487892.60060010006</v>
      </c>
      <c r="K169" s="22">
        <f t="shared" si="39"/>
        <v>468098.0734368001</v>
      </c>
      <c r="L169" s="22">
        <f t="shared" si="40"/>
        <v>19794.527163299965</v>
      </c>
      <c r="M169" s="22">
        <f t="shared" si="41"/>
        <v>548940.83771040011</v>
      </c>
      <c r="N169" s="12">
        <f t="shared" si="42"/>
        <v>0.95942851533523354</v>
      </c>
      <c r="O169" s="12">
        <f t="shared" si="43"/>
        <v>0.53974418450834438</v>
      </c>
      <c r="P169" s="13">
        <f t="shared" si="44"/>
        <v>0.41968433082688916</v>
      </c>
      <c r="Q169" s="3">
        <v>0.17</v>
      </c>
      <c r="U169" s="31">
        <f t="shared" si="30"/>
        <v>0.99482674999999987</v>
      </c>
    </row>
    <row r="170" spans="3:21" x14ac:dyDescent="0.2">
      <c r="C170" s="12">
        <f t="shared" si="31"/>
        <v>1277.4052944000002</v>
      </c>
      <c r="D170" s="13">
        <f t="shared" si="32"/>
        <v>47.029170000000043</v>
      </c>
      <c r="E170" s="12">
        <f t="shared" si="33"/>
        <v>-8.2910895000000693</v>
      </c>
      <c r="F170" s="12">
        <f t="shared" si="34"/>
        <v>343.40938200000011</v>
      </c>
      <c r="G170" s="12">
        <f t="shared" si="35"/>
        <v>1484.7035220000002</v>
      </c>
      <c r="H170" s="12">
        <f t="shared" si="36"/>
        <v>9358.8048300000009</v>
      </c>
      <c r="I170" s="12">
        <f t="shared" si="37"/>
        <v>46.558878300000089</v>
      </c>
      <c r="J170" s="22">
        <f t="shared" si="38"/>
        <v>490764.43193064007</v>
      </c>
      <c r="K170" s="22">
        <f t="shared" si="39"/>
        <v>470851.59151584009</v>
      </c>
      <c r="L170" s="22">
        <f t="shared" si="40"/>
        <v>19912.840414799983</v>
      </c>
      <c r="M170" s="22">
        <f t="shared" si="41"/>
        <v>552412.85893920006</v>
      </c>
      <c r="N170" s="12">
        <f t="shared" si="42"/>
        <v>0.95942485005185896</v>
      </c>
      <c r="O170" s="12">
        <f t="shared" si="43"/>
        <v>0.53985346475541585</v>
      </c>
      <c r="P170" s="13">
        <f t="shared" si="44"/>
        <v>0.41957138529644311</v>
      </c>
      <c r="Q170" s="5">
        <v>0.17100000000000001</v>
      </c>
      <c r="U170" s="31">
        <f t="shared" si="30"/>
        <v>0.99482674999999987</v>
      </c>
    </row>
    <row r="171" spans="3:21" x14ac:dyDescent="0.2">
      <c r="C171" s="12">
        <f t="shared" si="31"/>
        <v>1284.8755007999998</v>
      </c>
      <c r="D171" s="13">
        <f t="shared" si="32"/>
        <v>46.972440000000041</v>
      </c>
      <c r="E171" s="12">
        <f t="shared" si="33"/>
        <v>-8.3478195000000568</v>
      </c>
      <c r="F171" s="12">
        <f t="shared" si="34"/>
        <v>345.4176240000001</v>
      </c>
      <c r="G171" s="12">
        <f t="shared" si="35"/>
        <v>1494.0412799999999</v>
      </c>
      <c r="H171" s="12">
        <f t="shared" si="36"/>
        <v>9347.5155599999998</v>
      </c>
      <c r="I171" s="12">
        <f t="shared" si="37"/>
        <v>46.502715600000101</v>
      </c>
      <c r="J171" s="22">
        <f t="shared" si="38"/>
        <v>493636.26326117996</v>
      </c>
      <c r="K171" s="22">
        <f t="shared" si="39"/>
        <v>473605.10959487996</v>
      </c>
      <c r="L171" s="22">
        <f t="shared" si="40"/>
        <v>20031.153666300001</v>
      </c>
      <c r="M171" s="22">
        <f t="shared" si="41"/>
        <v>555884.880168</v>
      </c>
      <c r="N171" s="12">
        <f t="shared" si="42"/>
        <v>0.95942122741557656</v>
      </c>
      <c r="O171" s="12">
        <f t="shared" si="43"/>
        <v>0.53996142332188746</v>
      </c>
      <c r="P171" s="13">
        <f t="shared" si="44"/>
        <v>0.4194598040936891</v>
      </c>
      <c r="Q171" s="3">
        <v>0.17199999999999999</v>
      </c>
      <c r="U171" s="31">
        <f t="shared" si="30"/>
        <v>0.99482674999999987</v>
      </c>
    </row>
    <row r="172" spans="3:21" x14ac:dyDescent="0.2">
      <c r="C172" s="12">
        <f t="shared" si="31"/>
        <v>1292.3457072000001</v>
      </c>
      <c r="D172" s="13">
        <f t="shared" si="32"/>
        <v>46.91571000000004</v>
      </c>
      <c r="E172" s="12">
        <f t="shared" si="33"/>
        <v>-8.4045495000000656</v>
      </c>
      <c r="F172" s="12">
        <f t="shared" si="34"/>
        <v>347.4258660000001</v>
      </c>
      <c r="G172" s="12">
        <f t="shared" si="35"/>
        <v>1503.379038</v>
      </c>
      <c r="H172" s="12">
        <f t="shared" si="36"/>
        <v>9336.2262899999987</v>
      </c>
      <c r="I172" s="12">
        <f t="shared" si="37"/>
        <v>46.446552900000093</v>
      </c>
      <c r="J172" s="22">
        <f t="shared" si="38"/>
        <v>496508.09459172003</v>
      </c>
      <c r="K172" s="22">
        <f t="shared" si="39"/>
        <v>476358.62767392007</v>
      </c>
      <c r="L172" s="22">
        <f t="shared" si="40"/>
        <v>20149.46691779996</v>
      </c>
      <c r="M172" s="22">
        <f t="shared" si="41"/>
        <v>559356.90139679995</v>
      </c>
      <c r="N172" s="12">
        <f t="shared" si="42"/>
        <v>0.95941764668636687</v>
      </c>
      <c r="O172" s="12">
        <f t="shared" si="43"/>
        <v>0.54006808404106321</v>
      </c>
      <c r="P172" s="13">
        <f t="shared" si="44"/>
        <v>0.41934956264530365</v>
      </c>
      <c r="Q172" s="5">
        <v>0.17299999999999999</v>
      </c>
      <c r="U172" s="31">
        <f t="shared" si="30"/>
        <v>0.99482674999999987</v>
      </c>
    </row>
    <row r="173" spans="3:21" x14ac:dyDescent="0.2">
      <c r="C173" s="12">
        <f t="shared" si="31"/>
        <v>1299.8159135999999</v>
      </c>
      <c r="D173" s="13">
        <f t="shared" si="32"/>
        <v>46.858980000000052</v>
      </c>
      <c r="E173" s="12">
        <f t="shared" si="33"/>
        <v>-8.4612795000000602</v>
      </c>
      <c r="F173" s="12">
        <f t="shared" si="34"/>
        <v>349.43410800000009</v>
      </c>
      <c r="G173" s="12">
        <f t="shared" si="35"/>
        <v>1512.7167959999997</v>
      </c>
      <c r="H173" s="12">
        <f t="shared" si="36"/>
        <v>9324.9370200000012</v>
      </c>
      <c r="I173" s="12">
        <f t="shared" si="37"/>
        <v>46.390390200000098</v>
      </c>
      <c r="J173" s="22">
        <f t="shared" si="38"/>
        <v>499379.92592225998</v>
      </c>
      <c r="K173" s="22">
        <f t="shared" si="39"/>
        <v>479112.14575296</v>
      </c>
      <c r="L173" s="22">
        <f t="shared" si="40"/>
        <v>20267.780169299978</v>
      </c>
      <c r="M173" s="22">
        <f t="shared" si="41"/>
        <v>562828.92262559989</v>
      </c>
      <c r="N173" s="12">
        <f t="shared" si="42"/>
        <v>0.95941410714123276</v>
      </c>
      <c r="O173" s="12">
        <f t="shared" si="43"/>
        <v>0.54017347017663753</v>
      </c>
      <c r="P173" s="13">
        <f t="shared" si="44"/>
        <v>0.41924063696459524</v>
      </c>
      <c r="Q173" s="3">
        <v>0.17399999999999999</v>
      </c>
      <c r="U173" s="31">
        <f t="shared" si="30"/>
        <v>0.99482674999999987</v>
      </c>
    </row>
    <row r="174" spans="3:21" x14ac:dyDescent="0.2">
      <c r="C174" s="12">
        <f t="shared" si="31"/>
        <v>1307.28612</v>
      </c>
      <c r="D174" s="13">
        <f t="shared" si="32"/>
        <v>46.802250000000043</v>
      </c>
      <c r="E174" s="12">
        <f t="shared" si="33"/>
        <v>-8.5180095000000691</v>
      </c>
      <c r="F174" s="12">
        <f t="shared" si="34"/>
        <v>351.44235000000009</v>
      </c>
      <c r="G174" s="12">
        <f t="shared" si="35"/>
        <v>1522.0545539999998</v>
      </c>
      <c r="H174" s="12">
        <f t="shared" si="36"/>
        <v>9313.6477499999983</v>
      </c>
      <c r="I174" s="12">
        <f t="shared" si="37"/>
        <v>46.33422750000009</v>
      </c>
      <c r="J174" s="22">
        <f t="shared" si="38"/>
        <v>502251.75725279999</v>
      </c>
      <c r="K174" s="22">
        <f t="shared" si="39"/>
        <v>481865.66383200005</v>
      </c>
      <c r="L174" s="22">
        <f t="shared" si="40"/>
        <v>20386.093420799938</v>
      </c>
      <c r="M174" s="22">
        <f t="shared" si="41"/>
        <v>566300.94385440007</v>
      </c>
      <c r="N174" s="12">
        <f t="shared" si="42"/>
        <v>0.95941060807371359</v>
      </c>
      <c r="O174" s="12">
        <f t="shared" si="43"/>
        <v>0.54027760443960926</v>
      </c>
      <c r="P174" s="13">
        <f t="shared" si="44"/>
        <v>0.41913300363410433</v>
      </c>
      <c r="Q174" s="5">
        <v>0.17499999999999999</v>
      </c>
      <c r="U174" s="31">
        <f t="shared" si="30"/>
        <v>0.99482674999999987</v>
      </c>
    </row>
    <row r="175" spans="3:21" x14ac:dyDescent="0.2">
      <c r="C175" s="12">
        <f t="shared" si="31"/>
        <v>1314.7563264</v>
      </c>
      <c r="D175" s="13">
        <f t="shared" si="32"/>
        <v>46.745520000000042</v>
      </c>
      <c r="E175" s="12">
        <f t="shared" si="33"/>
        <v>-8.5747395000000566</v>
      </c>
      <c r="F175" s="12">
        <f t="shared" si="34"/>
        <v>353.45059200000009</v>
      </c>
      <c r="G175" s="12">
        <f t="shared" si="35"/>
        <v>1531.3923119999999</v>
      </c>
      <c r="H175" s="12">
        <f t="shared" si="36"/>
        <v>9302.3584800000008</v>
      </c>
      <c r="I175" s="12">
        <f t="shared" si="37"/>
        <v>46.278064800000102</v>
      </c>
      <c r="J175" s="22">
        <f t="shared" si="38"/>
        <v>505123.58858334005</v>
      </c>
      <c r="K175" s="22">
        <f t="shared" si="39"/>
        <v>484619.18191104004</v>
      </c>
      <c r="L175" s="22">
        <f t="shared" si="40"/>
        <v>20504.406672300014</v>
      </c>
      <c r="M175" s="22">
        <f t="shared" si="41"/>
        <v>569772.96508320002</v>
      </c>
      <c r="N175" s="12">
        <f t="shared" si="42"/>
        <v>0.95940714879341449</v>
      </c>
      <c r="O175" s="12">
        <f t="shared" si="43"/>
        <v>0.54038050900459955</v>
      </c>
      <c r="P175" s="13">
        <f t="shared" si="44"/>
        <v>0.41902663978881494</v>
      </c>
      <c r="Q175" s="3">
        <v>0.17599999999999999</v>
      </c>
      <c r="U175" s="31">
        <f t="shared" si="30"/>
        <v>0.99482674999999987</v>
      </c>
    </row>
    <row r="176" spans="3:21" x14ac:dyDescent="0.2">
      <c r="C176" s="12">
        <f t="shared" si="31"/>
        <v>1322.2265328000001</v>
      </c>
      <c r="D176" s="13">
        <f t="shared" si="32"/>
        <v>46.688790000000033</v>
      </c>
      <c r="E176" s="12">
        <f t="shared" si="33"/>
        <v>-8.6314695000000654</v>
      </c>
      <c r="F176" s="12">
        <f t="shared" si="34"/>
        <v>355.45883400000008</v>
      </c>
      <c r="G176" s="12">
        <f t="shared" si="35"/>
        <v>1540.7300700000001</v>
      </c>
      <c r="H176" s="12">
        <f t="shared" si="36"/>
        <v>9291.0692099999997</v>
      </c>
      <c r="I176" s="12">
        <f t="shared" si="37"/>
        <v>46.221902100000094</v>
      </c>
      <c r="J176" s="22">
        <f t="shared" si="38"/>
        <v>507995.41991388006</v>
      </c>
      <c r="K176" s="22">
        <f t="shared" si="39"/>
        <v>487372.69999008009</v>
      </c>
      <c r="L176" s="22">
        <f t="shared" si="40"/>
        <v>20622.719923799974</v>
      </c>
      <c r="M176" s="22">
        <f t="shared" si="41"/>
        <v>573244.98631200008</v>
      </c>
      <c r="N176" s="12">
        <f t="shared" si="42"/>
        <v>0.95940372862555312</v>
      </c>
      <c r="O176" s="12">
        <f t="shared" si="43"/>
        <v>0.54048220552559323</v>
      </c>
      <c r="P176" s="13">
        <f t="shared" si="44"/>
        <v>0.41892152309995989</v>
      </c>
      <c r="Q176" s="5">
        <v>0.17699999999999999</v>
      </c>
      <c r="U176" s="31">
        <f t="shared" si="30"/>
        <v>0.99482674999999987</v>
      </c>
    </row>
    <row r="177" spans="3:21" x14ac:dyDescent="0.2">
      <c r="C177" s="12">
        <f t="shared" si="31"/>
        <v>1329.6967391999999</v>
      </c>
      <c r="D177" s="13">
        <f t="shared" si="32"/>
        <v>46.632060000000045</v>
      </c>
      <c r="E177" s="12">
        <f t="shared" si="33"/>
        <v>-8.68819950000006</v>
      </c>
      <c r="F177" s="12">
        <f t="shared" si="34"/>
        <v>357.46707600000008</v>
      </c>
      <c r="G177" s="12">
        <f t="shared" si="35"/>
        <v>1550.0678279999997</v>
      </c>
      <c r="H177" s="12">
        <f t="shared" si="36"/>
        <v>9279.7799400000004</v>
      </c>
      <c r="I177" s="12">
        <f t="shared" si="37"/>
        <v>46.165739400000099</v>
      </c>
      <c r="J177" s="22">
        <f t="shared" si="38"/>
        <v>510867.25124442001</v>
      </c>
      <c r="K177" s="22">
        <f t="shared" si="39"/>
        <v>490126.21806912002</v>
      </c>
      <c r="L177" s="22">
        <f t="shared" si="40"/>
        <v>20741.033175299992</v>
      </c>
      <c r="M177" s="22">
        <f t="shared" si="41"/>
        <v>576717.00754079991</v>
      </c>
      <c r="N177" s="12">
        <f t="shared" si="42"/>
        <v>0.95940034691051934</v>
      </c>
      <c r="O177" s="12">
        <f t="shared" si="43"/>
        <v>0.54058271515112988</v>
      </c>
      <c r="P177" s="13">
        <f t="shared" si="44"/>
        <v>0.41881763175938946</v>
      </c>
      <c r="Q177" s="3">
        <v>0.17799999999999999</v>
      </c>
      <c r="U177" s="31">
        <f t="shared" si="30"/>
        <v>0.99482674999999987</v>
      </c>
    </row>
    <row r="178" spans="3:21" x14ac:dyDescent="0.2">
      <c r="C178" s="12">
        <f t="shared" si="31"/>
        <v>1337.1669456</v>
      </c>
      <c r="D178" s="13">
        <f t="shared" si="32"/>
        <v>46.575330000000044</v>
      </c>
      <c r="E178" s="12">
        <f t="shared" si="33"/>
        <v>-8.7449295000000689</v>
      </c>
      <c r="F178" s="12">
        <f t="shared" si="34"/>
        <v>359.47531800000007</v>
      </c>
      <c r="G178" s="12">
        <f t="shared" si="35"/>
        <v>1559.4055859999999</v>
      </c>
      <c r="H178" s="12">
        <f t="shared" si="36"/>
        <v>9268.4906699999992</v>
      </c>
      <c r="I178" s="12">
        <f t="shared" si="37"/>
        <v>46.109576700000083</v>
      </c>
      <c r="J178" s="22">
        <f t="shared" si="38"/>
        <v>513739.08257495996</v>
      </c>
      <c r="K178" s="22">
        <f t="shared" si="39"/>
        <v>492879.73614816001</v>
      </c>
      <c r="L178" s="22">
        <f t="shared" si="40"/>
        <v>20859.346426799952</v>
      </c>
      <c r="M178" s="22">
        <f t="shared" si="41"/>
        <v>580189.02876959997</v>
      </c>
      <c r="N178" s="12">
        <f t="shared" si="42"/>
        <v>0.95939700300345288</v>
      </c>
      <c r="O178" s="12">
        <f t="shared" si="43"/>
        <v>0.54068205853896578</v>
      </c>
      <c r="P178" s="13">
        <f t="shared" si="44"/>
        <v>0.41871494446448709</v>
      </c>
      <c r="Q178" s="5">
        <v>0.17899999999999999</v>
      </c>
      <c r="U178" s="31">
        <f t="shared" si="30"/>
        <v>0.99482674999999987</v>
      </c>
    </row>
    <row r="179" spans="3:21" x14ac:dyDescent="0.2">
      <c r="C179" s="12">
        <f t="shared" si="31"/>
        <v>1344.637152</v>
      </c>
      <c r="D179" s="13">
        <f t="shared" si="32"/>
        <v>46.518600000000042</v>
      </c>
      <c r="E179" s="12">
        <f t="shared" si="33"/>
        <v>-8.8016595000000564</v>
      </c>
      <c r="F179" s="12">
        <f t="shared" si="34"/>
        <v>361.48356000000007</v>
      </c>
      <c r="G179" s="12">
        <f t="shared" si="35"/>
        <v>1568.743344</v>
      </c>
      <c r="H179" s="12">
        <f t="shared" si="36"/>
        <v>9257.2013999999999</v>
      </c>
      <c r="I179" s="12">
        <f t="shared" si="37"/>
        <v>46.053414000000103</v>
      </c>
      <c r="J179" s="22">
        <f t="shared" si="38"/>
        <v>516610.91390550009</v>
      </c>
      <c r="K179" s="22">
        <f t="shared" si="39"/>
        <v>495633.25422720006</v>
      </c>
      <c r="L179" s="22">
        <f t="shared" si="40"/>
        <v>20977.659678300028</v>
      </c>
      <c r="M179" s="22">
        <f t="shared" si="41"/>
        <v>583661.04999840003</v>
      </c>
      <c r="N179" s="12">
        <f t="shared" si="42"/>
        <v>0.95939369627383186</v>
      </c>
      <c r="O179" s="12">
        <f t="shared" si="43"/>
        <v>0.54078025587022827</v>
      </c>
      <c r="P179" s="13">
        <f t="shared" si="44"/>
        <v>0.4186134404036036</v>
      </c>
      <c r="Q179" s="3">
        <v>0.18</v>
      </c>
      <c r="U179" s="31">
        <f t="shared" si="30"/>
        <v>0.99482674999999987</v>
      </c>
    </row>
    <row r="180" spans="3:21" x14ac:dyDescent="0.2">
      <c r="C180" s="12">
        <f t="shared" si="31"/>
        <v>1352.1073583999998</v>
      </c>
      <c r="D180" s="13">
        <f t="shared" si="32"/>
        <v>46.461870000000033</v>
      </c>
      <c r="E180" s="12">
        <f t="shared" si="33"/>
        <v>-8.8583895000000652</v>
      </c>
      <c r="F180" s="12">
        <f t="shared" si="34"/>
        <v>363.49180200000006</v>
      </c>
      <c r="G180" s="12">
        <f t="shared" si="35"/>
        <v>1578.0811019999996</v>
      </c>
      <c r="H180" s="12">
        <f t="shared" si="36"/>
        <v>9245.9121300000006</v>
      </c>
      <c r="I180" s="12">
        <f t="shared" si="37"/>
        <v>45.997251300000087</v>
      </c>
      <c r="J180" s="22">
        <f t="shared" si="38"/>
        <v>519482.74523603998</v>
      </c>
      <c r="K180" s="22">
        <f t="shared" si="39"/>
        <v>498386.77230623999</v>
      </c>
      <c r="L180" s="22">
        <f t="shared" si="40"/>
        <v>21095.972929799987</v>
      </c>
      <c r="M180" s="22">
        <f t="shared" si="41"/>
        <v>587133.07122719986</v>
      </c>
      <c r="N180" s="12">
        <f t="shared" si="42"/>
        <v>0.95939042610507785</v>
      </c>
      <c r="O180" s="12">
        <f t="shared" si="43"/>
        <v>0.54087732686308376</v>
      </c>
      <c r="P180" s="13">
        <f t="shared" si="44"/>
        <v>0.41851309924199409</v>
      </c>
      <c r="Q180" s="5">
        <v>0.18099999999999999</v>
      </c>
      <c r="U180" s="31">
        <f t="shared" si="30"/>
        <v>0.99482674999999987</v>
      </c>
    </row>
    <row r="181" spans="3:21" x14ac:dyDescent="0.2">
      <c r="C181" s="12">
        <f t="shared" si="31"/>
        <v>1359.5775647999999</v>
      </c>
      <c r="D181" s="13">
        <f t="shared" si="32"/>
        <v>46.405140000000046</v>
      </c>
      <c r="E181" s="12">
        <f t="shared" si="33"/>
        <v>-8.9151195000000598</v>
      </c>
      <c r="F181" s="12">
        <f t="shared" si="34"/>
        <v>365.50004400000006</v>
      </c>
      <c r="G181" s="12">
        <f t="shared" si="35"/>
        <v>1587.4188599999998</v>
      </c>
      <c r="H181" s="12">
        <f t="shared" si="36"/>
        <v>9234.6228599999995</v>
      </c>
      <c r="I181" s="12">
        <f t="shared" si="37"/>
        <v>45.941088600000093</v>
      </c>
      <c r="J181" s="22">
        <f t="shared" si="38"/>
        <v>522354.57656657993</v>
      </c>
      <c r="K181" s="22">
        <f t="shared" si="39"/>
        <v>501140.29038527998</v>
      </c>
      <c r="L181" s="22">
        <f t="shared" si="40"/>
        <v>21214.286181299947</v>
      </c>
      <c r="M181" s="22">
        <f t="shared" si="41"/>
        <v>590605.09245599993</v>
      </c>
      <c r="N181" s="12">
        <f t="shared" si="42"/>
        <v>0.95938719189417121</v>
      </c>
      <c r="O181" s="12">
        <f t="shared" si="43"/>
        <v>0.54097329078593703</v>
      </c>
      <c r="P181" s="13">
        <f t="shared" si="44"/>
        <v>0.41841390110823418</v>
      </c>
      <c r="Q181" s="3">
        <v>0.182</v>
      </c>
      <c r="U181" s="31">
        <f t="shared" si="30"/>
        <v>0.99482674999999987</v>
      </c>
    </row>
    <row r="182" spans="3:21" x14ac:dyDescent="0.2">
      <c r="C182" s="12">
        <f t="shared" si="31"/>
        <v>1367.0477711999999</v>
      </c>
      <c r="D182" s="13">
        <f t="shared" si="32"/>
        <v>46.348410000000044</v>
      </c>
      <c r="E182" s="12">
        <f t="shared" si="33"/>
        <v>-8.9718495000000686</v>
      </c>
      <c r="F182" s="12">
        <f t="shared" si="34"/>
        <v>367.50828600000006</v>
      </c>
      <c r="G182" s="12">
        <f t="shared" si="35"/>
        <v>1596.7566179999999</v>
      </c>
      <c r="H182" s="12">
        <f t="shared" si="36"/>
        <v>9223.3335900000002</v>
      </c>
      <c r="I182" s="12">
        <f t="shared" si="37"/>
        <v>45.884925900000091</v>
      </c>
      <c r="J182" s="22">
        <f t="shared" si="38"/>
        <v>525226.40789711999</v>
      </c>
      <c r="K182" s="22">
        <f t="shared" si="39"/>
        <v>503893.80846432003</v>
      </c>
      <c r="L182" s="22">
        <f t="shared" si="40"/>
        <v>21332.599432799965</v>
      </c>
      <c r="M182" s="22">
        <f t="shared" si="41"/>
        <v>594077.11368479999</v>
      </c>
      <c r="N182" s="12">
        <f t="shared" si="42"/>
        <v>0.9593839930512813</v>
      </c>
      <c r="O182" s="12">
        <f t="shared" si="43"/>
        <v>0.54106816647018263</v>
      </c>
      <c r="P182" s="13">
        <f t="shared" si="44"/>
        <v>0.41831582658109867</v>
      </c>
      <c r="Q182" s="5">
        <v>0.183</v>
      </c>
      <c r="U182" s="31">
        <f t="shared" si="30"/>
        <v>0.99482674999999987</v>
      </c>
    </row>
    <row r="183" spans="3:21" x14ac:dyDescent="0.2">
      <c r="C183" s="12">
        <f t="shared" si="31"/>
        <v>1374.5179775999998</v>
      </c>
      <c r="D183" s="13">
        <f t="shared" si="32"/>
        <v>46.291680000000042</v>
      </c>
      <c r="E183" s="12">
        <f t="shared" si="33"/>
        <v>-9.0285795000000562</v>
      </c>
      <c r="F183" s="12">
        <f t="shared" si="34"/>
        <v>369.51652800000005</v>
      </c>
      <c r="G183" s="12">
        <f t="shared" si="35"/>
        <v>1606.0943759999996</v>
      </c>
      <c r="H183" s="12">
        <f t="shared" si="36"/>
        <v>9212.0443200000009</v>
      </c>
      <c r="I183" s="12">
        <f t="shared" si="37"/>
        <v>45.828763200000097</v>
      </c>
      <c r="J183" s="22">
        <f t="shared" si="38"/>
        <v>528098.23922766</v>
      </c>
      <c r="K183" s="22">
        <f t="shared" si="39"/>
        <v>506647.32654335996</v>
      </c>
      <c r="L183" s="22">
        <f t="shared" si="40"/>
        <v>21450.912684300041</v>
      </c>
      <c r="M183" s="22">
        <f t="shared" si="41"/>
        <v>597549.13491359982</v>
      </c>
      <c r="N183" s="12">
        <f t="shared" si="42"/>
        <v>0.95938082899940769</v>
      </c>
      <c r="O183" s="12">
        <f t="shared" si="43"/>
        <v>0.54116197232252361</v>
      </c>
      <c r="P183" s="13">
        <f t="shared" si="44"/>
        <v>0.41821885667688408</v>
      </c>
      <c r="Q183" s="3">
        <v>0.184</v>
      </c>
      <c r="U183" s="31">
        <f t="shared" si="30"/>
        <v>0.99482674999999987</v>
      </c>
    </row>
    <row r="184" spans="3:21" x14ac:dyDescent="0.2">
      <c r="C184" s="12">
        <f t="shared" si="31"/>
        <v>1381.9881839999998</v>
      </c>
      <c r="D184" s="13">
        <f t="shared" si="32"/>
        <v>46.234950000000033</v>
      </c>
      <c r="E184" s="12">
        <f t="shared" si="33"/>
        <v>-9.085309500000065</v>
      </c>
      <c r="F184" s="12">
        <f t="shared" si="34"/>
        <v>371.52477000000005</v>
      </c>
      <c r="G184" s="12">
        <f t="shared" si="35"/>
        <v>1615.4321339999997</v>
      </c>
      <c r="H184" s="12">
        <f t="shared" si="36"/>
        <v>9200.7550499999979</v>
      </c>
      <c r="I184" s="12">
        <f t="shared" si="37"/>
        <v>45.772600500000088</v>
      </c>
      <c r="J184" s="22">
        <f t="shared" si="38"/>
        <v>530970.07055819989</v>
      </c>
      <c r="K184" s="22">
        <f t="shared" si="39"/>
        <v>509400.84462239995</v>
      </c>
      <c r="L184" s="22">
        <f t="shared" si="40"/>
        <v>21569.225935799943</v>
      </c>
      <c r="M184" s="22">
        <f t="shared" si="41"/>
        <v>601021.1561424</v>
      </c>
      <c r="N184" s="12">
        <f t="shared" si="42"/>
        <v>0.95937769917403337</v>
      </c>
      <c r="O184" s="12">
        <f t="shared" si="43"/>
        <v>0.54125472633687766</v>
      </c>
      <c r="P184" s="13">
        <f t="shared" si="44"/>
        <v>0.41812297283715572</v>
      </c>
      <c r="Q184" s="5">
        <v>0.185</v>
      </c>
      <c r="U184" s="31">
        <f t="shared" si="30"/>
        <v>0.99482674999999987</v>
      </c>
    </row>
    <row r="185" spans="3:21" x14ac:dyDescent="0.2">
      <c r="C185" s="12">
        <f t="shared" si="31"/>
        <v>1389.4583903999999</v>
      </c>
      <c r="D185" s="13">
        <f t="shared" si="32"/>
        <v>46.178220000000046</v>
      </c>
      <c r="E185" s="12">
        <f t="shared" si="33"/>
        <v>-9.1420395000000667</v>
      </c>
      <c r="F185" s="12">
        <f t="shared" si="34"/>
        <v>373.53301200000004</v>
      </c>
      <c r="G185" s="12">
        <f t="shared" si="35"/>
        <v>1624.7698919999998</v>
      </c>
      <c r="H185" s="12">
        <f t="shared" si="36"/>
        <v>9189.4657800000004</v>
      </c>
      <c r="I185" s="12">
        <f t="shared" si="37"/>
        <v>45.716437800000094</v>
      </c>
      <c r="J185" s="22">
        <f t="shared" si="38"/>
        <v>533841.90188874002</v>
      </c>
      <c r="K185" s="22">
        <f t="shared" si="39"/>
        <v>512154.36270144</v>
      </c>
      <c r="L185" s="22">
        <f t="shared" si="40"/>
        <v>21687.539187300019</v>
      </c>
      <c r="M185" s="22">
        <f t="shared" si="41"/>
        <v>604493.17737119994</v>
      </c>
      <c r="N185" s="12">
        <f t="shared" si="42"/>
        <v>0.95937460302278788</v>
      </c>
      <c r="O185" s="12">
        <f t="shared" si="43"/>
        <v>0.54134644610588278</v>
      </c>
      <c r="P185" s="13">
        <f t="shared" si="44"/>
        <v>0.41802815691690509</v>
      </c>
      <c r="Q185" s="3">
        <v>0.186</v>
      </c>
      <c r="U185" s="31">
        <f t="shared" si="30"/>
        <v>0.99482674999999987</v>
      </c>
    </row>
    <row r="186" spans="3:21" x14ac:dyDescent="0.2">
      <c r="C186" s="12">
        <f t="shared" si="31"/>
        <v>1396.9285967999999</v>
      </c>
      <c r="D186" s="13">
        <f t="shared" si="32"/>
        <v>46.121490000000037</v>
      </c>
      <c r="E186" s="12">
        <f t="shared" si="33"/>
        <v>-9.1987695000000684</v>
      </c>
      <c r="F186" s="12">
        <f t="shared" si="34"/>
        <v>375.54125400000004</v>
      </c>
      <c r="G186" s="12">
        <f t="shared" si="35"/>
        <v>1634.1076499999999</v>
      </c>
      <c r="H186" s="12">
        <f t="shared" si="36"/>
        <v>9178.1765099999993</v>
      </c>
      <c r="I186" s="12">
        <f t="shared" si="37"/>
        <v>45.660275100000092</v>
      </c>
      <c r="J186" s="22">
        <f t="shared" si="38"/>
        <v>536713.73321927991</v>
      </c>
      <c r="K186" s="22">
        <f t="shared" si="39"/>
        <v>514907.88078047999</v>
      </c>
      <c r="L186" s="22">
        <f t="shared" si="40"/>
        <v>21805.85243879992</v>
      </c>
      <c r="M186" s="22">
        <f t="shared" si="41"/>
        <v>607965.1986</v>
      </c>
      <c r="N186" s="12">
        <f t="shared" si="42"/>
        <v>0.95937154000512426</v>
      </c>
      <c r="O186" s="12">
        <f t="shared" si="43"/>
        <v>0.5414371488320221</v>
      </c>
      <c r="P186" s="13">
        <f t="shared" si="44"/>
        <v>0.41793439117310216</v>
      </c>
      <c r="Q186" s="5">
        <v>0.187</v>
      </c>
      <c r="U186" s="31">
        <f t="shared" si="30"/>
        <v>0.99482674999999987</v>
      </c>
    </row>
    <row r="187" spans="3:21" x14ac:dyDescent="0.2">
      <c r="C187" s="12">
        <f t="shared" si="31"/>
        <v>1404.3988032000002</v>
      </c>
      <c r="D187" s="13">
        <f t="shared" si="32"/>
        <v>46.064760000000042</v>
      </c>
      <c r="E187" s="12">
        <f t="shared" si="33"/>
        <v>-9.2554995000000559</v>
      </c>
      <c r="F187" s="12">
        <f t="shared" si="34"/>
        <v>377.54949600000015</v>
      </c>
      <c r="G187" s="12">
        <f t="shared" si="35"/>
        <v>1643.445408</v>
      </c>
      <c r="H187" s="12">
        <f t="shared" si="36"/>
        <v>9166.8872400000018</v>
      </c>
      <c r="I187" s="12">
        <f t="shared" si="37"/>
        <v>45.604112400000098</v>
      </c>
      <c r="J187" s="22">
        <f t="shared" si="38"/>
        <v>539585.56454982003</v>
      </c>
      <c r="K187" s="22">
        <f t="shared" si="39"/>
        <v>517661.39885952009</v>
      </c>
      <c r="L187" s="22">
        <f t="shared" si="40"/>
        <v>21924.165690299938</v>
      </c>
      <c r="M187" s="22">
        <f t="shared" si="41"/>
        <v>611437.21982880007</v>
      </c>
      <c r="N187" s="12">
        <f t="shared" si="42"/>
        <v>0.95936850959200248</v>
      </c>
      <c r="O187" s="12">
        <f t="shared" si="43"/>
        <v>0.54152685133837986</v>
      </c>
      <c r="P187" s="13">
        <f t="shared" si="44"/>
        <v>0.41784165825362263</v>
      </c>
      <c r="Q187" s="3">
        <v>0.188</v>
      </c>
      <c r="U187" s="31">
        <f t="shared" si="30"/>
        <v>0.99482674999999987</v>
      </c>
    </row>
    <row r="188" spans="3:21" x14ac:dyDescent="0.2">
      <c r="C188" s="12">
        <f t="shared" si="31"/>
        <v>1411.8690096</v>
      </c>
      <c r="D188" s="13">
        <f t="shared" si="32"/>
        <v>46.008030000000034</v>
      </c>
      <c r="E188" s="12">
        <f t="shared" si="33"/>
        <v>-9.3122295000000648</v>
      </c>
      <c r="F188" s="12">
        <f t="shared" si="34"/>
        <v>379.55773800000014</v>
      </c>
      <c r="G188" s="12">
        <f t="shared" si="35"/>
        <v>1652.7831660000002</v>
      </c>
      <c r="H188" s="12">
        <f t="shared" si="36"/>
        <v>9155.5979699999989</v>
      </c>
      <c r="I188" s="12">
        <f t="shared" si="37"/>
        <v>45.547949700000096</v>
      </c>
      <c r="J188" s="22">
        <f t="shared" si="38"/>
        <v>542457.39588036004</v>
      </c>
      <c r="K188" s="22">
        <f t="shared" si="39"/>
        <v>520414.91693856003</v>
      </c>
      <c r="L188" s="22">
        <f t="shared" si="40"/>
        <v>22042.478941800015</v>
      </c>
      <c r="M188" s="22">
        <f t="shared" si="41"/>
        <v>614909.24105760013</v>
      </c>
      <c r="N188" s="12">
        <f t="shared" si="42"/>
        <v>0.959365511265586</v>
      </c>
      <c r="O188" s="12">
        <f t="shared" si="43"/>
        <v>0.54161557007904326</v>
      </c>
      <c r="P188" s="13">
        <f t="shared" si="44"/>
        <v>0.41774994118654274</v>
      </c>
      <c r="Q188" s="5">
        <v>0.189</v>
      </c>
      <c r="U188" s="31">
        <f t="shared" si="30"/>
        <v>0.99482674999999987</v>
      </c>
    </row>
    <row r="189" spans="3:21" x14ac:dyDescent="0.2">
      <c r="C189" s="12">
        <f t="shared" si="31"/>
        <v>1419.3392160000003</v>
      </c>
      <c r="D189" s="13">
        <f t="shared" si="32"/>
        <v>45.951300000000046</v>
      </c>
      <c r="E189" s="12">
        <f t="shared" si="33"/>
        <v>-9.3689595000000665</v>
      </c>
      <c r="F189" s="12">
        <f t="shared" si="34"/>
        <v>381.56598000000014</v>
      </c>
      <c r="G189" s="12">
        <f t="shared" si="35"/>
        <v>1662.1209240000003</v>
      </c>
      <c r="H189" s="12">
        <f t="shared" si="36"/>
        <v>9144.3087000000014</v>
      </c>
      <c r="I189" s="12">
        <f t="shared" si="37"/>
        <v>45.491787000000087</v>
      </c>
      <c r="J189" s="22">
        <f t="shared" si="38"/>
        <v>545329.22721090016</v>
      </c>
      <c r="K189" s="22">
        <f t="shared" si="39"/>
        <v>523168.43501760013</v>
      </c>
      <c r="L189" s="22">
        <f t="shared" si="40"/>
        <v>22160.792193300033</v>
      </c>
      <c r="M189" s="22">
        <f t="shared" si="41"/>
        <v>618381.26228640019</v>
      </c>
      <c r="N189" s="12">
        <f t="shared" si="42"/>
        <v>0.95936254451894698</v>
      </c>
      <c r="O189" s="12">
        <f t="shared" si="43"/>
        <v>0.54170332114916431</v>
      </c>
      <c r="P189" s="13">
        <f t="shared" si="44"/>
        <v>0.41765922336978267</v>
      </c>
      <c r="Q189" s="3">
        <v>0.19</v>
      </c>
      <c r="U189" s="31">
        <f t="shared" si="30"/>
        <v>0.99482674999999987</v>
      </c>
    </row>
    <row r="190" spans="3:21" x14ac:dyDescent="0.2">
      <c r="C190" s="12">
        <f t="shared" si="31"/>
        <v>1426.8094224000001</v>
      </c>
      <c r="D190" s="13">
        <f t="shared" si="32"/>
        <v>45.894570000000037</v>
      </c>
      <c r="E190" s="12">
        <f t="shared" si="33"/>
        <v>-9.4256895000000682</v>
      </c>
      <c r="F190" s="12">
        <f t="shared" si="34"/>
        <v>383.57422200000013</v>
      </c>
      <c r="G190" s="12">
        <f t="shared" si="35"/>
        <v>1671.458682</v>
      </c>
      <c r="H190" s="12">
        <f t="shared" si="36"/>
        <v>9133.0194300000003</v>
      </c>
      <c r="I190" s="12">
        <f t="shared" si="37"/>
        <v>45.435624300000086</v>
      </c>
      <c r="J190" s="22">
        <f t="shared" si="38"/>
        <v>548201.05854143994</v>
      </c>
      <c r="K190" s="22">
        <f t="shared" si="39"/>
        <v>525921.95309664006</v>
      </c>
      <c r="L190" s="22">
        <f t="shared" si="40"/>
        <v>22279.105444799876</v>
      </c>
      <c r="M190" s="22">
        <f t="shared" si="41"/>
        <v>621853.28351520002</v>
      </c>
      <c r="N190" s="12">
        <f t="shared" si="42"/>
        <v>0.95935960885577942</v>
      </c>
      <c r="O190" s="12">
        <f t="shared" si="43"/>
        <v>0.54179012029469431</v>
      </c>
      <c r="P190" s="13">
        <f t="shared" si="44"/>
        <v>0.41756948856108511</v>
      </c>
      <c r="Q190" s="5">
        <v>0.191</v>
      </c>
      <c r="U190" s="31">
        <f t="shared" si="30"/>
        <v>0.99482674999999987</v>
      </c>
    </row>
    <row r="191" spans="3:21" x14ac:dyDescent="0.2">
      <c r="C191" s="12">
        <f t="shared" si="31"/>
        <v>1434.2796288000002</v>
      </c>
      <c r="D191" s="13">
        <f t="shared" si="32"/>
        <v>45.837840000000043</v>
      </c>
      <c r="E191" s="12">
        <f t="shared" si="33"/>
        <v>-9.4824195000000557</v>
      </c>
      <c r="F191" s="12">
        <f t="shared" si="34"/>
        <v>385.58246400000013</v>
      </c>
      <c r="G191" s="12">
        <f t="shared" si="35"/>
        <v>1680.7964400000001</v>
      </c>
      <c r="H191" s="12">
        <f t="shared" si="36"/>
        <v>9121.730160000001</v>
      </c>
      <c r="I191" s="12">
        <f t="shared" si="37"/>
        <v>45.379461600000106</v>
      </c>
      <c r="J191" s="22">
        <f t="shared" si="38"/>
        <v>551072.88987198006</v>
      </c>
      <c r="K191" s="22">
        <f t="shared" si="39"/>
        <v>528675.47117568005</v>
      </c>
      <c r="L191" s="22">
        <f t="shared" si="40"/>
        <v>22397.41869630001</v>
      </c>
      <c r="M191" s="22">
        <f t="shared" si="41"/>
        <v>625325.30474400008</v>
      </c>
      <c r="N191" s="12">
        <f t="shared" si="42"/>
        <v>0.95935670379012261</v>
      </c>
      <c r="O191" s="12">
        <f t="shared" si="43"/>
        <v>0.54187598292180317</v>
      </c>
      <c r="P191" s="13">
        <f t="shared" si="44"/>
        <v>0.41748072086831944</v>
      </c>
      <c r="Q191" s="3">
        <v>0.192</v>
      </c>
      <c r="U191" s="31">
        <f t="shared" si="30"/>
        <v>0.99482674999999987</v>
      </c>
    </row>
    <row r="192" spans="3:21" x14ac:dyDescent="0.2">
      <c r="C192" s="12">
        <f t="shared" si="31"/>
        <v>1441.7498352000002</v>
      </c>
      <c r="D192" s="13">
        <f t="shared" si="32"/>
        <v>45.781110000000034</v>
      </c>
      <c r="E192" s="12">
        <f t="shared" si="33"/>
        <v>-9.5391495000000646</v>
      </c>
      <c r="F192" s="12">
        <f t="shared" si="34"/>
        <v>387.59070600000013</v>
      </c>
      <c r="G192" s="12">
        <f t="shared" si="35"/>
        <v>1690.1341980000002</v>
      </c>
      <c r="H192" s="12">
        <f t="shared" si="36"/>
        <v>9110.4408899999999</v>
      </c>
      <c r="I192" s="12">
        <f t="shared" si="37"/>
        <v>45.32329890000009</v>
      </c>
      <c r="J192" s="22">
        <f t="shared" si="38"/>
        <v>553944.72120252019</v>
      </c>
      <c r="K192" s="22">
        <f t="shared" si="39"/>
        <v>531428.98925472016</v>
      </c>
      <c r="L192" s="22">
        <f t="shared" si="40"/>
        <v>22515.731947800028</v>
      </c>
      <c r="M192" s="22">
        <f t="shared" si="41"/>
        <v>628797.32597280014</v>
      </c>
      <c r="N192" s="12">
        <f t="shared" si="42"/>
        <v>0.95935382884609466</v>
      </c>
      <c r="O192" s="12">
        <f t="shared" si="43"/>
        <v>0.54196092410599483</v>
      </c>
      <c r="P192" s="13">
        <f t="shared" si="44"/>
        <v>0.41739290474009982</v>
      </c>
      <c r="Q192" s="5">
        <v>0.193</v>
      </c>
      <c r="U192" s="31">
        <f t="shared" si="30"/>
        <v>0.99482674999999987</v>
      </c>
    </row>
    <row r="193" spans="3:21" x14ac:dyDescent="0.2">
      <c r="C193" s="12">
        <f t="shared" si="31"/>
        <v>1449.2200416000003</v>
      </c>
      <c r="D193" s="13">
        <f t="shared" si="32"/>
        <v>45.724380000000046</v>
      </c>
      <c r="E193" s="12">
        <f t="shared" si="33"/>
        <v>-9.5958795000000663</v>
      </c>
      <c r="F193" s="12">
        <f t="shared" si="34"/>
        <v>389.59894800000012</v>
      </c>
      <c r="G193" s="12">
        <f t="shared" si="35"/>
        <v>1699.4719560000003</v>
      </c>
      <c r="H193" s="12">
        <f t="shared" si="36"/>
        <v>9099.1516200000005</v>
      </c>
      <c r="I193" s="12">
        <f t="shared" si="37"/>
        <v>45.267136200000088</v>
      </c>
      <c r="J193" s="22">
        <f t="shared" si="38"/>
        <v>556816.5525330602</v>
      </c>
      <c r="K193" s="22">
        <f t="shared" si="39"/>
        <v>534182.50733376015</v>
      </c>
      <c r="L193" s="22">
        <f t="shared" si="40"/>
        <v>22634.045199300046</v>
      </c>
      <c r="M193" s="22">
        <f t="shared" si="41"/>
        <v>632269.34720160009</v>
      </c>
      <c r="N193" s="12">
        <f t="shared" si="42"/>
        <v>0.95935098355763015</v>
      </c>
      <c r="O193" s="12">
        <f t="shared" si="43"/>
        <v>0.54204495860093227</v>
      </c>
      <c r="P193" s="13">
        <f t="shared" si="44"/>
        <v>0.41730602495669789</v>
      </c>
      <c r="Q193" s="3">
        <v>0.19400000000000001</v>
      </c>
      <c r="U193" s="31">
        <f t="shared" si="30"/>
        <v>0.99482674999999987</v>
      </c>
    </row>
    <row r="194" spans="3:21" x14ac:dyDescent="0.2">
      <c r="C194" s="12">
        <f t="shared" si="31"/>
        <v>1456.6902480000001</v>
      </c>
      <c r="D194" s="13">
        <f t="shared" si="32"/>
        <v>45.667650000000037</v>
      </c>
      <c r="E194" s="12">
        <f t="shared" si="33"/>
        <v>-9.652609500000068</v>
      </c>
      <c r="F194" s="12">
        <f t="shared" si="34"/>
        <v>391.60719000000017</v>
      </c>
      <c r="G194" s="12">
        <f t="shared" si="35"/>
        <v>1708.809714</v>
      </c>
      <c r="H194" s="12">
        <f t="shared" si="36"/>
        <v>9087.8623499999994</v>
      </c>
      <c r="I194" s="12">
        <f t="shared" si="37"/>
        <v>45.210973500000087</v>
      </c>
      <c r="J194" s="22">
        <f t="shared" si="38"/>
        <v>559688.38386359997</v>
      </c>
      <c r="K194" s="22">
        <f t="shared" si="39"/>
        <v>536936.02541280002</v>
      </c>
      <c r="L194" s="22">
        <f t="shared" si="40"/>
        <v>22752.358450799948</v>
      </c>
      <c r="M194" s="22">
        <f t="shared" si="41"/>
        <v>635741.36843040003</v>
      </c>
      <c r="N194" s="12">
        <f t="shared" si="42"/>
        <v>0.95934816746823026</v>
      </c>
      <c r="O194" s="12">
        <f t="shared" si="43"/>
        <v>0.54212810084698004</v>
      </c>
      <c r="P194" s="13">
        <f t="shared" si="44"/>
        <v>0.41722006662125022</v>
      </c>
      <c r="Q194" s="5">
        <v>0.19500000000000001</v>
      </c>
      <c r="U194" s="31">
        <f t="shared" si="30"/>
        <v>0.99482674999999987</v>
      </c>
    </row>
    <row r="195" spans="3:21" x14ac:dyDescent="0.2">
      <c r="C195" s="12">
        <f t="shared" si="31"/>
        <v>1464.1604544000002</v>
      </c>
      <c r="D195" s="13">
        <f t="shared" si="32"/>
        <v>45.610920000000043</v>
      </c>
      <c r="E195" s="12">
        <f t="shared" si="33"/>
        <v>-9.7093395000000626</v>
      </c>
      <c r="F195" s="12">
        <f t="shared" si="34"/>
        <v>393.61543200000017</v>
      </c>
      <c r="G195" s="12">
        <f t="shared" si="35"/>
        <v>1718.1474720000001</v>
      </c>
      <c r="H195" s="12">
        <f t="shared" si="36"/>
        <v>9076.5730800000001</v>
      </c>
      <c r="I195" s="12">
        <f t="shared" si="37"/>
        <v>45.154810800000092</v>
      </c>
      <c r="J195" s="22">
        <f t="shared" si="38"/>
        <v>562560.2151941401</v>
      </c>
      <c r="K195" s="22">
        <f t="shared" si="39"/>
        <v>539689.54349184013</v>
      </c>
      <c r="L195" s="22">
        <f t="shared" si="40"/>
        <v>22870.671702299966</v>
      </c>
      <c r="M195" s="22">
        <f t="shared" si="41"/>
        <v>639213.38965919998</v>
      </c>
      <c r="N195" s="12">
        <f t="shared" si="42"/>
        <v>0.95934538013071669</v>
      </c>
      <c r="O195" s="12">
        <f t="shared" si="43"/>
        <v>0.54221036497947572</v>
      </c>
      <c r="P195" s="13">
        <f t="shared" si="44"/>
        <v>0.41713501515124096</v>
      </c>
      <c r="Q195" s="3">
        <v>0.19600000000000001</v>
      </c>
      <c r="U195" s="31">
        <f t="shared" si="30"/>
        <v>0.99482674999999987</v>
      </c>
    </row>
    <row r="196" spans="3:21" x14ac:dyDescent="0.2">
      <c r="C196" s="12">
        <f t="shared" si="31"/>
        <v>1471.6306608000002</v>
      </c>
      <c r="D196" s="13">
        <f t="shared" si="32"/>
        <v>45.554190000000034</v>
      </c>
      <c r="E196" s="12">
        <f t="shared" si="33"/>
        <v>-9.7660695000000644</v>
      </c>
      <c r="F196" s="12">
        <f t="shared" si="34"/>
        <v>395.62367400000016</v>
      </c>
      <c r="G196" s="12">
        <f t="shared" si="35"/>
        <v>1727.4852300000002</v>
      </c>
      <c r="H196" s="12">
        <f t="shared" si="36"/>
        <v>9065.283809999999</v>
      </c>
      <c r="I196" s="12">
        <f t="shared" si="37"/>
        <v>45.098648100000091</v>
      </c>
      <c r="J196" s="22">
        <f t="shared" si="38"/>
        <v>565432.04652467999</v>
      </c>
      <c r="K196" s="22">
        <f t="shared" si="39"/>
        <v>542443.06157088012</v>
      </c>
      <c r="L196" s="22">
        <f t="shared" si="40"/>
        <v>22988.984953799867</v>
      </c>
      <c r="M196" s="22">
        <f t="shared" si="41"/>
        <v>642685.41088800016</v>
      </c>
      <c r="N196" s="12">
        <f t="shared" si="42"/>
        <v>0.95934262110699731</v>
      </c>
      <c r="O196" s="12">
        <f t="shared" si="43"/>
        <v>0.54229176483674346</v>
      </c>
      <c r="P196" s="13">
        <f t="shared" si="44"/>
        <v>0.41705085627025384</v>
      </c>
      <c r="Q196" s="5">
        <v>0.19700000000000001</v>
      </c>
      <c r="U196" s="31">
        <f t="shared" si="30"/>
        <v>0.99482674999999987</v>
      </c>
    </row>
    <row r="197" spans="3:21" x14ac:dyDescent="0.2">
      <c r="C197" s="12">
        <f t="shared" si="31"/>
        <v>1479.1008672000003</v>
      </c>
      <c r="D197" s="13">
        <f t="shared" si="32"/>
        <v>45.497460000000046</v>
      </c>
      <c r="E197" s="12">
        <f t="shared" si="33"/>
        <v>-9.8227995000000661</v>
      </c>
      <c r="F197" s="12">
        <f t="shared" si="34"/>
        <v>397.63191600000016</v>
      </c>
      <c r="G197" s="12">
        <f t="shared" si="35"/>
        <v>1736.8229880000004</v>
      </c>
      <c r="H197" s="12">
        <f t="shared" si="36"/>
        <v>9053.9945400000015</v>
      </c>
      <c r="I197" s="12">
        <f t="shared" si="37"/>
        <v>45.042485400000089</v>
      </c>
      <c r="J197" s="22">
        <f t="shared" si="38"/>
        <v>568303.87785522011</v>
      </c>
      <c r="K197" s="22">
        <f t="shared" si="39"/>
        <v>545196.57964992011</v>
      </c>
      <c r="L197" s="22">
        <f t="shared" si="40"/>
        <v>23107.298205300001</v>
      </c>
      <c r="M197" s="22">
        <f t="shared" si="41"/>
        <v>646157.43211680022</v>
      </c>
      <c r="N197" s="12">
        <f t="shared" si="42"/>
        <v>0.95933988996783381</v>
      </c>
      <c r="O197" s="12">
        <f t="shared" si="43"/>
        <v>0.54237231396785246</v>
      </c>
      <c r="P197" s="13">
        <f t="shared" si="44"/>
        <v>0.41696757599998135</v>
      </c>
      <c r="Q197" s="3">
        <v>0.19800000000000001</v>
      </c>
      <c r="U197" s="31">
        <f t="shared" si="30"/>
        <v>0.99482674999999987</v>
      </c>
    </row>
    <row r="198" spans="3:21" x14ac:dyDescent="0.2">
      <c r="C198" s="12">
        <f t="shared" si="31"/>
        <v>1486.5710736000001</v>
      </c>
      <c r="D198" s="13">
        <f t="shared" si="32"/>
        <v>45.440730000000038</v>
      </c>
      <c r="E198" s="12">
        <f t="shared" si="33"/>
        <v>-9.8795295000000678</v>
      </c>
      <c r="F198" s="12">
        <f t="shared" si="34"/>
        <v>399.64015800000016</v>
      </c>
      <c r="G198" s="12">
        <f t="shared" si="35"/>
        <v>1746.160746</v>
      </c>
      <c r="H198" s="12">
        <f t="shared" si="36"/>
        <v>9042.7052699999986</v>
      </c>
      <c r="I198" s="12">
        <f t="shared" si="37"/>
        <v>44.986322700000088</v>
      </c>
      <c r="J198" s="22">
        <f t="shared" si="38"/>
        <v>571175.70918576012</v>
      </c>
      <c r="K198" s="22">
        <f t="shared" si="39"/>
        <v>547950.0977289601</v>
      </c>
      <c r="L198" s="22">
        <f t="shared" si="40"/>
        <v>23225.611456800019</v>
      </c>
      <c r="M198" s="22">
        <f t="shared" si="41"/>
        <v>649629.45334560005</v>
      </c>
      <c r="N198" s="12">
        <f t="shared" si="42"/>
        <v>0.9593371862926221</v>
      </c>
      <c r="O198" s="12">
        <f t="shared" si="43"/>
        <v>0.54245202564013606</v>
      </c>
      <c r="P198" s="13">
        <f t="shared" si="44"/>
        <v>0.41688516065248604</v>
      </c>
      <c r="Q198" s="5">
        <v>0.19900000000000001</v>
      </c>
      <c r="U198" s="31">
        <f t="shared" si="30"/>
        <v>0.99482674999999987</v>
      </c>
    </row>
    <row r="199" spans="3:21" x14ac:dyDescent="0.2">
      <c r="C199" s="12">
        <f t="shared" si="31"/>
        <v>1494.0412800000001</v>
      </c>
      <c r="D199" s="13">
        <f t="shared" si="32"/>
        <v>45.384000000000043</v>
      </c>
      <c r="E199" s="12">
        <f t="shared" si="33"/>
        <v>-9.9362595000000624</v>
      </c>
      <c r="F199" s="12">
        <f t="shared" si="34"/>
        <v>401.64840000000015</v>
      </c>
      <c r="G199" s="12">
        <f t="shared" si="35"/>
        <v>1755.4985040000001</v>
      </c>
      <c r="H199" s="12">
        <f t="shared" si="36"/>
        <v>9031.4160000000011</v>
      </c>
      <c r="I199" s="12">
        <f t="shared" si="37"/>
        <v>44.930160000000093</v>
      </c>
      <c r="J199" s="22">
        <f t="shared" si="38"/>
        <v>574047.54051630001</v>
      </c>
      <c r="K199" s="22">
        <f t="shared" si="39"/>
        <v>550703.61580800009</v>
      </c>
      <c r="L199" s="22">
        <f t="shared" si="40"/>
        <v>23343.924708299921</v>
      </c>
      <c r="M199" s="22">
        <f t="shared" si="41"/>
        <v>653101.47457440011</v>
      </c>
      <c r="N199" s="12">
        <f t="shared" si="42"/>
        <v>0.95933450966917422</v>
      </c>
      <c r="O199" s="12">
        <f t="shared" si="43"/>
        <v>0.5425309128464777</v>
      </c>
      <c r="P199" s="13">
        <f t="shared" si="44"/>
        <v>0.41680359682269652</v>
      </c>
      <c r="Q199" s="3">
        <v>0.2</v>
      </c>
      <c r="U199" s="31">
        <f t="shared" si="30"/>
        <v>0.99482674999999987</v>
      </c>
    </row>
    <row r="200" spans="3:21" x14ac:dyDescent="0.2">
      <c r="C200" s="12">
        <f t="shared" si="31"/>
        <v>1501.5114864000002</v>
      </c>
      <c r="D200" s="13">
        <f t="shared" si="32"/>
        <v>45.327270000000034</v>
      </c>
      <c r="E200" s="12">
        <f t="shared" si="33"/>
        <v>-9.9929895000000641</v>
      </c>
      <c r="F200" s="12">
        <f t="shared" si="34"/>
        <v>403.65664200000015</v>
      </c>
      <c r="G200" s="12">
        <f t="shared" si="35"/>
        <v>1764.8362620000003</v>
      </c>
      <c r="H200" s="12">
        <f t="shared" si="36"/>
        <v>9020.12673</v>
      </c>
      <c r="I200" s="12">
        <f t="shared" si="37"/>
        <v>44.873997300000092</v>
      </c>
      <c r="J200" s="22">
        <f t="shared" si="38"/>
        <v>576919.37184684013</v>
      </c>
      <c r="K200" s="22">
        <f t="shared" si="39"/>
        <v>553457.13388704008</v>
      </c>
      <c r="L200" s="22">
        <f t="shared" si="40"/>
        <v>23462.237959800055</v>
      </c>
      <c r="M200" s="22">
        <f t="shared" si="41"/>
        <v>656573.49580320006</v>
      </c>
      <c r="N200" s="12">
        <f t="shared" si="42"/>
        <v>0.95933185969350876</v>
      </c>
      <c r="O200" s="12">
        <f t="shared" si="43"/>
        <v>0.54260898831236903</v>
      </c>
      <c r="P200" s="13">
        <f t="shared" si="44"/>
        <v>0.41672287138113973</v>
      </c>
      <c r="Q200" s="5">
        <v>0.20100000000000001</v>
      </c>
      <c r="U200" s="31">
        <f t="shared" si="30"/>
        <v>0.99482674999999987</v>
      </c>
    </row>
    <row r="201" spans="3:21" x14ac:dyDescent="0.2">
      <c r="C201" s="12">
        <f t="shared" si="31"/>
        <v>1508.9816928</v>
      </c>
      <c r="D201" s="13">
        <f t="shared" si="32"/>
        <v>45.270540000000047</v>
      </c>
      <c r="E201" s="12">
        <f t="shared" si="33"/>
        <v>-10.049719500000066</v>
      </c>
      <c r="F201" s="12">
        <f t="shared" si="34"/>
        <v>405.66488400000014</v>
      </c>
      <c r="G201" s="12">
        <f t="shared" si="35"/>
        <v>1774.1740199999999</v>
      </c>
      <c r="H201" s="12">
        <f t="shared" si="36"/>
        <v>9008.8374600000006</v>
      </c>
      <c r="I201" s="12">
        <f t="shared" si="37"/>
        <v>44.81783460000009</v>
      </c>
      <c r="J201" s="22">
        <f t="shared" si="38"/>
        <v>579791.20317738014</v>
      </c>
      <c r="K201" s="22">
        <f t="shared" si="39"/>
        <v>556210.65196608007</v>
      </c>
      <c r="L201" s="22">
        <f t="shared" si="40"/>
        <v>23580.551211300073</v>
      </c>
      <c r="M201" s="22">
        <f t="shared" si="41"/>
        <v>660045.517032</v>
      </c>
      <c r="N201" s="12">
        <f t="shared" si="42"/>
        <v>0.95932923596964981</v>
      </c>
      <c r="O201" s="12">
        <f t="shared" si="43"/>
        <v>0.54268626450275537</v>
      </c>
      <c r="P201" s="13">
        <f t="shared" si="44"/>
        <v>0.41664297146689444</v>
      </c>
      <c r="Q201" s="3">
        <v>0.20200000000000001</v>
      </c>
      <c r="U201" s="31">
        <f t="shared" si="30"/>
        <v>0.99482674999999987</v>
      </c>
    </row>
    <row r="202" spans="3:21" x14ac:dyDescent="0.2">
      <c r="C202" s="12">
        <f t="shared" si="31"/>
        <v>1516.4518992000003</v>
      </c>
      <c r="D202" s="13">
        <f t="shared" si="32"/>
        <v>45.213810000000038</v>
      </c>
      <c r="E202" s="12">
        <f t="shared" si="33"/>
        <v>-10.106449500000075</v>
      </c>
      <c r="F202" s="12">
        <f t="shared" si="34"/>
        <v>407.67312600000014</v>
      </c>
      <c r="G202" s="12">
        <f t="shared" si="35"/>
        <v>1783.511778</v>
      </c>
      <c r="H202" s="12">
        <f t="shared" si="36"/>
        <v>8997.5481899999995</v>
      </c>
      <c r="I202" s="12">
        <f t="shared" si="37"/>
        <v>44.761671900000081</v>
      </c>
      <c r="J202" s="22">
        <f t="shared" si="38"/>
        <v>582663.03450792003</v>
      </c>
      <c r="K202" s="22">
        <f t="shared" si="39"/>
        <v>558964.17004512018</v>
      </c>
      <c r="L202" s="22">
        <f t="shared" si="40"/>
        <v>23698.864462799858</v>
      </c>
      <c r="M202" s="22">
        <f t="shared" si="41"/>
        <v>663517.53826080007</v>
      </c>
      <c r="N202" s="12">
        <f t="shared" si="42"/>
        <v>0.95932663810942731</v>
      </c>
      <c r="O202" s="12">
        <f t="shared" si="43"/>
        <v>0.54276275362866855</v>
      </c>
      <c r="P202" s="13">
        <f t="shared" si="44"/>
        <v>0.41656388448075876</v>
      </c>
      <c r="Q202" s="5">
        <v>0.20300000000000001</v>
      </c>
      <c r="U202" s="31">
        <f t="shared" si="30"/>
        <v>0.99482674999999987</v>
      </c>
    </row>
    <row r="203" spans="3:21" x14ac:dyDescent="0.2">
      <c r="C203" s="12">
        <f t="shared" si="31"/>
        <v>1523.9221055999999</v>
      </c>
      <c r="D203" s="13">
        <f t="shared" si="32"/>
        <v>45.157080000000043</v>
      </c>
      <c r="E203" s="12">
        <f t="shared" si="33"/>
        <v>-10.163179500000062</v>
      </c>
      <c r="F203" s="12">
        <f t="shared" si="34"/>
        <v>409.68136800000008</v>
      </c>
      <c r="G203" s="12">
        <f t="shared" si="35"/>
        <v>1792.8495359999997</v>
      </c>
      <c r="H203" s="12">
        <f t="shared" si="36"/>
        <v>8986.2589200000002</v>
      </c>
      <c r="I203" s="12">
        <f t="shared" si="37"/>
        <v>44.705509200000094</v>
      </c>
      <c r="J203" s="22">
        <f t="shared" si="38"/>
        <v>585534.86583846004</v>
      </c>
      <c r="K203" s="22">
        <f t="shared" si="39"/>
        <v>561717.68812416005</v>
      </c>
      <c r="L203" s="22">
        <f t="shared" si="40"/>
        <v>23817.177714299993</v>
      </c>
      <c r="M203" s="22">
        <f t="shared" si="41"/>
        <v>666989.55948959989</v>
      </c>
      <c r="N203" s="12">
        <f t="shared" si="42"/>
        <v>0.9593240657322859</v>
      </c>
      <c r="O203" s="12">
        <f t="shared" si="43"/>
        <v>0.54283846765366017</v>
      </c>
      <c r="P203" s="13">
        <f t="shared" si="44"/>
        <v>0.41648559807862573</v>
      </c>
      <c r="Q203" s="3">
        <v>0.20399999999999999</v>
      </c>
      <c r="U203" s="31">
        <f t="shared" si="30"/>
        <v>0.99482674999999987</v>
      </c>
    </row>
    <row r="204" spans="3:21" x14ac:dyDescent="0.2">
      <c r="C204" s="12">
        <f t="shared" si="31"/>
        <v>1531.3923119999999</v>
      </c>
      <c r="D204" s="13">
        <f t="shared" si="32"/>
        <v>45.100350000000041</v>
      </c>
      <c r="E204" s="12">
        <f t="shared" si="33"/>
        <v>-10.219909500000064</v>
      </c>
      <c r="F204" s="12">
        <f t="shared" si="34"/>
        <v>411.68961000000007</v>
      </c>
      <c r="G204" s="12">
        <f t="shared" si="35"/>
        <v>1802.1872939999998</v>
      </c>
      <c r="H204" s="12">
        <f t="shared" si="36"/>
        <v>8974.9696500000009</v>
      </c>
      <c r="I204" s="12">
        <f t="shared" si="37"/>
        <v>44.649346500000092</v>
      </c>
      <c r="J204" s="22">
        <f t="shared" si="38"/>
        <v>588406.69716899993</v>
      </c>
      <c r="K204" s="22">
        <f t="shared" si="39"/>
        <v>564471.20620320004</v>
      </c>
      <c r="L204" s="22">
        <f t="shared" si="40"/>
        <v>23935.490965799894</v>
      </c>
      <c r="M204" s="22">
        <f t="shared" si="41"/>
        <v>670461.58071839996</v>
      </c>
      <c r="N204" s="12">
        <f t="shared" si="42"/>
        <v>0.95932151846510128</v>
      </c>
      <c r="O204" s="12">
        <f t="shared" si="43"/>
        <v>0.54291341830003936</v>
      </c>
      <c r="P204" s="13">
        <f t="shared" si="44"/>
        <v>0.41640810016506191</v>
      </c>
      <c r="Q204" s="5">
        <v>0.20499999999999999</v>
      </c>
      <c r="U204" s="31">
        <f t="shared" si="30"/>
        <v>0.99482674999999987</v>
      </c>
    </row>
    <row r="205" spans="3:21" x14ac:dyDescent="0.2">
      <c r="C205" s="12">
        <f t="shared" si="31"/>
        <v>1538.8625184</v>
      </c>
      <c r="D205" s="13">
        <f t="shared" si="32"/>
        <v>45.043620000000047</v>
      </c>
      <c r="E205" s="12">
        <f t="shared" si="33"/>
        <v>-10.276639500000066</v>
      </c>
      <c r="F205" s="12">
        <f t="shared" si="34"/>
        <v>413.69785200000007</v>
      </c>
      <c r="G205" s="12">
        <f t="shared" si="35"/>
        <v>1811.525052</v>
      </c>
      <c r="H205" s="12">
        <f t="shared" si="36"/>
        <v>8963.6803799999998</v>
      </c>
      <c r="I205" s="12">
        <f t="shared" si="37"/>
        <v>44.593183800000091</v>
      </c>
      <c r="J205" s="22">
        <f t="shared" si="38"/>
        <v>591278.52849954006</v>
      </c>
      <c r="K205" s="22">
        <f t="shared" si="39"/>
        <v>567224.72428224003</v>
      </c>
      <c r="L205" s="22">
        <f t="shared" si="40"/>
        <v>24053.804217300029</v>
      </c>
      <c r="M205" s="22">
        <f t="shared" si="41"/>
        <v>673933.60194720002</v>
      </c>
      <c r="N205" s="12">
        <f t="shared" si="42"/>
        <v>0.95931899594199666</v>
      </c>
      <c r="O205" s="12">
        <f t="shared" si="43"/>
        <v>0.54298761705492271</v>
      </c>
      <c r="P205" s="13">
        <f t="shared" si="44"/>
        <v>0.41633137888707394</v>
      </c>
      <c r="Q205" s="3">
        <v>0.20599999999999999</v>
      </c>
      <c r="U205" s="31">
        <f t="shared" si="30"/>
        <v>0.99482674999999987</v>
      </c>
    </row>
    <row r="206" spans="3:21" x14ac:dyDescent="0.2">
      <c r="C206" s="12">
        <f t="shared" si="31"/>
        <v>1546.3327247999998</v>
      </c>
      <c r="D206" s="13">
        <f t="shared" si="32"/>
        <v>44.986890000000045</v>
      </c>
      <c r="E206" s="12">
        <f t="shared" si="33"/>
        <v>-10.33336950000006</v>
      </c>
      <c r="F206" s="12">
        <f t="shared" si="34"/>
        <v>415.70609400000006</v>
      </c>
      <c r="G206" s="12">
        <f t="shared" si="35"/>
        <v>1820.8628099999996</v>
      </c>
      <c r="H206" s="12">
        <f t="shared" si="36"/>
        <v>8952.3911100000005</v>
      </c>
      <c r="I206" s="12">
        <f t="shared" si="37"/>
        <v>44.537021100000096</v>
      </c>
      <c r="J206" s="22">
        <f t="shared" si="38"/>
        <v>594150.35983008007</v>
      </c>
      <c r="K206" s="22">
        <f t="shared" si="39"/>
        <v>569978.24236128002</v>
      </c>
      <c r="L206" s="22">
        <f t="shared" si="40"/>
        <v>24172.117468800046</v>
      </c>
      <c r="M206" s="22">
        <f t="shared" si="41"/>
        <v>677405.62317599985</v>
      </c>
      <c r="N206" s="12">
        <f t="shared" si="42"/>
        <v>0.95931649780417039</v>
      </c>
      <c r="O206" s="12">
        <f t="shared" si="43"/>
        <v>0.54306107517610402</v>
      </c>
      <c r="P206" s="13">
        <f t="shared" si="44"/>
        <v>0.41625542262806636</v>
      </c>
      <c r="Q206" s="5">
        <v>0.20699999999999999</v>
      </c>
      <c r="U206" s="31">
        <f t="shared" ref="U206:U269" si="45">(Prev*Total_SnSeq)+((1-Prev)*Total_SpSeq)</f>
        <v>0.99482674999999987</v>
      </c>
    </row>
    <row r="207" spans="3:21" x14ac:dyDescent="0.2">
      <c r="C207" s="12">
        <f t="shared" ref="C207:C270" si="46">cohort*Q207*SnTest1*((corr*(SQRT(SnTest1*(1-SnTest1)*SnTest2*(1-SnTest2)))+SnTest1*SnTest2)/SnTest1)</f>
        <v>1553.8029311999999</v>
      </c>
      <c r="D207" s="13">
        <f t="shared" ref="D207:D270" si="47">(1-Q207)*(1-SpTest1)*cohort</f>
        <v>44.930160000000036</v>
      </c>
      <c r="E207" s="12">
        <f t="shared" ref="E207:E270" si="48">(cohort*(1-Q207)*(1-SpTest1))-TNTest2</f>
        <v>-10.390099500000062</v>
      </c>
      <c r="F207" s="12">
        <f t="shared" ref="F207:F270" si="49">cohort*Q207*(1-SnTest1)</f>
        <v>417.71433600000006</v>
      </c>
      <c r="G207" s="12">
        <f t="shared" ref="G207:G270" si="50">(cohort*Q207*SnTest1)-TPSeq</f>
        <v>1830.2005679999997</v>
      </c>
      <c r="H207" s="12">
        <f t="shared" ref="H207:H270" si="51">(1-Q207)*SpTest1*cohort</f>
        <v>8941.1018400000012</v>
      </c>
      <c r="I207" s="12">
        <f t="shared" ref="I207:I270" si="52">cohort*(1-Q207)*(1-SpTest1)*(SpTest2-(corr*(SQRT(SpTest1*(1-SpTest1)*SpTest2*(1-SpTest2)))+SpTest2*SpTest1))/(1-SpTest1)</f>
        <v>44.480858400000095</v>
      </c>
      <c r="J207" s="22">
        <f t="shared" si="38"/>
        <v>597022.19116061996</v>
      </c>
      <c r="K207" s="22">
        <f t="shared" si="39"/>
        <v>572731.76044032001</v>
      </c>
      <c r="L207" s="22">
        <f t="shared" si="40"/>
        <v>24290.430720299948</v>
      </c>
      <c r="M207" s="22">
        <f t="shared" si="41"/>
        <v>680877.64440480003</v>
      </c>
      <c r="N207" s="12">
        <f t="shared" si="42"/>
        <v>0.95931402369972385</v>
      </c>
      <c r="O207" s="12">
        <f t="shared" si="43"/>
        <v>0.543133803697748</v>
      </c>
      <c r="P207" s="13">
        <f t="shared" si="44"/>
        <v>0.41618022000197585</v>
      </c>
      <c r="Q207" s="3">
        <v>0.20799999999999999</v>
      </c>
      <c r="U207" s="31">
        <f t="shared" si="45"/>
        <v>0.99482674999999987</v>
      </c>
    </row>
    <row r="208" spans="3:21" x14ac:dyDescent="0.2">
      <c r="C208" s="12">
        <f t="shared" si="46"/>
        <v>1561.2731375999999</v>
      </c>
      <c r="D208" s="13">
        <f t="shared" si="47"/>
        <v>44.873430000000042</v>
      </c>
      <c r="E208" s="12">
        <f t="shared" si="48"/>
        <v>-10.446829500000064</v>
      </c>
      <c r="F208" s="12">
        <f t="shared" si="49"/>
        <v>419.72257800000006</v>
      </c>
      <c r="G208" s="12">
        <f t="shared" si="50"/>
        <v>1839.5383259999999</v>
      </c>
      <c r="H208" s="12">
        <f t="shared" si="51"/>
        <v>8929.8125700000001</v>
      </c>
      <c r="I208" s="12">
        <f t="shared" si="52"/>
        <v>44.424695700000093</v>
      </c>
      <c r="J208" s="22">
        <f t="shared" ref="J208:J271" si="53">(C208*$H$6)+(E208*$H$6)+(G208*$H$3)+(I208*$H$3)</f>
        <v>599894.02249116008</v>
      </c>
      <c r="K208" s="22">
        <f t="shared" ref="K208:K271" si="54">(C208*$H$6)</f>
        <v>575485.27851936</v>
      </c>
      <c r="L208" s="22">
        <f t="shared" ref="L208:L271" si="55">J208-K208</f>
        <v>24408.743971800082</v>
      </c>
      <c r="M208" s="22">
        <f t="shared" ref="M208:M271" si="56">(F208*$H$3)+(G208*$H$6)</f>
        <v>684349.66563359997</v>
      </c>
      <c r="N208" s="12">
        <f t="shared" ref="N208:N271" si="57">K208/J208</f>
        <v>0.95931157328349648</v>
      </c>
      <c r="O208" s="12">
        <f t="shared" ref="O208:O271" si="58">M208/(M208+K208)</f>
        <v>0.54320581343591556</v>
      </c>
      <c r="P208" s="13">
        <f t="shared" ref="P208:P271" si="59">N208-O208</f>
        <v>0.41610575984758091</v>
      </c>
      <c r="Q208" s="5">
        <v>0.20899999999999999</v>
      </c>
      <c r="U208" s="31">
        <f t="shared" si="45"/>
        <v>0.99482674999999987</v>
      </c>
    </row>
    <row r="209" spans="3:21" x14ac:dyDescent="0.2">
      <c r="C209" s="12">
        <f t="shared" si="46"/>
        <v>1568.743344</v>
      </c>
      <c r="D209" s="13">
        <f t="shared" si="47"/>
        <v>44.816700000000047</v>
      </c>
      <c r="E209" s="12">
        <f t="shared" si="48"/>
        <v>-10.503559500000065</v>
      </c>
      <c r="F209" s="12">
        <f t="shared" si="49"/>
        <v>421.73082000000011</v>
      </c>
      <c r="G209" s="12">
        <f t="shared" si="50"/>
        <v>1848.876084</v>
      </c>
      <c r="H209" s="12">
        <f t="shared" si="51"/>
        <v>8918.5233000000007</v>
      </c>
      <c r="I209" s="12">
        <f t="shared" si="52"/>
        <v>44.368533000000085</v>
      </c>
      <c r="J209" s="22">
        <f t="shared" si="53"/>
        <v>602765.85382169997</v>
      </c>
      <c r="K209" s="22">
        <f t="shared" si="54"/>
        <v>578238.79659839999</v>
      </c>
      <c r="L209" s="22">
        <f t="shared" si="55"/>
        <v>24527.057223299984</v>
      </c>
      <c r="M209" s="22">
        <f t="shared" si="56"/>
        <v>687821.68686240003</v>
      </c>
      <c r="N209" s="12">
        <f t="shared" si="57"/>
        <v>0.95930914621690699</v>
      </c>
      <c r="O209" s="12">
        <f t="shared" si="58"/>
        <v>0.54327711499392717</v>
      </c>
      <c r="P209" s="13">
        <f t="shared" si="59"/>
        <v>0.41603203122297983</v>
      </c>
      <c r="Q209" s="3">
        <v>0.21</v>
      </c>
      <c r="U209" s="31">
        <f t="shared" si="45"/>
        <v>0.99482674999999987</v>
      </c>
    </row>
    <row r="210" spans="3:21" x14ac:dyDescent="0.2">
      <c r="C210" s="12">
        <f t="shared" si="46"/>
        <v>1576.2135503999998</v>
      </c>
      <c r="D210" s="13">
        <f t="shared" si="47"/>
        <v>44.759970000000045</v>
      </c>
      <c r="E210" s="12">
        <f t="shared" si="48"/>
        <v>-10.56028950000006</v>
      </c>
      <c r="F210" s="12">
        <f t="shared" si="49"/>
        <v>423.7390620000001</v>
      </c>
      <c r="G210" s="12">
        <f t="shared" si="50"/>
        <v>1858.2138419999997</v>
      </c>
      <c r="H210" s="12">
        <f t="shared" si="51"/>
        <v>8907.2340300000014</v>
      </c>
      <c r="I210" s="12">
        <f t="shared" si="52"/>
        <v>44.31237030000009</v>
      </c>
      <c r="J210" s="22">
        <f t="shared" si="53"/>
        <v>605637.68515223986</v>
      </c>
      <c r="K210" s="22">
        <f t="shared" si="54"/>
        <v>580992.31467743998</v>
      </c>
      <c r="L210" s="22">
        <f t="shared" si="55"/>
        <v>24645.370474799885</v>
      </c>
      <c r="M210" s="22">
        <f t="shared" si="56"/>
        <v>691293.70809119986</v>
      </c>
      <c r="N210" s="12">
        <f t="shared" si="57"/>
        <v>0.95930674216779499</v>
      </c>
      <c r="O210" s="12">
        <f t="shared" si="58"/>
        <v>0.54334771876756582</v>
      </c>
      <c r="P210" s="13">
        <f t="shared" si="59"/>
        <v>0.41595902340022917</v>
      </c>
      <c r="Q210" s="5">
        <v>0.21099999999999999</v>
      </c>
      <c r="U210" s="31">
        <f t="shared" si="45"/>
        <v>0.99482674999999987</v>
      </c>
    </row>
    <row r="211" spans="3:21" x14ac:dyDescent="0.2">
      <c r="C211" s="12">
        <f t="shared" si="46"/>
        <v>1583.6837568000001</v>
      </c>
      <c r="D211" s="13">
        <f t="shared" si="47"/>
        <v>44.703240000000037</v>
      </c>
      <c r="E211" s="12">
        <f t="shared" si="48"/>
        <v>-10.617019500000062</v>
      </c>
      <c r="F211" s="12">
        <f t="shared" si="49"/>
        <v>425.7473040000001</v>
      </c>
      <c r="G211" s="12">
        <f t="shared" si="50"/>
        <v>1867.5515999999998</v>
      </c>
      <c r="H211" s="12">
        <f t="shared" si="51"/>
        <v>8895.9447600000003</v>
      </c>
      <c r="I211" s="12">
        <f t="shared" si="52"/>
        <v>44.256207600000089</v>
      </c>
      <c r="J211" s="22">
        <f t="shared" si="53"/>
        <v>608509.51648278011</v>
      </c>
      <c r="K211" s="22">
        <f t="shared" si="54"/>
        <v>583745.83275648009</v>
      </c>
      <c r="L211" s="22">
        <f t="shared" si="55"/>
        <v>24763.68372630002</v>
      </c>
      <c r="M211" s="22">
        <f t="shared" si="56"/>
        <v>694765.72931999993</v>
      </c>
      <c r="N211" s="12">
        <f t="shared" si="57"/>
        <v>0.95930436081027037</v>
      </c>
      <c r="O211" s="12">
        <f t="shared" si="58"/>
        <v>0.54341763495013218</v>
      </c>
      <c r="P211" s="13">
        <f t="shared" si="59"/>
        <v>0.4158867258601382</v>
      </c>
      <c r="Q211" s="3">
        <v>0.21199999999999999</v>
      </c>
      <c r="U211" s="31">
        <f t="shared" si="45"/>
        <v>0.99482674999999987</v>
      </c>
    </row>
    <row r="212" spans="3:21" x14ac:dyDescent="0.2">
      <c r="C212" s="12">
        <f t="shared" si="46"/>
        <v>1591.1539631999999</v>
      </c>
      <c r="D212" s="13">
        <f t="shared" si="47"/>
        <v>44.646510000000042</v>
      </c>
      <c r="E212" s="12">
        <f t="shared" si="48"/>
        <v>-10.673749500000071</v>
      </c>
      <c r="F212" s="12">
        <f t="shared" si="49"/>
        <v>427.75554600000009</v>
      </c>
      <c r="G212" s="12">
        <f t="shared" si="50"/>
        <v>1876.8893579999999</v>
      </c>
      <c r="H212" s="12">
        <f t="shared" si="51"/>
        <v>8884.655490000001</v>
      </c>
      <c r="I212" s="12">
        <f t="shared" si="52"/>
        <v>44.200044900000087</v>
      </c>
      <c r="J212" s="22">
        <f t="shared" si="53"/>
        <v>611381.34781331988</v>
      </c>
      <c r="K212" s="22">
        <f t="shared" si="54"/>
        <v>586499.35083551996</v>
      </c>
      <c r="L212" s="22">
        <f t="shared" si="55"/>
        <v>24881.996977799921</v>
      </c>
      <c r="M212" s="22">
        <f t="shared" si="56"/>
        <v>698237.75054879999</v>
      </c>
      <c r="N212" s="12">
        <f t="shared" si="57"/>
        <v>0.9593020018245676</v>
      </c>
      <c r="O212" s="12">
        <f t="shared" si="58"/>
        <v>0.54348687353734892</v>
      </c>
      <c r="P212" s="13">
        <f t="shared" si="59"/>
        <v>0.41581512828721867</v>
      </c>
      <c r="Q212" s="5">
        <v>0.21299999999999999</v>
      </c>
      <c r="U212" s="31">
        <f t="shared" si="45"/>
        <v>0.99482674999999987</v>
      </c>
    </row>
    <row r="213" spans="3:21" x14ac:dyDescent="0.2">
      <c r="C213" s="12">
        <f t="shared" si="46"/>
        <v>1598.6241696</v>
      </c>
      <c r="D213" s="13">
        <f t="shared" si="47"/>
        <v>44.58978000000004</v>
      </c>
      <c r="E213" s="12">
        <f t="shared" si="48"/>
        <v>-10.730479500000065</v>
      </c>
      <c r="F213" s="12">
        <f t="shared" si="49"/>
        <v>429.76378800000009</v>
      </c>
      <c r="G213" s="12">
        <f t="shared" si="50"/>
        <v>1886.227116</v>
      </c>
      <c r="H213" s="12">
        <f t="shared" si="51"/>
        <v>8873.3662199999999</v>
      </c>
      <c r="I213" s="12">
        <f t="shared" si="52"/>
        <v>44.143882200000093</v>
      </c>
      <c r="J213" s="22">
        <f t="shared" si="53"/>
        <v>614253.17914386</v>
      </c>
      <c r="K213" s="22">
        <f t="shared" si="54"/>
        <v>589252.86891456007</v>
      </c>
      <c r="L213" s="22">
        <f t="shared" si="55"/>
        <v>25000.310229299939</v>
      </c>
      <c r="M213" s="22">
        <f t="shared" si="56"/>
        <v>701709.77177760005</v>
      </c>
      <c r="N213" s="12">
        <f t="shared" si="57"/>
        <v>0.95929966489689944</v>
      </c>
      <c r="O213" s="12">
        <f t="shared" si="58"/>
        <v>0.54355544433212466</v>
      </c>
      <c r="P213" s="13">
        <f t="shared" si="59"/>
        <v>0.41574422056477478</v>
      </c>
      <c r="Q213" s="3">
        <v>0.214</v>
      </c>
      <c r="U213" s="31">
        <f t="shared" si="45"/>
        <v>0.99482674999999987</v>
      </c>
    </row>
    <row r="214" spans="3:21" x14ac:dyDescent="0.2">
      <c r="C214" s="12">
        <f t="shared" si="46"/>
        <v>1606.094376</v>
      </c>
      <c r="D214" s="13">
        <f t="shared" si="47"/>
        <v>44.533050000000046</v>
      </c>
      <c r="E214" s="12">
        <f t="shared" si="48"/>
        <v>-10.78720950000006</v>
      </c>
      <c r="F214" s="12">
        <f t="shared" si="49"/>
        <v>431.77203000000009</v>
      </c>
      <c r="G214" s="12">
        <f t="shared" si="50"/>
        <v>1895.5648739999997</v>
      </c>
      <c r="H214" s="12">
        <f t="shared" si="51"/>
        <v>8862.0769500000006</v>
      </c>
      <c r="I214" s="12">
        <f t="shared" si="52"/>
        <v>44.087719500000091</v>
      </c>
      <c r="J214" s="22">
        <f t="shared" si="53"/>
        <v>617125.01047440013</v>
      </c>
      <c r="K214" s="22">
        <f t="shared" si="54"/>
        <v>592006.38699360006</v>
      </c>
      <c r="L214" s="22">
        <f t="shared" si="55"/>
        <v>25118.623480800074</v>
      </c>
      <c r="M214" s="22">
        <f t="shared" si="56"/>
        <v>705181.7930064</v>
      </c>
      <c r="N214" s="12">
        <f t="shared" si="57"/>
        <v>0.95929734971932068</v>
      </c>
      <c r="O214" s="12">
        <f t="shared" si="58"/>
        <v>0.54362335694918207</v>
      </c>
      <c r="P214" s="13">
        <f t="shared" si="59"/>
        <v>0.41567399277013861</v>
      </c>
      <c r="Q214" s="5">
        <v>0.215</v>
      </c>
      <c r="U214" s="31">
        <f t="shared" si="45"/>
        <v>0.99482674999999987</v>
      </c>
    </row>
    <row r="215" spans="3:21" x14ac:dyDescent="0.2">
      <c r="C215" s="12">
        <f t="shared" si="46"/>
        <v>1613.5645823999998</v>
      </c>
      <c r="D215" s="13">
        <f t="shared" si="47"/>
        <v>44.476320000000037</v>
      </c>
      <c r="E215" s="12">
        <f t="shared" si="48"/>
        <v>-10.843939500000062</v>
      </c>
      <c r="F215" s="12">
        <f t="shared" si="49"/>
        <v>433.78027200000008</v>
      </c>
      <c r="G215" s="12">
        <f t="shared" si="50"/>
        <v>1904.9026319999998</v>
      </c>
      <c r="H215" s="12">
        <f t="shared" si="51"/>
        <v>8850.7876799999995</v>
      </c>
      <c r="I215" s="12">
        <f t="shared" si="52"/>
        <v>44.031556800000097</v>
      </c>
      <c r="J215" s="22">
        <f t="shared" si="53"/>
        <v>619996.8418049399</v>
      </c>
      <c r="K215" s="22">
        <f t="shared" si="54"/>
        <v>594759.90507263993</v>
      </c>
      <c r="L215" s="22">
        <f t="shared" si="55"/>
        <v>25236.936732299975</v>
      </c>
      <c r="M215" s="22">
        <f t="shared" si="56"/>
        <v>708653.81423520006</v>
      </c>
      <c r="N215" s="12">
        <f t="shared" si="57"/>
        <v>0.95929505598959186</v>
      </c>
      <c r="O215" s="12">
        <f t="shared" si="58"/>
        <v>0.54369062081955144</v>
      </c>
      <c r="P215" s="13">
        <f t="shared" si="59"/>
        <v>0.41560443517004042</v>
      </c>
      <c r="Q215" s="3">
        <v>0.216</v>
      </c>
      <c r="U215" s="31">
        <f t="shared" si="45"/>
        <v>0.99482674999999987</v>
      </c>
    </row>
    <row r="216" spans="3:21" x14ac:dyDescent="0.2">
      <c r="C216" s="12">
        <f t="shared" si="46"/>
        <v>1621.0347887999999</v>
      </c>
      <c r="D216" s="13">
        <f t="shared" si="47"/>
        <v>44.419590000000042</v>
      </c>
      <c r="E216" s="12">
        <f t="shared" si="48"/>
        <v>-10.90066950000007</v>
      </c>
      <c r="F216" s="12">
        <f t="shared" si="49"/>
        <v>435.78851400000008</v>
      </c>
      <c r="G216" s="12">
        <f t="shared" si="50"/>
        <v>1914.2403899999999</v>
      </c>
      <c r="H216" s="12">
        <f t="shared" si="51"/>
        <v>8839.4984100000001</v>
      </c>
      <c r="I216" s="12">
        <f t="shared" si="52"/>
        <v>43.975394100000081</v>
      </c>
      <c r="J216" s="22">
        <f t="shared" si="53"/>
        <v>622868.67313548003</v>
      </c>
      <c r="K216" s="22">
        <f t="shared" si="54"/>
        <v>597513.42315168004</v>
      </c>
      <c r="L216" s="22">
        <f t="shared" si="55"/>
        <v>25355.249983799993</v>
      </c>
      <c r="M216" s="22">
        <f t="shared" si="56"/>
        <v>712125.835464</v>
      </c>
      <c r="N216" s="12">
        <f t="shared" si="57"/>
        <v>0.95929278341104662</v>
      </c>
      <c r="O216" s="12">
        <f t="shared" si="58"/>
        <v>0.54375724519493562</v>
      </c>
      <c r="P216" s="13">
        <f t="shared" si="59"/>
        <v>0.415535538216111</v>
      </c>
      <c r="Q216" s="5">
        <v>0.217</v>
      </c>
      <c r="U216" s="31">
        <f t="shared" si="45"/>
        <v>0.99482674999999987</v>
      </c>
    </row>
    <row r="217" spans="3:21" x14ac:dyDescent="0.2">
      <c r="C217" s="12">
        <f t="shared" si="46"/>
        <v>1628.5049951999999</v>
      </c>
      <c r="D217" s="13">
        <f t="shared" si="47"/>
        <v>44.36286000000004</v>
      </c>
      <c r="E217" s="12">
        <f t="shared" si="48"/>
        <v>-10.957399500000065</v>
      </c>
      <c r="F217" s="12">
        <f t="shared" si="49"/>
        <v>437.79675600000007</v>
      </c>
      <c r="G217" s="12">
        <f t="shared" si="50"/>
        <v>1923.5781479999996</v>
      </c>
      <c r="H217" s="12">
        <f t="shared" si="51"/>
        <v>8828.2091400000008</v>
      </c>
      <c r="I217" s="12">
        <f t="shared" si="52"/>
        <v>43.919231400000093</v>
      </c>
      <c r="J217" s="22">
        <f t="shared" si="53"/>
        <v>625740.50446602004</v>
      </c>
      <c r="K217" s="22">
        <f t="shared" si="54"/>
        <v>600266.94123072003</v>
      </c>
      <c r="L217" s="22">
        <f t="shared" si="55"/>
        <v>25473.563235300011</v>
      </c>
      <c r="M217" s="22">
        <f t="shared" si="56"/>
        <v>715597.85669279995</v>
      </c>
      <c r="N217" s="12">
        <f t="shared" si="57"/>
        <v>0.95929053169246559</v>
      </c>
      <c r="O217" s="12">
        <f t="shared" si="58"/>
        <v>0.54382323915195396</v>
      </c>
      <c r="P217" s="13">
        <f t="shared" si="59"/>
        <v>0.41546729254051162</v>
      </c>
      <c r="Q217" s="3">
        <v>0.218</v>
      </c>
      <c r="U217" s="31">
        <f t="shared" si="45"/>
        <v>0.99482674999999987</v>
      </c>
    </row>
    <row r="218" spans="3:21" x14ac:dyDescent="0.2">
      <c r="C218" s="12">
        <f t="shared" si="46"/>
        <v>1635.9752016</v>
      </c>
      <c r="D218" s="13">
        <f t="shared" si="47"/>
        <v>44.306130000000039</v>
      </c>
      <c r="E218" s="12">
        <f t="shared" si="48"/>
        <v>-11.014129500000067</v>
      </c>
      <c r="F218" s="12">
        <f t="shared" si="49"/>
        <v>439.80499800000007</v>
      </c>
      <c r="G218" s="12">
        <f t="shared" si="50"/>
        <v>1932.9159059999997</v>
      </c>
      <c r="H218" s="12">
        <f t="shared" si="51"/>
        <v>8816.9198699999997</v>
      </c>
      <c r="I218" s="12">
        <f t="shared" si="52"/>
        <v>43.863068700000085</v>
      </c>
      <c r="J218" s="22">
        <f t="shared" si="53"/>
        <v>628612.33579655993</v>
      </c>
      <c r="K218" s="22">
        <f t="shared" si="54"/>
        <v>603020.45930976002</v>
      </c>
      <c r="L218" s="22">
        <f t="shared" si="55"/>
        <v>25591.876486799913</v>
      </c>
      <c r="M218" s="22">
        <f t="shared" si="56"/>
        <v>719069.87792159989</v>
      </c>
      <c r="N218" s="12">
        <f t="shared" si="57"/>
        <v>0.95928830054795122</v>
      </c>
      <c r="O218" s="12">
        <f t="shared" si="58"/>
        <v>0.54388861159626334</v>
      </c>
      <c r="P218" s="13">
        <f t="shared" si="59"/>
        <v>0.41539968895168788</v>
      </c>
      <c r="Q218" s="5">
        <v>0.219</v>
      </c>
      <c r="U218" s="31">
        <f t="shared" si="45"/>
        <v>0.99482674999999987</v>
      </c>
    </row>
    <row r="219" spans="3:21" x14ac:dyDescent="0.2">
      <c r="C219" s="12">
        <f t="shared" si="46"/>
        <v>1643.445408</v>
      </c>
      <c r="D219" s="13">
        <f t="shared" si="47"/>
        <v>44.249400000000044</v>
      </c>
      <c r="E219" s="12">
        <f t="shared" si="48"/>
        <v>-11.070859500000061</v>
      </c>
      <c r="F219" s="12">
        <f t="shared" si="49"/>
        <v>441.81324000000012</v>
      </c>
      <c r="G219" s="12">
        <f t="shared" si="50"/>
        <v>1942.2536639999998</v>
      </c>
      <c r="H219" s="12">
        <f t="shared" si="51"/>
        <v>8805.6306000000004</v>
      </c>
      <c r="I219" s="12">
        <f t="shared" si="52"/>
        <v>43.806906000000097</v>
      </c>
      <c r="J219" s="22">
        <f t="shared" si="53"/>
        <v>631484.16712709994</v>
      </c>
      <c r="K219" s="22">
        <f t="shared" si="54"/>
        <v>605773.97738880001</v>
      </c>
      <c r="L219" s="22">
        <f t="shared" si="55"/>
        <v>25710.18973829993</v>
      </c>
      <c r="M219" s="22">
        <f t="shared" si="56"/>
        <v>722541.89915039996</v>
      </c>
      <c r="N219" s="12">
        <f t="shared" si="57"/>
        <v>0.95928608969680595</v>
      </c>
      <c r="O219" s="12">
        <f t="shared" si="58"/>
        <v>0.54395337126656484</v>
      </c>
      <c r="P219" s="13">
        <f t="shared" si="59"/>
        <v>0.41533271843024111</v>
      </c>
      <c r="Q219" s="3">
        <v>0.22</v>
      </c>
      <c r="U219" s="31">
        <f t="shared" si="45"/>
        <v>0.99482674999999987</v>
      </c>
    </row>
    <row r="220" spans="3:21" x14ac:dyDescent="0.2">
      <c r="C220" s="12">
        <f t="shared" si="46"/>
        <v>1650.9156143999999</v>
      </c>
      <c r="D220" s="13">
        <f t="shared" si="47"/>
        <v>44.192670000000042</v>
      </c>
      <c r="E220" s="12">
        <f t="shared" si="48"/>
        <v>-11.12758950000007</v>
      </c>
      <c r="F220" s="12">
        <f t="shared" si="49"/>
        <v>443.82148200000012</v>
      </c>
      <c r="G220" s="12">
        <f t="shared" si="50"/>
        <v>1951.5914219999995</v>
      </c>
      <c r="H220" s="12">
        <f t="shared" si="51"/>
        <v>8794.3413300000011</v>
      </c>
      <c r="I220" s="12">
        <f t="shared" si="52"/>
        <v>43.750743300000082</v>
      </c>
      <c r="J220" s="22">
        <f t="shared" si="53"/>
        <v>634355.99845763994</v>
      </c>
      <c r="K220" s="22">
        <f t="shared" si="54"/>
        <v>608527.49546784</v>
      </c>
      <c r="L220" s="22">
        <f t="shared" si="55"/>
        <v>25828.502989799948</v>
      </c>
      <c r="M220" s="22">
        <f t="shared" si="56"/>
        <v>726013.9203791999</v>
      </c>
      <c r="N220" s="12">
        <f t="shared" si="57"/>
        <v>0.95928389886341603</v>
      </c>
      <c r="O220" s="12">
        <f t="shared" si="58"/>
        <v>0.54401752673849801</v>
      </c>
      <c r="P220" s="13">
        <f t="shared" si="59"/>
        <v>0.41526637212491802</v>
      </c>
      <c r="Q220" s="5">
        <v>0.221</v>
      </c>
      <c r="U220" s="31">
        <f t="shared" si="45"/>
        <v>0.99482674999999987</v>
      </c>
    </row>
    <row r="221" spans="3:21" x14ac:dyDescent="0.2">
      <c r="C221" s="12">
        <f t="shared" si="46"/>
        <v>1658.3858207999999</v>
      </c>
      <c r="D221" s="13">
        <f t="shared" si="47"/>
        <v>44.135940000000041</v>
      </c>
      <c r="E221" s="12">
        <f t="shared" si="48"/>
        <v>-11.184319500000065</v>
      </c>
      <c r="F221" s="12">
        <f t="shared" si="49"/>
        <v>445.82972400000011</v>
      </c>
      <c r="G221" s="12">
        <f t="shared" si="50"/>
        <v>1960.9291799999996</v>
      </c>
      <c r="H221" s="12">
        <f t="shared" si="51"/>
        <v>8783.05206</v>
      </c>
      <c r="I221" s="12">
        <f t="shared" si="52"/>
        <v>43.694580600000087</v>
      </c>
      <c r="J221" s="22">
        <f t="shared" si="53"/>
        <v>637227.82978817995</v>
      </c>
      <c r="K221" s="22">
        <f t="shared" si="54"/>
        <v>611281.01354687999</v>
      </c>
      <c r="L221" s="22">
        <f t="shared" si="55"/>
        <v>25946.816241299966</v>
      </c>
      <c r="M221" s="22">
        <f t="shared" si="56"/>
        <v>729485.94160799985</v>
      </c>
      <c r="N221" s="12">
        <f t="shared" si="57"/>
        <v>0.95928172777713594</v>
      </c>
      <c r="O221" s="12">
        <f t="shared" si="58"/>
        <v>0.54408108642842601</v>
      </c>
      <c r="P221" s="13">
        <f t="shared" si="59"/>
        <v>0.41520064134870993</v>
      </c>
      <c r="Q221" s="3">
        <v>0.222</v>
      </c>
      <c r="U221" s="31">
        <f t="shared" si="45"/>
        <v>0.99482674999999987</v>
      </c>
    </row>
    <row r="222" spans="3:21" x14ac:dyDescent="0.2">
      <c r="C222" s="12">
        <f t="shared" si="46"/>
        <v>1665.8560272</v>
      </c>
      <c r="D222" s="13">
        <f t="shared" si="47"/>
        <v>44.079210000000039</v>
      </c>
      <c r="E222" s="12">
        <f t="shared" si="48"/>
        <v>-11.241049500000067</v>
      </c>
      <c r="F222" s="12">
        <f t="shared" si="49"/>
        <v>447.83796600000011</v>
      </c>
      <c r="G222" s="12">
        <f t="shared" si="50"/>
        <v>1970.2669379999998</v>
      </c>
      <c r="H222" s="12">
        <f t="shared" si="51"/>
        <v>8771.7627900000007</v>
      </c>
      <c r="I222" s="12">
        <f t="shared" si="52"/>
        <v>43.638417900000086</v>
      </c>
      <c r="J222" s="22">
        <f t="shared" si="53"/>
        <v>640099.66111871996</v>
      </c>
      <c r="K222" s="22">
        <f t="shared" si="54"/>
        <v>614034.53162591998</v>
      </c>
      <c r="L222" s="22">
        <f t="shared" si="55"/>
        <v>26065.129492799984</v>
      </c>
      <c r="M222" s="22">
        <f t="shared" si="56"/>
        <v>732957.96283680003</v>
      </c>
      <c r="N222" s="12">
        <f t="shared" si="57"/>
        <v>0.9592795761721773</v>
      </c>
      <c r="O222" s="12">
        <f t="shared" si="58"/>
        <v>0.54414405859711767</v>
      </c>
      <c r="P222" s="13">
        <f t="shared" si="59"/>
        <v>0.41513551757505962</v>
      </c>
      <c r="Q222" s="5">
        <v>0.223</v>
      </c>
      <c r="U222" s="31">
        <f t="shared" si="45"/>
        <v>0.99482674999999987</v>
      </c>
    </row>
    <row r="223" spans="3:21" x14ac:dyDescent="0.2">
      <c r="C223" s="12">
        <f t="shared" si="46"/>
        <v>1673.3262336</v>
      </c>
      <c r="D223" s="13">
        <f t="shared" si="47"/>
        <v>44.022480000000044</v>
      </c>
      <c r="E223" s="12">
        <f t="shared" si="48"/>
        <v>-11.297779500000061</v>
      </c>
      <c r="F223" s="12">
        <f t="shared" si="49"/>
        <v>449.8462080000001</v>
      </c>
      <c r="G223" s="12">
        <f t="shared" si="50"/>
        <v>1979.6046959999999</v>
      </c>
      <c r="H223" s="12">
        <f t="shared" si="51"/>
        <v>8760.4735199999996</v>
      </c>
      <c r="I223" s="12">
        <f t="shared" si="52"/>
        <v>43.582255200000091</v>
      </c>
      <c r="J223" s="22">
        <f t="shared" si="53"/>
        <v>642971.49244926008</v>
      </c>
      <c r="K223" s="22">
        <f t="shared" si="54"/>
        <v>616788.04970496008</v>
      </c>
      <c r="L223" s="22">
        <f t="shared" si="55"/>
        <v>26183.442744300002</v>
      </c>
      <c r="M223" s="22">
        <f t="shared" si="56"/>
        <v>736429.98406559997</v>
      </c>
      <c r="N223" s="12">
        <f t="shared" si="57"/>
        <v>0.95927744378750002</v>
      </c>
      <c r="O223" s="12">
        <f t="shared" si="58"/>
        <v>0.54420645135332468</v>
      </c>
      <c r="P223" s="13">
        <f t="shared" si="59"/>
        <v>0.41507099243417533</v>
      </c>
      <c r="Q223" s="3">
        <v>0.224</v>
      </c>
      <c r="U223" s="31">
        <f t="shared" si="45"/>
        <v>0.99482674999999987</v>
      </c>
    </row>
    <row r="224" spans="3:21" x14ac:dyDescent="0.2">
      <c r="C224" s="12">
        <f t="shared" si="46"/>
        <v>1680.7964399999998</v>
      </c>
      <c r="D224" s="13">
        <f t="shared" si="47"/>
        <v>43.965750000000043</v>
      </c>
      <c r="E224" s="12">
        <f t="shared" si="48"/>
        <v>-11.35450950000007</v>
      </c>
      <c r="F224" s="12">
        <f t="shared" si="49"/>
        <v>451.8544500000001</v>
      </c>
      <c r="G224" s="12">
        <f t="shared" si="50"/>
        <v>1988.9424539999995</v>
      </c>
      <c r="H224" s="12">
        <f t="shared" si="51"/>
        <v>8749.1842500000002</v>
      </c>
      <c r="I224" s="12">
        <f t="shared" si="52"/>
        <v>43.526092500000082</v>
      </c>
      <c r="J224" s="22">
        <f t="shared" si="53"/>
        <v>645843.32377979986</v>
      </c>
      <c r="K224" s="22">
        <f t="shared" si="54"/>
        <v>619541.56778399996</v>
      </c>
      <c r="L224" s="22">
        <f t="shared" si="55"/>
        <v>26301.755995799904</v>
      </c>
      <c r="M224" s="22">
        <f t="shared" si="56"/>
        <v>739902.00529439992</v>
      </c>
      <c r="N224" s="12">
        <f t="shared" si="57"/>
        <v>0.95927533036670753</v>
      </c>
      <c r="O224" s="12">
        <f t="shared" si="58"/>
        <v>0.54426827265726407</v>
      </c>
      <c r="P224" s="13">
        <f t="shared" si="59"/>
        <v>0.41500705770944346</v>
      </c>
      <c r="Q224" s="5">
        <v>0.22500000000000001</v>
      </c>
      <c r="U224" s="31">
        <f t="shared" si="45"/>
        <v>0.99482674999999987</v>
      </c>
    </row>
    <row r="225" spans="3:21" x14ac:dyDescent="0.2">
      <c r="C225" s="12">
        <f t="shared" si="46"/>
        <v>1688.2666463999999</v>
      </c>
      <c r="D225" s="13">
        <f t="shared" si="47"/>
        <v>43.909020000000041</v>
      </c>
      <c r="E225" s="12">
        <f t="shared" si="48"/>
        <v>-11.411239500000065</v>
      </c>
      <c r="F225" s="12">
        <f t="shared" si="49"/>
        <v>453.8626920000001</v>
      </c>
      <c r="G225" s="12">
        <f t="shared" si="50"/>
        <v>1998.2802119999997</v>
      </c>
      <c r="H225" s="12">
        <f t="shared" si="51"/>
        <v>8737.8949799999991</v>
      </c>
      <c r="I225" s="12">
        <f t="shared" si="52"/>
        <v>43.469929800000088</v>
      </c>
      <c r="J225" s="22">
        <f t="shared" si="53"/>
        <v>648715.15511033987</v>
      </c>
      <c r="K225" s="22">
        <f t="shared" si="54"/>
        <v>622295.08586303995</v>
      </c>
      <c r="L225" s="22">
        <f t="shared" si="55"/>
        <v>26420.069247299922</v>
      </c>
      <c r="M225" s="22">
        <f t="shared" si="56"/>
        <v>743374.02652319998</v>
      </c>
      <c r="N225" s="12">
        <f t="shared" si="57"/>
        <v>0.95927323565794276</v>
      </c>
      <c r="O225" s="12">
        <f t="shared" si="58"/>
        <v>0.544329530324003</v>
      </c>
      <c r="P225" s="13">
        <f t="shared" si="59"/>
        <v>0.41494370533393976</v>
      </c>
      <c r="Q225" s="3">
        <v>0.22600000000000001</v>
      </c>
      <c r="U225" s="31">
        <f t="shared" si="45"/>
        <v>0.99482674999999987</v>
      </c>
    </row>
    <row r="226" spans="3:21" x14ac:dyDescent="0.2">
      <c r="C226" s="12">
        <f t="shared" si="46"/>
        <v>1695.7368528</v>
      </c>
      <c r="D226" s="13">
        <f t="shared" si="47"/>
        <v>43.852290000000039</v>
      </c>
      <c r="E226" s="12">
        <f t="shared" si="48"/>
        <v>-11.467969500000066</v>
      </c>
      <c r="F226" s="12">
        <f t="shared" si="49"/>
        <v>455.87093400000009</v>
      </c>
      <c r="G226" s="12">
        <f t="shared" si="50"/>
        <v>2007.6179699999998</v>
      </c>
      <c r="H226" s="12">
        <f t="shared" si="51"/>
        <v>8726.6057099999998</v>
      </c>
      <c r="I226" s="12">
        <f t="shared" si="52"/>
        <v>43.413767100000086</v>
      </c>
      <c r="J226" s="22">
        <f t="shared" si="53"/>
        <v>651586.98644087999</v>
      </c>
      <c r="K226" s="22">
        <f t="shared" si="54"/>
        <v>625048.60394208005</v>
      </c>
      <c r="L226" s="22">
        <f t="shared" si="55"/>
        <v>26538.38249879994</v>
      </c>
      <c r="M226" s="22">
        <f t="shared" si="56"/>
        <v>746846.04775199993</v>
      </c>
      <c r="N226" s="12">
        <f t="shared" si="57"/>
        <v>0.95927115941378949</v>
      </c>
      <c r="O226" s="12">
        <f t="shared" si="58"/>
        <v>0.54439023202675174</v>
      </c>
      <c r="P226" s="13">
        <f t="shared" si="59"/>
        <v>0.41488092738703775</v>
      </c>
      <c r="Q226" s="5">
        <v>0.22700000000000001</v>
      </c>
      <c r="U226" s="31">
        <f t="shared" si="45"/>
        <v>0.99482674999999987</v>
      </c>
    </row>
    <row r="227" spans="3:21" x14ac:dyDescent="0.2">
      <c r="C227" s="12">
        <f t="shared" si="46"/>
        <v>1703.2070592</v>
      </c>
      <c r="D227" s="13">
        <f t="shared" si="47"/>
        <v>43.795560000000044</v>
      </c>
      <c r="E227" s="12">
        <f t="shared" si="48"/>
        <v>-11.524699500000061</v>
      </c>
      <c r="F227" s="12">
        <f t="shared" si="49"/>
        <v>457.87917600000009</v>
      </c>
      <c r="G227" s="12">
        <f t="shared" si="50"/>
        <v>2016.9557279999999</v>
      </c>
      <c r="H227" s="12">
        <f t="shared" si="51"/>
        <v>8715.3164400000005</v>
      </c>
      <c r="I227" s="12">
        <f t="shared" si="52"/>
        <v>43.357604400000092</v>
      </c>
      <c r="J227" s="22">
        <f t="shared" si="53"/>
        <v>654458.81777142</v>
      </c>
      <c r="K227" s="22">
        <f t="shared" si="54"/>
        <v>627802.12202112004</v>
      </c>
      <c r="L227" s="22">
        <f t="shared" si="55"/>
        <v>26656.695750299958</v>
      </c>
      <c r="M227" s="22">
        <f t="shared" si="56"/>
        <v>750318.06898079999</v>
      </c>
      <c r="N227" s="12">
        <f t="shared" si="57"/>
        <v>0.95926910139117383</v>
      </c>
      <c r="O227" s="12">
        <f t="shared" si="58"/>
        <v>0.54445038530006895</v>
      </c>
      <c r="P227" s="13">
        <f t="shared" si="59"/>
        <v>0.41481871609110488</v>
      </c>
      <c r="Q227" s="3">
        <v>0.22800000000000001</v>
      </c>
      <c r="U227" s="31">
        <f t="shared" si="45"/>
        <v>0.99482674999999987</v>
      </c>
    </row>
    <row r="228" spans="3:21" x14ac:dyDescent="0.2">
      <c r="C228" s="12">
        <f t="shared" si="46"/>
        <v>1710.6772655999998</v>
      </c>
      <c r="D228" s="13">
        <f t="shared" si="47"/>
        <v>43.738830000000036</v>
      </c>
      <c r="E228" s="12">
        <f t="shared" si="48"/>
        <v>-11.58142950000007</v>
      </c>
      <c r="F228" s="12">
        <f t="shared" si="49"/>
        <v>459.88741800000008</v>
      </c>
      <c r="G228" s="12">
        <f t="shared" si="50"/>
        <v>2026.2934859999996</v>
      </c>
      <c r="H228" s="12">
        <f t="shared" si="51"/>
        <v>8704.0271699999994</v>
      </c>
      <c r="I228" s="12">
        <f t="shared" si="52"/>
        <v>43.301441700000083</v>
      </c>
      <c r="J228" s="22">
        <f t="shared" si="53"/>
        <v>657330.64910196001</v>
      </c>
      <c r="K228" s="22">
        <f t="shared" si="54"/>
        <v>630555.64010016003</v>
      </c>
      <c r="L228" s="22">
        <f t="shared" si="55"/>
        <v>26775.009001799976</v>
      </c>
      <c r="M228" s="22">
        <f t="shared" si="56"/>
        <v>753790.09020959982</v>
      </c>
      <c r="N228" s="12">
        <f t="shared" si="57"/>
        <v>0.95926706135127005</v>
      </c>
      <c r="O228" s="12">
        <f t="shared" si="58"/>
        <v>0.54450999754297835</v>
      </c>
      <c r="P228" s="13">
        <f t="shared" si="59"/>
        <v>0.41475706380829169</v>
      </c>
      <c r="Q228" s="5">
        <v>0.22900000000000001</v>
      </c>
      <c r="U228" s="31">
        <f t="shared" si="45"/>
        <v>0.99482674999999987</v>
      </c>
    </row>
    <row r="229" spans="3:21" x14ac:dyDescent="0.2">
      <c r="C229" s="12">
        <f t="shared" si="46"/>
        <v>1718.1474719999999</v>
      </c>
      <c r="D229" s="13">
        <f t="shared" si="47"/>
        <v>43.682100000000041</v>
      </c>
      <c r="E229" s="12">
        <f t="shared" si="48"/>
        <v>-11.638159500000064</v>
      </c>
      <c r="F229" s="12">
        <f t="shared" si="49"/>
        <v>461.89566000000013</v>
      </c>
      <c r="G229" s="12">
        <f t="shared" si="50"/>
        <v>2035.6312439999997</v>
      </c>
      <c r="H229" s="12">
        <f t="shared" si="51"/>
        <v>8692.7379000000001</v>
      </c>
      <c r="I229" s="12">
        <f t="shared" si="52"/>
        <v>43.245279000000089</v>
      </c>
      <c r="J229" s="22">
        <f t="shared" si="53"/>
        <v>660202.48043250002</v>
      </c>
      <c r="K229" s="22">
        <f t="shared" si="54"/>
        <v>633309.15817920002</v>
      </c>
      <c r="L229" s="22">
        <f t="shared" si="55"/>
        <v>26893.322253299993</v>
      </c>
      <c r="M229" s="22">
        <f t="shared" si="56"/>
        <v>757262.11143839988</v>
      </c>
      <c r="N229" s="12">
        <f t="shared" si="57"/>
        <v>0.95926503905940774</v>
      </c>
      <c r="O229" s="12">
        <f t="shared" si="58"/>
        <v>0.54456907602200288</v>
      </c>
      <c r="P229" s="13">
        <f t="shared" si="59"/>
        <v>0.41469596303740486</v>
      </c>
      <c r="Q229" s="3">
        <v>0.23</v>
      </c>
      <c r="U229" s="31">
        <f t="shared" si="45"/>
        <v>0.99482674999999987</v>
      </c>
    </row>
    <row r="230" spans="3:21" x14ac:dyDescent="0.2">
      <c r="C230" s="12">
        <f t="shared" si="46"/>
        <v>1725.6176783999999</v>
      </c>
      <c r="D230" s="13">
        <f t="shared" si="47"/>
        <v>43.625370000000039</v>
      </c>
      <c r="E230" s="12">
        <f t="shared" si="48"/>
        <v>-11.694889500000066</v>
      </c>
      <c r="F230" s="12">
        <f t="shared" si="49"/>
        <v>463.90390200000013</v>
      </c>
      <c r="G230" s="12">
        <f t="shared" si="50"/>
        <v>2044.9690019999998</v>
      </c>
      <c r="H230" s="12">
        <f t="shared" si="51"/>
        <v>8681.4486300000008</v>
      </c>
      <c r="I230" s="12">
        <f t="shared" si="52"/>
        <v>43.189116300000087</v>
      </c>
      <c r="J230" s="22">
        <f t="shared" si="53"/>
        <v>663074.31176304002</v>
      </c>
      <c r="K230" s="22">
        <f t="shared" si="54"/>
        <v>636062.67625824001</v>
      </c>
      <c r="L230" s="22">
        <f t="shared" si="55"/>
        <v>27011.635504800011</v>
      </c>
      <c r="M230" s="22">
        <f t="shared" si="56"/>
        <v>760734.13266720006</v>
      </c>
      <c r="N230" s="12">
        <f t="shared" si="57"/>
        <v>0.95926303428498216</v>
      </c>
      <c r="O230" s="12">
        <f t="shared" si="58"/>
        <v>0.544627627874118</v>
      </c>
      <c r="P230" s="13">
        <f t="shared" si="59"/>
        <v>0.41463540641086416</v>
      </c>
      <c r="Q230" s="5">
        <v>0.23100000000000001</v>
      </c>
      <c r="U230" s="31">
        <f t="shared" si="45"/>
        <v>0.99482674999999987</v>
      </c>
    </row>
    <row r="231" spans="3:21" x14ac:dyDescent="0.2">
      <c r="C231" s="12">
        <f t="shared" si="46"/>
        <v>1733.0878848000002</v>
      </c>
      <c r="D231" s="13">
        <f t="shared" si="47"/>
        <v>43.568640000000038</v>
      </c>
      <c r="E231" s="12">
        <f t="shared" si="48"/>
        <v>-11.751619500000061</v>
      </c>
      <c r="F231" s="12">
        <f t="shared" si="49"/>
        <v>465.91214400000013</v>
      </c>
      <c r="G231" s="12">
        <f t="shared" si="50"/>
        <v>2054.3067599999999</v>
      </c>
      <c r="H231" s="12">
        <f t="shared" si="51"/>
        <v>8670.1593600000015</v>
      </c>
      <c r="I231" s="12">
        <f t="shared" si="52"/>
        <v>43.132953600000093</v>
      </c>
      <c r="J231" s="22">
        <f t="shared" si="53"/>
        <v>665946.14309358015</v>
      </c>
      <c r="K231" s="22">
        <f t="shared" si="54"/>
        <v>638816.19433728012</v>
      </c>
      <c r="L231" s="22">
        <f t="shared" si="55"/>
        <v>27129.948756300029</v>
      </c>
      <c r="M231" s="22">
        <f t="shared" si="56"/>
        <v>764206.153896</v>
      </c>
      <c r="N231" s="12">
        <f t="shared" si="57"/>
        <v>0.95926104680136626</v>
      </c>
      <c r="O231" s="12">
        <f t="shared" si="58"/>
        <v>0.54468566010962471</v>
      </c>
      <c r="P231" s="13">
        <f t="shared" si="59"/>
        <v>0.41457538669174154</v>
      </c>
      <c r="Q231" s="3">
        <v>0.23200000000000001</v>
      </c>
      <c r="U231" s="31">
        <f t="shared" si="45"/>
        <v>0.99482674999999987</v>
      </c>
    </row>
    <row r="232" spans="3:21" x14ac:dyDescent="0.2">
      <c r="C232" s="12">
        <f t="shared" si="46"/>
        <v>1740.5580911999998</v>
      </c>
      <c r="D232" s="13">
        <f t="shared" si="47"/>
        <v>43.511910000000036</v>
      </c>
      <c r="E232" s="12">
        <f t="shared" si="48"/>
        <v>-11.80834950000007</v>
      </c>
      <c r="F232" s="12">
        <f t="shared" si="49"/>
        <v>467.92038600000012</v>
      </c>
      <c r="G232" s="12">
        <f t="shared" si="50"/>
        <v>2063.6445179999996</v>
      </c>
      <c r="H232" s="12">
        <f t="shared" si="51"/>
        <v>8658.8700900000003</v>
      </c>
      <c r="I232" s="12">
        <f t="shared" si="52"/>
        <v>43.076790900000084</v>
      </c>
      <c r="J232" s="22">
        <f t="shared" si="53"/>
        <v>668817.97442411992</v>
      </c>
      <c r="K232" s="22">
        <f t="shared" si="54"/>
        <v>641569.71241631999</v>
      </c>
      <c r="L232" s="22">
        <f t="shared" si="55"/>
        <v>27248.262007799931</v>
      </c>
      <c r="M232" s="22">
        <f t="shared" si="56"/>
        <v>767678.17512479995</v>
      </c>
      <c r="N232" s="12">
        <f t="shared" si="57"/>
        <v>0.95925907638582553</v>
      </c>
      <c r="O232" s="12">
        <f t="shared" si="58"/>
        <v>0.54474317961494911</v>
      </c>
      <c r="P232" s="13">
        <f t="shared" si="59"/>
        <v>0.41451589677087641</v>
      </c>
      <c r="Q232" s="5">
        <v>0.23300000000000001</v>
      </c>
      <c r="U232" s="31">
        <f t="shared" si="45"/>
        <v>0.99482674999999987</v>
      </c>
    </row>
    <row r="233" spans="3:21" x14ac:dyDescent="0.2">
      <c r="C233" s="12">
        <f t="shared" si="46"/>
        <v>1748.0282975999999</v>
      </c>
      <c r="D233" s="13">
        <f t="shared" si="47"/>
        <v>43.455180000000041</v>
      </c>
      <c r="E233" s="12">
        <f t="shared" si="48"/>
        <v>-11.865079500000064</v>
      </c>
      <c r="F233" s="12">
        <f t="shared" si="49"/>
        <v>469.92862800000012</v>
      </c>
      <c r="G233" s="12">
        <f t="shared" si="50"/>
        <v>2072.9822759999997</v>
      </c>
      <c r="H233" s="12">
        <f t="shared" si="51"/>
        <v>8647.580820000001</v>
      </c>
      <c r="I233" s="12">
        <f t="shared" si="52"/>
        <v>43.02062820000009</v>
      </c>
      <c r="J233" s="22">
        <f t="shared" si="53"/>
        <v>671689.80575465993</v>
      </c>
      <c r="K233" s="22">
        <f t="shared" si="54"/>
        <v>644323.23049535998</v>
      </c>
      <c r="L233" s="22">
        <f t="shared" si="55"/>
        <v>27366.575259299949</v>
      </c>
      <c r="M233" s="22">
        <f t="shared" si="56"/>
        <v>771150.19635360001</v>
      </c>
      <c r="N233" s="12">
        <f t="shared" si="57"/>
        <v>0.95925712281943454</v>
      </c>
      <c r="O233" s="12">
        <f t="shared" si="58"/>
        <v>0.5448001931553651</v>
      </c>
      <c r="P233" s="13">
        <f t="shared" si="59"/>
        <v>0.41445692966406944</v>
      </c>
      <c r="Q233" s="3">
        <v>0.23400000000000001</v>
      </c>
      <c r="U233" s="31">
        <f t="shared" si="45"/>
        <v>0.99482674999999987</v>
      </c>
    </row>
    <row r="234" spans="3:21" x14ac:dyDescent="0.2">
      <c r="C234" s="12">
        <f t="shared" si="46"/>
        <v>1755.4985040000001</v>
      </c>
      <c r="D234" s="13">
        <f t="shared" si="47"/>
        <v>43.398450000000039</v>
      </c>
      <c r="E234" s="12">
        <f t="shared" si="48"/>
        <v>-11.921809500000066</v>
      </c>
      <c r="F234" s="12">
        <f t="shared" si="49"/>
        <v>471.93687000000011</v>
      </c>
      <c r="G234" s="12">
        <f t="shared" si="50"/>
        <v>2082.3200339999999</v>
      </c>
      <c r="H234" s="12">
        <f t="shared" si="51"/>
        <v>8636.2915499999999</v>
      </c>
      <c r="I234" s="12">
        <f t="shared" si="52"/>
        <v>42.964465500000088</v>
      </c>
      <c r="J234" s="22">
        <f t="shared" si="53"/>
        <v>674561.63708520005</v>
      </c>
      <c r="K234" s="22">
        <f t="shared" si="54"/>
        <v>647076.74857440009</v>
      </c>
      <c r="L234" s="22">
        <f t="shared" si="55"/>
        <v>27484.888510799967</v>
      </c>
      <c r="M234" s="22">
        <f t="shared" si="56"/>
        <v>774622.21758239996</v>
      </c>
      <c r="N234" s="12">
        <f t="shared" si="57"/>
        <v>0.95925518588699621</v>
      </c>
      <c r="O234" s="12">
        <f t="shared" si="58"/>
        <v>0.5448567073776478</v>
      </c>
      <c r="P234" s="13">
        <f t="shared" si="59"/>
        <v>0.41439847850934841</v>
      </c>
      <c r="Q234" s="5">
        <v>0.23499999999999999</v>
      </c>
      <c r="U234" s="31">
        <f t="shared" si="45"/>
        <v>0.99482674999999987</v>
      </c>
    </row>
    <row r="235" spans="3:21" x14ac:dyDescent="0.2">
      <c r="C235" s="12">
        <f t="shared" si="46"/>
        <v>1762.9687103999997</v>
      </c>
      <c r="D235" s="13">
        <f t="shared" si="47"/>
        <v>43.341720000000038</v>
      </c>
      <c r="E235" s="12">
        <f t="shared" si="48"/>
        <v>-11.978539500000061</v>
      </c>
      <c r="F235" s="12">
        <f t="shared" si="49"/>
        <v>473.94511200000011</v>
      </c>
      <c r="G235" s="12">
        <f t="shared" si="50"/>
        <v>2091.6577919999995</v>
      </c>
      <c r="H235" s="12">
        <f t="shared" si="51"/>
        <v>8625.0022799999988</v>
      </c>
      <c r="I235" s="12">
        <f t="shared" si="52"/>
        <v>42.908302800000094</v>
      </c>
      <c r="J235" s="22">
        <f t="shared" si="53"/>
        <v>677433.46841573995</v>
      </c>
      <c r="K235" s="22">
        <f t="shared" si="54"/>
        <v>649830.26665343996</v>
      </c>
      <c r="L235" s="22">
        <f t="shared" si="55"/>
        <v>27603.201762299985</v>
      </c>
      <c r="M235" s="22">
        <f t="shared" si="56"/>
        <v>778094.2388111999</v>
      </c>
      <c r="N235" s="12">
        <f t="shared" si="57"/>
        <v>0.95925326537696254</v>
      </c>
      <c r="O235" s="12">
        <f t="shared" si="58"/>
        <v>0.5449127288126564</v>
      </c>
      <c r="P235" s="13">
        <f t="shared" si="59"/>
        <v>0.41434053656430614</v>
      </c>
      <c r="Q235" s="3">
        <v>0.23599999999999999</v>
      </c>
      <c r="U235" s="31">
        <f t="shared" si="45"/>
        <v>0.99482674999999987</v>
      </c>
    </row>
    <row r="236" spans="3:21" x14ac:dyDescent="0.2">
      <c r="C236" s="12">
        <f t="shared" si="46"/>
        <v>1770.4389167999998</v>
      </c>
      <c r="D236" s="13">
        <f t="shared" si="47"/>
        <v>43.284990000000036</v>
      </c>
      <c r="E236" s="12">
        <f t="shared" si="48"/>
        <v>-12.035269500000069</v>
      </c>
      <c r="F236" s="12">
        <f t="shared" si="49"/>
        <v>475.9533540000001</v>
      </c>
      <c r="G236" s="12">
        <f t="shared" si="50"/>
        <v>2100.9955499999996</v>
      </c>
      <c r="H236" s="12">
        <f t="shared" si="51"/>
        <v>8613.7130099999995</v>
      </c>
      <c r="I236" s="12">
        <f t="shared" si="52"/>
        <v>42.852140100000085</v>
      </c>
      <c r="J236" s="22">
        <f t="shared" si="53"/>
        <v>680305.29974627984</v>
      </c>
      <c r="K236" s="22">
        <f t="shared" si="54"/>
        <v>652583.78473247995</v>
      </c>
      <c r="L236" s="22">
        <f t="shared" si="55"/>
        <v>27721.515013799886</v>
      </c>
      <c r="M236" s="22">
        <f t="shared" si="56"/>
        <v>781566.26003999985</v>
      </c>
      <c r="N236" s="12">
        <f t="shared" si="57"/>
        <v>0.95925136108135767</v>
      </c>
      <c r="O236" s="12">
        <f t="shared" si="58"/>
        <v>0.54496826387785047</v>
      </c>
      <c r="P236" s="13">
        <f t="shared" si="59"/>
        <v>0.4142830972035072</v>
      </c>
      <c r="Q236" s="5">
        <v>0.23699999999999999</v>
      </c>
      <c r="U236" s="31">
        <f t="shared" si="45"/>
        <v>0.99482674999999987</v>
      </c>
    </row>
    <row r="237" spans="3:21" x14ac:dyDescent="0.2">
      <c r="C237" s="12">
        <f t="shared" si="46"/>
        <v>1777.9091232000001</v>
      </c>
      <c r="D237" s="13">
        <f t="shared" si="47"/>
        <v>43.228260000000041</v>
      </c>
      <c r="E237" s="12">
        <f t="shared" si="48"/>
        <v>-12.091999500000064</v>
      </c>
      <c r="F237" s="12">
        <f t="shared" si="49"/>
        <v>477.9615960000001</v>
      </c>
      <c r="G237" s="12">
        <f t="shared" si="50"/>
        <v>2110.3333079999998</v>
      </c>
      <c r="H237" s="12">
        <f t="shared" si="51"/>
        <v>8602.4237400000002</v>
      </c>
      <c r="I237" s="12">
        <f t="shared" si="52"/>
        <v>42.795977400000091</v>
      </c>
      <c r="J237" s="22">
        <f t="shared" si="53"/>
        <v>683177.13107682008</v>
      </c>
      <c r="K237" s="22">
        <f t="shared" si="54"/>
        <v>655337.30281152006</v>
      </c>
      <c r="L237" s="22">
        <f t="shared" si="55"/>
        <v>27839.828265300021</v>
      </c>
      <c r="M237" s="22">
        <f t="shared" si="56"/>
        <v>785038.28126879991</v>
      </c>
      <c r="N237" s="12">
        <f t="shared" si="57"/>
        <v>0.95924947279570227</v>
      </c>
      <c r="O237" s="12">
        <f t="shared" si="58"/>
        <v>0.54502331887973998</v>
      </c>
      <c r="P237" s="13">
        <f t="shared" si="59"/>
        <v>0.41422615391596229</v>
      </c>
      <c r="Q237" s="3">
        <v>0.23799999999999999</v>
      </c>
      <c r="U237" s="31">
        <f t="shared" si="45"/>
        <v>0.99482674999999987</v>
      </c>
    </row>
    <row r="238" spans="3:21" x14ac:dyDescent="0.2">
      <c r="C238" s="12">
        <f t="shared" si="46"/>
        <v>1785.3793296000001</v>
      </c>
      <c r="D238" s="13">
        <f t="shared" si="47"/>
        <v>43.17153000000004</v>
      </c>
      <c r="E238" s="12">
        <f t="shared" si="48"/>
        <v>-12.148729500000066</v>
      </c>
      <c r="F238" s="12">
        <f t="shared" si="49"/>
        <v>479.9698380000001</v>
      </c>
      <c r="G238" s="12">
        <f t="shared" si="50"/>
        <v>2119.6710659999999</v>
      </c>
      <c r="H238" s="12">
        <f t="shared" si="51"/>
        <v>8591.1344699999991</v>
      </c>
      <c r="I238" s="12">
        <f t="shared" si="52"/>
        <v>42.739814700000082</v>
      </c>
      <c r="J238" s="22">
        <f t="shared" si="53"/>
        <v>686048.96240736009</v>
      </c>
      <c r="K238" s="22">
        <f t="shared" si="54"/>
        <v>658090.82089056005</v>
      </c>
      <c r="L238" s="22">
        <f t="shared" si="55"/>
        <v>27958.141516800039</v>
      </c>
      <c r="M238" s="22">
        <f t="shared" si="56"/>
        <v>788510.30249760009</v>
      </c>
      <c r="N238" s="12">
        <f t="shared" si="57"/>
        <v>0.95924760031894174</v>
      </c>
      <c r="O238" s="12">
        <f t="shared" si="58"/>
        <v>0.54507790001627332</v>
      </c>
      <c r="P238" s="13">
        <f t="shared" si="59"/>
        <v>0.41416970030266842</v>
      </c>
      <c r="Q238" s="5">
        <v>0.23899999999999999</v>
      </c>
      <c r="U238" s="31">
        <f t="shared" si="45"/>
        <v>0.99482674999999987</v>
      </c>
    </row>
    <row r="239" spans="3:21" x14ac:dyDescent="0.2">
      <c r="C239" s="12">
        <f t="shared" si="46"/>
        <v>1792.8495359999997</v>
      </c>
      <c r="D239" s="13">
        <f t="shared" si="47"/>
        <v>43.114800000000038</v>
      </c>
      <c r="E239" s="12">
        <f t="shared" si="48"/>
        <v>-12.20545950000006</v>
      </c>
      <c r="F239" s="12">
        <f t="shared" si="49"/>
        <v>481.97808000000015</v>
      </c>
      <c r="G239" s="12">
        <f t="shared" si="50"/>
        <v>2129.0088239999995</v>
      </c>
      <c r="H239" s="12">
        <f t="shared" si="51"/>
        <v>8579.8451999999997</v>
      </c>
      <c r="I239" s="12">
        <f t="shared" si="52"/>
        <v>42.683652000000095</v>
      </c>
      <c r="J239" s="22">
        <f t="shared" si="53"/>
        <v>688920.79373789986</v>
      </c>
      <c r="K239" s="22">
        <f t="shared" si="54"/>
        <v>660844.33896959992</v>
      </c>
      <c r="L239" s="22">
        <f t="shared" si="55"/>
        <v>28076.45476829994</v>
      </c>
      <c r="M239" s="22">
        <f t="shared" si="56"/>
        <v>791982.32372639992</v>
      </c>
      <c r="N239" s="12">
        <f t="shared" si="57"/>
        <v>0.95924574345337343</v>
      </c>
      <c r="O239" s="12">
        <f t="shared" si="58"/>
        <v>0.54513201337916262</v>
      </c>
      <c r="P239" s="13">
        <f t="shared" si="59"/>
        <v>0.41411373007421082</v>
      </c>
      <c r="Q239" s="3">
        <v>0.24</v>
      </c>
      <c r="U239" s="31">
        <f t="shared" si="45"/>
        <v>0.99482674999999987</v>
      </c>
    </row>
    <row r="240" spans="3:21" x14ac:dyDescent="0.2">
      <c r="C240" s="12">
        <f t="shared" si="46"/>
        <v>1800.3197424</v>
      </c>
      <c r="D240" s="13">
        <f t="shared" si="47"/>
        <v>43.058070000000036</v>
      </c>
      <c r="E240" s="12">
        <f t="shared" si="48"/>
        <v>-12.262189500000069</v>
      </c>
      <c r="F240" s="12">
        <f t="shared" si="49"/>
        <v>483.98632200000014</v>
      </c>
      <c r="G240" s="12">
        <f t="shared" si="50"/>
        <v>2138.3465819999997</v>
      </c>
      <c r="H240" s="12">
        <f t="shared" si="51"/>
        <v>8568.5559300000004</v>
      </c>
      <c r="I240" s="12">
        <f t="shared" si="52"/>
        <v>42.627489300000086</v>
      </c>
      <c r="J240" s="22">
        <f t="shared" si="53"/>
        <v>691792.62506843999</v>
      </c>
      <c r="K240" s="22">
        <f t="shared" si="54"/>
        <v>663597.85704864003</v>
      </c>
      <c r="L240" s="22">
        <f t="shared" si="55"/>
        <v>28194.768019799958</v>
      </c>
      <c r="M240" s="22">
        <f t="shared" si="56"/>
        <v>795454.34495519998</v>
      </c>
      <c r="N240" s="12">
        <f t="shared" si="57"/>
        <v>0.95924390200457743</v>
      </c>
      <c r="O240" s="12">
        <f t="shared" si="58"/>
        <v>0.54518566495615117</v>
      </c>
      <c r="P240" s="13">
        <f t="shared" si="59"/>
        <v>0.41405823704842626</v>
      </c>
      <c r="Q240" s="5">
        <v>0.24099999999999999</v>
      </c>
      <c r="U240" s="31">
        <f t="shared" si="45"/>
        <v>0.99482674999999987</v>
      </c>
    </row>
    <row r="241" spans="3:21" x14ac:dyDescent="0.2">
      <c r="C241" s="12">
        <f t="shared" si="46"/>
        <v>1807.7899488</v>
      </c>
      <c r="D241" s="13">
        <f t="shared" si="47"/>
        <v>43.001340000000042</v>
      </c>
      <c r="E241" s="12">
        <f t="shared" si="48"/>
        <v>-12.318919500000064</v>
      </c>
      <c r="F241" s="12">
        <f t="shared" si="49"/>
        <v>485.99456400000014</v>
      </c>
      <c r="G241" s="12">
        <f t="shared" si="50"/>
        <v>2147.6843399999998</v>
      </c>
      <c r="H241" s="12">
        <f t="shared" si="51"/>
        <v>8557.2666600000011</v>
      </c>
      <c r="I241" s="12">
        <f t="shared" si="52"/>
        <v>42.571326600000084</v>
      </c>
      <c r="J241" s="22">
        <f t="shared" si="53"/>
        <v>694664.45639897999</v>
      </c>
      <c r="K241" s="22">
        <f t="shared" si="54"/>
        <v>666351.37512768002</v>
      </c>
      <c r="L241" s="22">
        <f t="shared" si="55"/>
        <v>28313.081271299976</v>
      </c>
      <c r="M241" s="22">
        <f t="shared" si="56"/>
        <v>798926.36618399993</v>
      </c>
      <c r="N241" s="12">
        <f t="shared" si="57"/>
        <v>0.95924207578134901</v>
      </c>
      <c r="O241" s="12">
        <f t="shared" si="58"/>
        <v>0.54523886063322091</v>
      </c>
      <c r="P241" s="13">
        <f t="shared" si="59"/>
        <v>0.4140032151481281</v>
      </c>
      <c r="Q241" s="3">
        <v>0.24199999999999999</v>
      </c>
      <c r="U241" s="31">
        <f t="shared" si="45"/>
        <v>0.99482674999999987</v>
      </c>
    </row>
    <row r="242" spans="3:21" x14ac:dyDescent="0.2">
      <c r="C242" s="12">
        <f t="shared" si="46"/>
        <v>1815.2601552000001</v>
      </c>
      <c r="D242" s="13">
        <f t="shared" si="47"/>
        <v>42.94461000000004</v>
      </c>
      <c r="E242" s="12">
        <f t="shared" si="48"/>
        <v>-12.375649500000065</v>
      </c>
      <c r="F242" s="12">
        <f t="shared" si="49"/>
        <v>488.00280600000013</v>
      </c>
      <c r="G242" s="12">
        <f t="shared" si="50"/>
        <v>2157.0220979999999</v>
      </c>
      <c r="H242" s="12">
        <f t="shared" si="51"/>
        <v>8545.97739</v>
      </c>
      <c r="I242" s="12">
        <f t="shared" si="52"/>
        <v>42.51516390000009</v>
      </c>
      <c r="J242" s="22">
        <f t="shared" si="53"/>
        <v>697536.28772952</v>
      </c>
      <c r="K242" s="22">
        <f t="shared" si="54"/>
        <v>669104.89320672012</v>
      </c>
      <c r="L242" s="22">
        <f t="shared" si="55"/>
        <v>28431.394522799877</v>
      </c>
      <c r="M242" s="22">
        <f t="shared" si="56"/>
        <v>802398.38741279999</v>
      </c>
      <c r="N242" s="12">
        <f t="shared" si="57"/>
        <v>0.95924026459563272</v>
      </c>
      <c r="O242" s="12">
        <f t="shared" si="58"/>
        <v>0.54529160619674655</v>
      </c>
      <c r="P242" s="13">
        <f t="shared" si="59"/>
        <v>0.41394865839888617</v>
      </c>
      <c r="Q242" s="5">
        <v>0.24299999999999999</v>
      </c>
      <c r="U242" s="31">
        <f t="shared" si="45"/>
        <v>0.99482674999999987</v>
      </c>
    </row>
    <row r="243" spans="3:21" x14ac:dyDescent="0.2">
      <c r="C243" s="12">
        <f t="shared" si="46"/>
        <v>1822.7303615999999</v>
      </c>
      <c r="D243" s="13">
        <f t="shared" si="47"/>
        <v>42.887880000000038</v>
      </c>
      <c r="E243" s="12">
        <f t="shared" si="48"/>
        <v>-12.43237950000006</v>
      </c>
      <c r="F243" s="12">
        <f t="shared" si="49"/>
        <v>490.01104800000013</v>
      </c>
      <c r="G243" s="12">
        <f t="shared" si="50"/>
        <v>2166.3598559999996</v>
      </c>
      <c r="H243" s="12">
        <f t="shared" si="51"/>
        <v>8534.6881200000007</v>
      </c>
      <c r="I243" s="12">
        <f t="shared" si="52"/>
        <v>42.459001200000088</v>
      </c>
      <c r="J243" s="22">
        <f t="shared" si="53"/>
        <v>700408.11906006001</v>
      </c>
      <c r="K243" s="22">
        <f t="shared" si="54"/>
        <v>671858.41128576</v>
      </c>
      <c r="L243" s="22">
        <f t="shared" si="55"/>
        <v>28549.707774300012</v>
      </c>
      <c r="M243" s="22">
        <f t="shared" si="56"/>
        <v>805870.40864159993</v>
      </c>
      <c r="N243" s="12">
        <f t="shared" si="57"/>
        <v>0.95923846826245618</v>
      </c>
      <c r="O243" s="12">
        <f t="shared" si="58"/>
        <v>0.54534390733559202</v>
      </c>
      <c r="P243" s="13">
        <f t="shared" si="59"/>
        <v>0.41389456092686416</v>
      </c>
      <c r="Q243" s="3">
        <v>0.24399999999999999</v>
      </c>
      <c r="U243" s="31">
        <f t="shared" si="45"/>
        <v>0.99482674999999987</v>
      </c>
    </row>
    <row r="244" spans="3:21" x14ac:dyDescent="0.2">
      <c r="C244" s="12">
        <f t="shared" si="46"/>
        <v>1830.200568</v>
      </c>
      <c r="D244" s="13">
        <f t="shared" si="47"/>
        <v>42.831150000000036</v>
      </c>
      <c r="E244" s="12">
        <f t="shared" si="48"/>
        <v>-12.489109500000069</v>
      </c>
      <c r="F244" s="12">
        <f t="shared" si="49"/>
        <v>492.01929000000013</v>
      </c>
      <c r="G244" s="12">
        <f t="shared" si="50"/>
        <v>2175.6976139999997</v>
      </c>
      <c r="H244" s="12">
        <f t="shared" si="51"/>
        <v>8523.3988499999996</v>
      </c>
      <c r="I244" s="12">
        <f t="shared" si="52"/>
        <v>42.402838500000087</v>
      </c>
      <c r="J244" s="22">
        <f t="shared" si="53"/>
        <v>703279.9503905999</v>
      </c>
      <c r="K244" s="22">
        <f t="shared" si="54"/>
        <v>674611.92936479999</v>
      </c>
      <c r="L244" s="22">
        <f t="shared" si="55"/>
        <v>28668.021025799913</v>
      </c>
      <c r="M244" s="22">
        <f t="shared" si="56"/>
        <v>809342.42987039988</v>
      </c>
      <c r="N244" s="12">
        <f t="shared" si="57"/>
        <v>0.95923668659986994</v>
      </c>
      <c r="O244" s="12">
        <f t="shared" si="58"/>
        <v>0.54539576964315706</v>
      </c>
      <c r="P244" s="13">
        <f t="shared" si="59"/>
        <v>0.41384091695671288</v>
      </c>
      <c r="Q244" s="5">
        <v>0.245</v>
      </c>
      <c r="U244" s="31">
        <f t="shared" si="45"/>
        <v>0.99482674999999987</v>
      </c>
    </row>
    <row r="245" spans="3:21" x14ac:dyDescent="0.2">
      <c r="C245" s="12">
        <f t="shared" si="46"/>
        <v>1837.6707744</v>
      </c>
      <c r="D245" s="13">
        <f t="shared" si="47"/>
        <v>42.774420000000042</v>
      </c>
      <c r="E245" s="12">
        <f t="shared" si="48"/>
        <v>-12.545839500000071</v>
      </c>
      <c r="F245" s="12">
        <f t="shared" si="49"/>
        <v>494.02753200000012</v>
      </c>
      <c r="G245" s="12">
        <f t="shared" si="50"/>
        <v>2185.0353719999998</v>
      </c>
      <c r="H245" s="12">
        <f t="shared" si="51"/>
        <v>8512.1095800000003</v>
      </c>
      <c r="I245" s="12">
        <f t="shared" si="52"/>
        <v>42.346675800000085</v>
      </c>
      <c r="J245" s="22">
        <f t="shared" si="53"/>
        <v>706151.78172114003</v>
      </c>
      <c r="K245" s="22">
        <f t="shared" si="54"/>
        <v>677365.44744384009</v>
      </c>
      <c r="L245" s="22">
        <f t="shared" si="55"/>
        <v>28786.334277299931</v>
      </c>
      <c r="M245" s="22">
        <f t="shared" si="56"/>
        <v>812814.45109920006</v>
      </c>
      <c r="N245" s="12">
        <f t="shared" si="57"/>
        <v>0.95923491942888328</v>
      </c>
      <c r="O245" s="12">
        <f t="shared" si="58"/>
        <v>0.54544719861937119</v>
      </c>
      <c r="P245" s="13">
        <f t="shared" si="59"/>
        <v>0.41378772080951209</v>
      </c>
      <c r="Q245" s="3">
        <v>0.246</v>
      </c>
      <c r="U245" s="31">
        <f t="shared" si="45"/>
        <v>0.99482674999999987</v>
      </c>
    </row>
    <row r="246" spans="3:21" x14ac:dyDescent="0.2">
      <c r="C246" s="12">
        <f t="shared" si="46"/>
        <v>1845.1409808000001</v>
      </c>
      <c r="D246" s="13">
        <f t="shared" si="47"/>
        <v>42.717690000000033</v>
      </c>
      <c r="E246" s="12">
        <f t="shared" si="48"/>
        <v>-12.602569500000065</v>
      </c>
      <c r="F246" s="12">
        <f t="shared" si="49"/>
        <v>496.03577400000012</v>
      </c>
      <c r="G246" s="12">
        <f t="shared" si="50"/>
        <v>2194.3731299999999</v>
      </c>
      <c r="H246" s="12">
        <f t="shared" si="51"/>
        <v>8500.8203099999992</v>
      </c>
      <c r="I246" s="12">
        <f t="shared" si="52"/>
        <v>42.290513100000091</v>
      </c>
      <c r="J246" s="22">
        <f t="shared" si="53"/>
        <v>709023.61305168015</v>
      </c>
      <c r="K246" s="22">
        <f t="shared" si="54"/>
        <v>680118.96552288008</v>
      </c>
      <c r="L246" s="22">
        <f t="shared" si="55"/>
        <v>28904.647528800066</v>
      </c>
      <c r="M246" s="22">
        <f t="shared" si="56"/>
        <v>816286.472328</v>
      </c>
      <c r="N246" s="12">
        <f t="shared" si="57"/>
        <v>0.95923316657340552</v>
      </c>
      <c r="O246" s="12">
        <f t="shared" si="58"/>
        <v>0.54549819967263757</v>
      </c>
      <c r="P246" s="13">
        <f t="shared" si="59"/>
        <v>0.41373496690076794</v>
      </c>
      <c r="Q246" s="5">
        <v>0.247</v>
      </c>
      <c r="U246" s="31">
        <f t="shared" si="45"/>
        <v>0.99482674999999987</v>
      </c>
    </row>
    <row r="247" spans="3:21" x14ac:dyDescent="0.2">
      <c r="C247" s="12">
        <f t="shared" si="46"/>
        <v>1852.6111871999999</v>
      </c>
      <c r="D247" s="13">
        <f t="shared" si="47"/>
        <v>42.660960000000038</v>
      </c>
      <c r="E247" s="12">
        <f t="shared" si="48"/>
        <v>-12.65929950000006</v>
      </c>
      <c r="F247" s="12">
        <f t="shared" si="49"/>
        <v>498.04401600000011</v>
      </c>
      <c r="G247" s="12">
        <f t="shared" si="50"/>
        <v>2203.7108879999996</v>
      </c>
      <c r="H247" s="12">
        <f t="shared" si="51"/>
        <v>8489.5310399999998</v>
      </c>
      <c r="I247" s="12">
        <f t="shared" si="52"/>
        <v>42.234350400000096</v>
      </c>
      <c r="J247" s="22">
        <f t="shared" si="53"/>
        <v>711895.44438221981</v>
      </c>
      <c r="K247" s="22">
        <f t="shared" si="54"/>
        <v>682872.48360191996</v>
      </c>
      <c r="L247" s="22">
        <f t="shared" si="55"/>
        <v>29022.960780299851</v>
      </c>
      <c r="M247" s="22">
        <f t="shared" si="56"/>
        <v>819758.49355679995</v>
      </c>
      <c r="N247" s="12">
        <f t="shared" si="57"/>
        <v>0.95923142786018833</v>
      </c>
      <c r="O247" s="12">
        <f t="shared" si="58"/>
        <v>0.54554877812172942</v>
      </c>
      <c r="P247" s="13">
        <f t="shared" si="59"/>
        <v>0.41368264973845892</v>
      </c>
      <c r="Q247" s="3">
        <v>0.248</v>
      </c>
      <c r="U247" s="31">
        <f t="shared" si="45"/>
        <v>0.99482674999999987</v>
      </c>
    </row>
    <row r="248" spans="3:21" x14ac:dyDescent="0.2">
      <c r="C248" s="12">
        <f t="shared" si="46"/>
        <v>1860.0813936</v>
      </c>
      <c r="D248" s="13">
        <f t="shared" si="47"/>
        <v>42.604230000000037</v>
      </c>
      <c r="E248" s="12">
        <f t="shared" si="48"/>
        <v>-12.716029500000069</v>
      </c>
      <c r="F248" s="12">
        <f t="shared" si="49"/>
        <v>500.05225800000011</v>
      </c>
      <c r="G248" s="12">
        <f t="shared" si="50"/>
        <v>2213.0486459999997</v>
      </c>
      <c r="H248" s="12">
        <f t="shared" si="51"/>
        <v>8478.2417700000005</v>
      </c>
      <c r="I248" s="12">
        <f t="shared" si="52"/>
        <v>42.17818770000008</v>
      </c>
      <c r="J248" s="22">
        <f t="shared" si="53"/>
        <v>714767.27571275993</v>
      </c>
      <c r="K248" s="22">
        <f t="shared" si="54"/>
        <v>685626.00168096006</v>
      </c>
      <c r="L248" s="22">
        <f t="shared" si="55"/>
        <v>29141.274031799869</v>
      </c>
      <c r="M248" s="22">
        <f t="shared" si="56"/>
        <v>823230.51478560001</v>
      </c>
      <c r="N248" s="12">
        <f t="shared" si="57"/>
        <v>0.95922970311876632</v>
      </c>
      <c r="O248" s="12">
        <f t="shared" si="58"/>
        <v>0.54559893919763891</v>
      </c>
      <c r="P248" s="13">
        <f t="shared" si="59"/>
        <v>0.41363076392112741</v>
      </c>
      <c r="Q248" s="5">
        <v>0.249</v>
      </c>
      <c r="U248" s="31">
        <f t="shared" si="45"/>
        <v>0.99482674999999987</v>
      </c>
    </row>
    <row r="249" spans="3:21" x14ac:dyDescent="0.2">
      <c r="C249" s="12">
        <f t="shared" si="46"/>
        <v>1867.5516</v>
      </c>
      <c r="D249" s="13">
        <f t="shared" si="47"/>
        <v>42.547500000000035</v>
      </c>
      <c r="E249" s="12">
        <f t="shared" si="48"/>
        <v>-12.77275950000007</v>
      </c>
      <c r="F249" s="12">
        <f t="shared" si="49"/>
        <v>502.0605000000001</v>
      </c>
      <c r="G249" s="12">
        <f t="shared" si="50"/>
        <v>2222.3864039999999</v>
      </c>
      <c r="H249" s="12">
        <f t="shared" si="51"/>
        <v>8466.9524999999994</v>
      </c>
      <c r="I249" s="12">
        <f t="shared" si="52"/>
        <v>42.122025000000079</v>
      </c>
      <c r="J249" s="22">
        <f t="shared" si="53"/>
        <v>717639.10704330006</v>
      </c>
      <c r="K249" s="22">
        <f t="shared" si="54"/>
        <v>688379.51976000005</v>
      </c>
      <c r="L249" s="22">
        <f t="shared" si="55"/>
        <v>29259.587283300003</v>
      </c>
      <c r="M249" s="22">
        <f t="shared" si="56"/>
        <v>826702.53601439996</v>
      </c>
      <c r="N249" s="12">
        <f t="shared" si="57"/>
        <v>0.95922799218140353</v>
      </c>
      <c r="O249" s="12">
        <f t="shared" si="58"/>
        <v>0.54564868804538091</v>
      </c>
      <c r="P249" s="13">
        <f t="shared" si="59"/>
        <v>0.41357930413602262</v>
      </c>
      <c r="Q249" s="3">
        <v>0.25</v>
      </c>
      <c r="U249" s="31">
        <f t="shared" si="45"/>
        <v>0.99482674999999987</v>
      </c>
    </row>
    <row r="250" spans="3:21" x14ac:dyDescent="0.2">
      <c r="C250" s="12">
        <f t="shared" si="46"/>
        <v>1875.0218064000001</v>
      </c>
      <c r="D250" s="13">
        <f t="shared" si="47"/>
        <v>42.49077000000004</v>
      </c>
      <c r="E250" s="12">
        <f t="shared" si="48"/>
        <v>-12.829489500000065</v>
      </c>
      <c r="F250" s="12">
        <f t="shared" si="49"/>
        <v>504.06874200000016</v>
      </c>
      <c r="G250" s="12">
        <f t="shared" si="50"/>
        <v>2231.724162</v>
      </c>
      <c r="H250" s="12">
        <f t="shared" si="51"/>
        <v>8455.6632300000001</v>
      </c>
      <c r="I250" s="12">
        <f t="shared" si="52"/>
        <v>42.065862300000084</v>
      </c>
      <c r="J250" s="22">
        <f t="shared" si="53"/>
        <v>720510.93837383995</v>
      </c>
      <c r="K250" s="22">
        <f t="shared" si="54"/>
        <v>691133.03783904004</v>
      </c>
      <c r="L250" s="22">
        <f t="shared" si="55"/>
        <v>29377.900534799905</v>
      </c>
      <c r="M250" s="22">
        <f t="shared" si="56"/>
        <v>830174.55724320002</v>
      </c>
      <c r="N250" s="12">
        <f t="shared" si="57"/>
        <v>0.9592262948830389</v>
      </c>
      <c r="O250" s="12">
        <f t="shared" si="58"/>
        <v>0.54569802972575165</v>
      </c>
      <c r="P250" s="13">
        <f t="shared" si="59"/>
        <v>0.41352826515728724</v>
      </c>
      <c r="Q250" s="5">
        <v>0.251</v>
      </c>
      <c r="U250" s="31">
        <f t="shared" si="45"/>
        <v>0.99482674999999987</v>
      </c>
    </row>
    <row r="251" spans="3:21" x14ac:dyDescent="0.2">
      <c r="C251" s="12">
        <f t="shared" si="46"/>
        <v>1882.4920127999999</v>
      </c>
      <c r="D251" s="13">
        <f t="shared" si="47"/>
        <v>42.434040000000039</v>
      </c>
      <c r="E251" s="12">
        <f t="shared" si="48"/>
        <v>-12.886219500000074</v>
      </c>
      <c r="F251" s="12">
        <f t="shared" si="49"/>
        <v>506.07698400000015</v>
      </c>
      <c r="G251" s="12">
        <f t="shared" si="50"/>
        <v>2241.0619199999996</v>
      </c>
      <c r="H251" s="12">
        <f t="shared" si="51"/>
        <v>8444.3739600000008</v>
      </c>
      <c r="I251" s="12">
        <f t="shared" si="52"/>
        <v>42.009699600000076</v>
      </c>
      <c r="J251" s="22">
        <f t="shared" si="53"/>
        <v>723382.76970438007</v>
      </c>
      <c r="K251" s="22">
        <f t="shared" si="54"/>
        <v>693886.55591808003</v>
      </c>
      <c r="L251" s="22">
        <f t="shared" si="55"/>
        <v>29496.213786300039</v>
      </c>
      <c r="M251" s="22">
        <f t="shared" si="56"/>
        <v>833646.57847199985</v>
      </c>
      <c r="N251" s="12">
        <f t="shared" si="57"/>
        <v>0.95922461106123103</v>
      </c>
      <c r="O251" s="12">
        <f t="shared" si="58"/>
        <v>0.54574696921704546</v>
      </c>
      <c r="P251" s="13">
        <f t="shared" si="59"/>
        <v>0.41347764184418556</v>
      </c>
      <c r="Q251" s="3">
        <v>0.252</v>
      </c>
      <c r="U251" s="31">
        <f t="shared" si="45"/>
        <v>0.99482674999999987</v>
      </c>
    </row>
    <row r="252" spans="3:21" x14ac:dyDescent="0.2">
      <c r="C252" s="12">
        <f t="shared" si="46"/>
        <v>1889.9622191999999</v>
      </c>
      <c r="D252" s="13">
        <f t="shared" si="47"/>
        <v>42.377310000000037</v>
      </c>
      <c r="E252" s="12">
        <f t="shared" si="48"/>
        <v>-12.942949500000068</v>
      </c>
      <c r="F252" s="12">
        <f t="shared" si="49"/>
        <v>508.08522600000015</v>
      </c>
      <c r="G252" s="12">
        <f t="shared" si="50"/>
        <v>2250.3996779999998</v>
      </c>
      <c r="H252" s="12">
        <f t="shared" si="51"/>
        <v>8433.0846899999997</v>
      </c>
      <c r="I252" s="12">
        <f t="shared" si="52"/>
        <v>41.953536900000081</v>
      </c>
      <c r="J252" s="22">
        <f t="shared" si="53"/>
        <v>726254.60103491996</v>
      </c>
      <c r="K252" s="22">
        <f t="shared" si="54"/>
        <v>696640.07399712002</v>
      </c>
      <c r="L252" s="22">
        <f t="shared" si="55"/>
        <v>29614.52703779994</v>
      </c>
      <c r="M252" s="22">
        <f t="shared" si="56"/>
        <v>837118.59970079991</v>
      </c>
      <c r="N252" s="12">
        <f t="shared" si="57"/>
        <v>0.95922294055610946</v>
      </c>
      <c r="O252" s="12">
        <f t="shared" si="58"/>
        <v>0.54579551141672877</v>
      </c>
      <c r="P252" s="13">
        <f t="shared" si="59"/>
        <v>0.41342742913938069</v>
      </c>
      <c r="Q252" s="5">
        <v>0.253</v>
      </c>
      <c r="U252" s="31">
        <f t="shared" si="45"/>
        <v>0.99482674999999987</v>
      </c>
    </row>
    <row r="253" spans="3:21" x14ac:dyDescent="0.2">
      <c r="C253" s="12">
        <f t="shared" si="46"/>
        <v>1897.4324256</v>
      </c>
      <c r="D253" s="13">
        <f t="shared" si="47"/>
        <v>42.320580000000035</v>
      </c>
      <c r="E253" s="12">
        <f t="shared" si="48"/>
        <v>-12.99967950000007</v>
      </c>
      <c r="F253" s="12">
        <f t="shared" si="49"/>
        <v>510.09346800000014</v>
      </c>
      <c r="G253" s="12">
        <f t="shared" si="50"/>
        <v>2259.7374359999999</v>
      </c>
      <c r="H253" s="12">
        <f t="shared" si="51"/>
        <v>8421.7954200000004</v>
      </c>
      <c r="I253" s="12">
        <f t="shared" si="52"/>
        <v>41.89737420000008</v>
      </c>
      <c r="J253" s="22">
        <f t="shared" si="53"/>
        <v>729126.43236545997</v>
      </c>
      <c r="K253" s="22">
        <f t="shared" si="54"/>
        <v>699393.59207616001</v>
      </c>
      <c r="L253" s="22">
        <f t="shared" si="55"/>
        <v>29732.840289299958</v>
      </c>
      <c r="M253" s="22">
        <f t="shared" si="56"/>
        <v>840590.62092960009</v>
      </c>
      <c r="N253" s="12">
        <f t="shared" si="57"/>
        <v>0.95922128321032119</v>
      </c>
      <c r="O253" s="12">
        <f t="shared" si="58"/>
        <v>0.54584366114307425</v>
      </c>
      <c r="P253" s="13">
        <f t="shared" si="59"/>
        <v>0.41337762206724693</v>
      </c>
      <c r="Q253" s="3">
        <v>0.254</v>
      </c>
      <c r="U253" s="31">
        <f t="shared" si="45"/>
        <v>0.99482674999999987</v>
      </c>
    </row>
    <row r="254" spans="3:21" x14ac:dyDescent="0.2">
      <c r="C254" s="12">
        <f t="shared" si="46"/>
        <v>1904.9026320000003</v>
      </c>
      <c r="D254" s="13">
        <f t="shared" si="47"/>
        <v>42.263850000000041</v>
      </c>
      <c r="E254" s="12">
        <f t="shared" si="48"/>
        <v>-13.056409500000065</v>
      </c>
      <c r="F254" s="12">
        <f t="shared" si="49"/>
        <v>512.10171000000014</v>
      </c>
      <c r="G254" s="12">
        <f t="shared" si="50"/>
        <v>2269.075194</v>
      </c>
      <c r="H254" s="12">
        <f t="shared" si="51"/>
        <v>8410.5061500000011</v>
      </c>
      <c r="I254" s="12">
        <f t="shared" si="52"/>
        <v>41.841211500000085</v>
      </c>
      <c r="J254" s="22">
        <f t="shared" si="53"/>
        <v>731998.26369600021</v>
      </c>
      <c r="K254" s="22">
        <f t="shared" si="54"/>
        <v>702147.11015520012</v>
      </c>
      <c r="L254" s="22">
        <f t="shared" si="55"/>
        <v>29851.153540800093</v>
      </c>
      <c r="M254" s="22">
        <f t="shared" si="56"/>
        <v>844062.64215840003</v>
      </c>
      <c r="N254" s="12">
        <f t="shared" si="57"/>
        <v>0.95921963886898332</v>
      </c>
      <c r="O254" s="12">
        <f t="shared" si="58"/>
        <v>0.54589142313675465</v>
      </c>
      <c r="P254" s="13">
        <f t="shared" si="59"/>
        <v>0.41332821573222867</v>
      </c>
      <c r="Q254" s="5">
        <v>0.255</v>
      </c>
      <c r="U254" s="31">
        <f t="shared" si="45"/>
        <v>0.99482674999999987</v>
      </c>
    </row>
    <row r="255" spans="3:21" x14ac:dyDescent="0.2">
      <c r="C255" s="12">
        <f t="shared" si="46"/>
        <v>1912.3728383999999</v>
      </c>
      <c r="D255" s="13">
        <f t="shared" si="47"/>
        <v>42.207120000000039</v>
      </c>
      <c r="E255" s="12">
        <f t="shared" si="48"/>
        <v>-13.113139500000074</v>
      </c>
      <c r="F255" s="12">
        <f t="shared" si="49"/>
        <v>514.10995200000013</v>
      </c>
      <c r="G255" s="12">
        <f t="shared" si="50"/>
        <v>2278.4129519999997</v>
      </c>
      <c r="H255" s="12">
        <f t="shared" si="51"/>
        <v>8399.2168799999999</v>
      </c>
      <c r="I255" s="12">
        <f t="shared" si="52"/>
        <v>41.785048800000077</v>
      </c>
      <c r="J255" s="22">
        <f t="shared" si="53"/>
        <v>734870.09502653999</v>
      </c>
      <c r="K255" s="22">
        <f t="shared" si="54"/>
        <v>704900.62823423999</v>
      </c>
      <c r="L255" s="22">
        <f t="shared" si="55"/>
        <v>29969.466792299994</v>
      </c>
      <c r="M255" s="22">
        <f t="shared" si="56"/>
        <v>847534.66338719998</v>
      </c>
      <c r="N255" s="12">
        <f t="shared" si="57"/>
        <v>0.95921800737963403</v>
      </c>
      <c r="O255" s="12">
        <f t="shared" si="58"/>
        <v>0.54593880206239898</v>
      </c>
      <c r="P255" s="13">
        <f t="shared" si="59"/>
        <v>0.41327920531723505</v>
      </c>
      <c r="Q255" s="3">
        <v>0.25600000000000001</v>
      </c>
      <c r="U255" s="31">
        <f t="shared" si="45"/>
        <v>0.99482674999999987</v>
      </c>
    </row>
    <row r="256" spans="3:21" x14ac:dyDescent="0.2">
      <c r="C256" s="12">
        <f t="shared" si="46"/>
        <v>1919.8430447999999</v>
      </c>
      <c r="D256" s="13">
        <f t="shared" si="47"/>
        <v>42.150390000000037</v>
      </c>
      <c r="E256" s="12">
        <f t="shared" si="48"/>
        <v>-13.169869500000068</v>
      </c>
      <c r="F256" s="12">
        <f t="shared" si="49"/>
        <v>516.11819400000013</v>
      </c>
      <c r="G256" s="12">
        <f t="shared" si="50"/>
        <v>2287.7507099999998</v>
      </c>
      <c r="H256" s="12">
        <f t="shared" si="51"/>
        <v>8387.9276099999988</v>
      </c>
      <c r="I256" s="12">
        <f t="shared" si="52"/>
        <v>41.728886100000089</v>
      </c>
      <c r="J256" s="22">
        <f t="shared" si="53"/>
        <v>737741.92635707988</v>
      </c>
      <c r="K256" s="22">
        <f t="shared" si="54"/>
        <v>707654.14631327998</v>
      </c>
      <c r="L256" s="22">
        <f t="shared" si="55"/>
        <v>30087.780043799896</v>
      </c>
      <c r="M256" s="22">
        <f t="shared" si="56"/>
        <v>851006.68461600004</v>
      </c>
      <c r="N256" s="12">
        <f t="shared" si="57"/>
        <v>0.95921638859218517</v>
      </c>
      <c r="O256" s="12">
        <f t="shared" si="58"/>
        <v>0.54598580251011142</v>
      </c>
      <c r="P256" s="13">
        <f t="shared" si="59"/>
        <v>0.41323058608207375</v>
      </c>
      <c r="Q256" s="5">
        <v>0.25700000000000001</v>
      </c>
      <c r="U256" s="31">
        <f t="shared" si="45"/>
        <v>0.99482674999999987</v>
      </c>
    </row>
    <row r="257" spans="3:21" x14ac:dyDescent="0.2">
      <c r="C257" s="12">
        <f t="shared" si="46"/>
        <v>1927.3132512000002</v>
      </c>
      <c r="D257" s="13">
        <f t="shared" si="47"/>
        <v>42.093660000000035</v>
      </c>
      <c r="E257" s="12">
        <f t="shared" si="48"/>
        <v>-13.22659950000007</v>
      </c>
      <c r="F257" s="12">
        <f t="shared" si="49"/>
        <v>518.12643600000013</v>
      </c>
      <c r="G257" s="12">
        <f t="shared" si="50"/>
        <v>2297.0884679999999</v>
      </c>
      <c r="H257" s="12">
        <f t="shared" si="51"/>
        <v>8376.6383399999995</v>
      </c>
      <c r="I257" s="12">
        <f t="shared" si="52"/>
        <v>41.672723400000081</v>
      </c>
      <c r="J257" s="22">
        <f t="shared" si="53"/>
        <v>740613.75768762012</v>
      </c>
      <c r="K257" s="22">
        <f t="shared" si="54"/>
        <v>710407.66439232009</v>
      </c>
      <c r="L257" s="22">
        <f t="shared" si="55"/>
        <v>30206.09329530003</v>
      </c>
      <c r="M257" s="22">
        <f t="shared" si="56"/>
        <v>854478.70584479999</v>
      </c>
      <c r="N257" s="12">
        <f t="shared" si="57"/>
        <v>0.95921478235887636</v>
      </c>
      <c r="O257" s="12">
        <f t="shared" si="58"/>
        <v>0.54603242899695315</v>
      </c>
      <c r="P257" s="13">
        <f t="shared" si="59"/>
        <v>0.41318235336192322</v>
      </c>
      <c r="Q257" s="3">
        <v>0.25800000000000001</v>
      </c>
      <c r="U257" s="31">
        <f t="shared" si="45"/>
        <v>0.99482674999999987</v>
      </c>
    </row>
    <row r="258" spans="3:21" x14ac:dyDescent="0.2">
      <c r="C258" s="12">
        <f t="shared" si="46"/>
        <v>1934.7834575999998</v>
      </c>
      <c r="D258" s="13">
        <f t="shared" si="47"/>
        <v>42.036930000000041</v>
      </c>
      <c r="E258" s="12">
        <f t="shared" si="48"/>
        <v>-13.283329500000065</v>
      </c>
      <c r="F258" s="12">
        <f t="shared" si="49"/>
        <v>520.13467800000012</v>
      </c>
      <c r="G258" s="12">
        <f t="shared" si="50"/>
        <v>2306.4262259999996</v>
      </c>
      <c r="H258" s="12">
        <f t="shared" si="51"/>
        <v>8365.3490700000002</v>
      </c>
      <c r="I258" s="12">
        <f t="shared" si="52"/>
        <v>41.616560700000086</v>
      </c>
      <c r="J258" s="22">
        <f t="shared" si="53"/>
        <v>743485.5890181599</v>
      </c>
      <c r="K258" s="22">
        <f t="shared" si="54"/>
        <v>713161.18247135996</v>
      </c>
      <c r="L258" s="22">
        <f t="shared" si="55"/>
        <v>30324.406546799932</v>
      </c>
      <c r="M258" s="22">
        <f t="shared" si="56"/>
        <v>857950.72707359993</v>
      </c>
      <c r="N258" s="12">
        <f t="shared" si="57"/>
        <v>0.95921318853423099</v>
      </c>
      <c r="O258" s="12">
        <f t="shared" si="58"/>
        <v>0.54607868596839015</v>
      </c>
      <c r="P258" s="13">
        <f t="shared" si="59"/>
        <v>0.41313450256584083</v>
      </c>
      <c r="Q258" s="5">
        <v>0.25900000000000001</v>
      </c>
      <c r="U258" s="31">
        <f t="shared" si="45"/>
        <v>0.99482674999999987</v>
      </c>
    </row>
    <row r="259" spans="3:21" x14ac:dyDescent="0.2">
      <c r="C259" s="12">
        <f t="shared" si="46"/>
        <v>1942.2536639999998</v>
      </c>
      <c r="D259" s="13">
        <f t="shared" si="47"/>
        <v>41.980200000000039</v>
      </c>
      <c r="E259" s="12">
        <f t="shared" si="48"/>
        <v>-13.340059500000073</v>
      </c>
      <c r="F259" s="12">
        <f t="shared" si="49"/>
        <v>522.14292000000012</v>
      </c>
      <c r="G259" s="12">
        <f t="shared" si="50"/>
        <v>2315.7639839999997</v>
      </c>
      <c r="H259" s="12">
        <f t="shared" si="51"/>
        <v>8354.0597999999991</v>
      </c>
      <c r="I259" s="12">
        <f t="shared" si="52"/>
        <v>41.560398000000077</v>
      </c>
      <c r="J259" s="22">
        <f t="shared" si="53"/>
        <v>746357.4203486999</v>
      </c>
      <c r="K259" s="22">
        <f t="shared" si="54"/>
        <v>715914.70055039995</v>
      </c>
      <c r="L259" s="22">
        <f t="shared" si="55"/>
        <v>30442.71979829995</v>
      </c>
      <c r="M259" s="22">
        <f t="shared" si="56"/>
        <v>861422.74830239988</v>
      </c>
      <c r="N259" s="12">
        <f t="shared" si="57"/>
        <v>0.95921160697501062</v>
      </c>
      <c r="O259" s="12">
        <f t="shared" si="58"/>
        <v>0.54612457779970547</v>
      </c>
      <c r="P259" s="13">
        <f t="shared" si="59"/>
        <v>0.41308702917530515</v>
      </c>
      <c r="Q259" s="3">
        <v>0.26</v>
      </c>
      <c r="U259" s="31">
        <f t="shared" si="45"/>
        <v>0.99482674999999987</v>
      </c>
    </row>
    <row r="260" spans="3:21" x14ac:dyDescent="0.2">
      <c r="C260" s="12">
        <f t="shared" si="46"/>
        <v>1949.7238704000001</v>
      </c>
      <c r="D260" s="13">
        <f t="shared" si="47"/>
        <v>41.923470000000037</v>
      </c>
      <c r="E260" s="12">
        <f t="shared" si="48"/>
        <v>-13.396789500000068</v>
      </c>
      <c r="F260" s="12">
        <f t="shared" si="49"/>
        <v>524.15116200000011</v>
      </c>
      <c r="G260" s="12">
        <f t="shared" si="50"/>
        <v>2325.1017419999998</v>
      </c>
      <c r="H260" s="12">
        <f t="shared" si="51"/>
        <v>8342.7705299999998</v>
      </c>
      <c r="I260" s="12">
        <f t="shared" si="52"/>
        <v>41.504235300000083</v>
      </c>
      <c r="J260" s="22">
        <f t="shared" si="53"/>
        <v>749229.25167924014</v>
      </c>
      <c r="K260" s="22">
        <f t="shared" si="54"/>
        <v>718668.21862944006</v>
      </c>
      <c r="L260" s="22">
        <f t="shared" si="55"/>
        <v>30561.033049800084</v>
      </c>
      <c r="M260" s="22">
        <f t="shared" si="56"/>
        <v>864894.76953119994</v>
      </c>
      <c r="N260" s="12">
        <f t="shared" si="57"/>
        <v>0.95921003754017353</v>
      </c>
      <c r="O260" s="12">
        <f t="shared" si="58"/>
        <v>0.54617010879737937</v>
      </c>
      <c r="P260" s="13">
        <f t="shared" si="59"/>
        <v>0.41303992874279416</v>
      </c>
      <c r="Q260" s="5">
        <v>0.26100000000000001</v>
      </c>
      <c r="U260" s="31">
        <f t="shared" si="45"/>
        <v>0.99482674999999987</v>
      </c>
    </row>
    <row r="261" spans="3:21" x14ac:dyDescent="0.2">
      <c r="C261" s="12">
        <f t="shared" si="46"/>
        <v>1957.1940768000002</v>
      </c>
      <c r="D261" s="13">
        <f t="shared" si="47"/>
        <v>41.866740000000036</v>
      </c>
      <c r="E261" s="12">
        <f t="shared" si="48"/>
        <v>-13.45351950000007</v>
      </c>
      <c r="F261" s="12">
        <f t="shared" si="49"/>
        <v>526.15940400000011</v>
      </c>
      <c r="G261" s="12">
        <f t="shared" si="50"/>
        <v>2334.4395</v>
      </c>
      <c r="H261" s="12">
        <f t="shared" si="51"/>
        <v>8331.4812600000005</v>
      </c>
      <c r="I261" s="12">
        <f t="shared" si="52"/>
        <v>41.448072600000081</v>
      </c>
      <c r="J261" s="22">
        <f t="shared" si="53"/>
        <v>752101.08300978015</v>
      </c>
      <c r="K261" s="22">
        <f t="shared" si="54"/>
        <v>721421.73670848017</v>
      </c>
      <c r="L261" s="22">
        <f t="shared" si="55"/>
        <v>30679.346301299985</v>
      </c>
      <c r="M261" s="22">
        <f t="shared" si="56"/>
        <v>868366.79076000012</v>
      </c>
      <c r="N261" s="12">
        <f t="shared" si="57"/>
        <v>0.95920848009083237</v>
      </c>
      <c r="O261" s="12">
        <f t="shared" si="58"/>
        <v>0.54621528320043611</v>
      </c>
      <c r="P261" s="13">
        <f t="shared" si="59"/>
        <v>0.41299319689039626</v>
      </c>
      <c r="Q261" s="3">
        <v>0.26200000000000001</v>
      </c>
      <c r="U261" s="31">
        <f t="shared" si="45"/>
        <v>0.99482674999999987</v>
      </c>
    </row>
    <row r="262" spans="3:21" x14ac:dyDescent="0.2">
      <c r="C262" s="12">
        <f t="shared" si="46"/>
        <v>1964.6642831999998</v>
      </c>
      <c r="D262" s="13">
        <f t="shared" si="47"/>
        <v>41.810010000000041</v>
      </c>
      <c r="E262" s="12">
        <f t="shared" si="48"/>
        <v>-13.510249500000064</v>
      </c>
      <c r="F262" s="12">
        <f t="shared" si="49"/>
        <v>528.1676460000001</v>
      </c>
      <c r="G262" s="12">
        <f t="shared" si="50"/>
        <v>2343.7772579999996</v>
      </c>
      <c r="H262" s="12">
        <f t="shared" si="51"/>
        <v>8320.1919899999994</v>
      </c>
      <c r="I262" s="12">
        <f t="shared" si="52"/>
        <v>41.391909900000087</v>
      </c>
      <c r="J262" s="22">
        <f t="shared" si="53"/>
        <v>754972.91434031993</v>
      </c>
      <c r="K262" s="22">
        <f t="shared" si="54"/>
        <v>724175.25478751992</v>
      </c>
      <c r="L262" s="22">
        <f t="shared" si="55"/>
        <v>30797.659552800003</v>
      </c>
      <c r="M262" s="22">
        <f t="shared" si="56"/>
        <v>871838.81198879995</v>
      </c>
      <c r="N262" s="12">
        <f t="shared" si="57"/>
        <v>0.95920693449021233</v>
      </c>
      <c r="O262" s="12">
        <f t="shared" si="58"/>
        <v>0.54626010518175938</v>
      </c>
      <c r="P262" s="13">
        <f t="shared" si="59"/>
        <v>0.41294682930845295</v>
      </c>
      <c r="Q262" s="5">
        <v>0.26300000000000001</v>
      </c>
      <c r="U262" s="31">
        <f t="shared" si="45"/>
        <v>0.99482674999999987</v>
      </c>
    </row>
    <row r="263" spans="3:21" x14ac:dyDescent="0.2">
      <c r="C263" s="12">
        <f t="shared" si="46"/>
        <v>1972.1344896000001</v>
      </c>
      <c r="D263" s="13">
        <f t="shared" si="47"/>
        <v>41.753280000000039</v>
      </c>
      <c r="E263" s="12">
        <f t="shared" si="48"/>
        <v>-13.566979500000073</v>
      </c>
      <c r="F263" s="12">
        <f t="shared" si="49"/>
        <v>530.1758880000001</v>
      </c>
      <c r="G263" s="12">
        <f t="shared" si="50"/>
        <v>2353.1150159999997</v>
      </c>
      <c r="H263" s="12">
        <f t="shared" si="51"/>
        <v>8308.90272</v>
      </c>
      <c r="I263" s="12">
        <f t="shared" si="52"/>
        <v>41.335747200000078</v>
      </c>
      <c r="J263" s="22">
        <f t="shared" si="53"/>
        <v>757844.74567085993</v>
      </c>
      <c r="K263" s="22">
        <f t="shared" si="54"/>
        <v>726928.77286656003</v>
      </c>
      <c r="L263" s="22">
        <f t="shared" si="55"/>
        <v>30915.972804299905</v>
      </c>
      <c r="M263" s="22">
        <f t="shared" si="56"/>
        <v>875310.83321760001</v>
      </c>
      <c r="N263" s="12">
        <f t="shared" si="57"/>
        <v>0.95920540060361248</v>
      </c>
      <c r="O263" s="12">
        <f t="shared" si="58"/>
        <v>0.54630457884937778</v>
      </c>
      <c r="P263" s="13">
        <f t="shared" si="59"/>
        <v>0.4129008217542347</v>
      </c>
      <c r="Q263" s="3">
        <v>0.26400000000000001</v>
      </c>
      <c r="U263" s="31">
        <f t="shared" si="45"/>
        <v>0.99482674999999987</v>
      </c>
    </row>
    <row r="264" spans="3:21" x14ac:dyDescent="0.2">
      <c r="C264" s="12">
        <f t="shared" si="46"/>
        <v>1979.6046960000001</v>
      </c>
      <c r="D264" s="13">
        <f t="shared" si="47"/>
        <v>41.696550000000038</v>
      </c>
      <c r="E264" s="12">
        <f t="shared" si="48"/>
        <v>-13.623709500000068</v>
      </c>
      <c r="F264" s="12">
        <f t="shared" si="49"/>
        <v>532.1841300000001</v>
      </c>
      <c r="G264" s="12">
        <f t="shared" si="50"/>
        <v>2362.4527739999999</v>
      </c>
      <c r="H264" s="12">
        <f t="shared" si="51"/>
        <v>8297.6134500000007</v>
      </c>
      <c r="I264" s="12">
        <f t="shared" si="52"/>
        <v>41.279584500000084</v>
      </c>
      <c r="J264" s="22">
        <f t="shared" si="53"/>
        <v>760716.57700140006</v>
      </c>
      <c r="K264" s="22">
        <f t="shared" si="54"/>
        <v>729682.29094560014</v>
      </c>
      <c r="L264" s="22">
        <f t="shared" si="55"/>
        <v>31034.286055799923</v>
      </c>
      <c r="M264" s="22">
        <f t="shared" si="56"/>
        <v>878782.85444639996</v>
      </c>
      <c r="N264" s="12">
        <f t="shared" si="57"/>
        <v>0.95920387829836551</v>
      </c>
      <c r="O264" s="12">
        <f t="shared" si="58"/>
        <v>0.54634870824771964</v>
      </c>
      <c r="P264" s="13">
        <f t="shared" si="59"/>
        <v>0.41285517005064587</v>
      </c>
      <c r="Q264" s="5">
        <v>0.26500000000000001</v>
      </c>
      <c r="U264" s="31">
        <f t="shared" si="45"/>
        <v>0.99482674999999987</v>
      </c>
    </row>
    <row r="265" spans="3:21" x14ac:dyDescent="0.2">
      <c r="C265" s="12">
        <f t="shared" si="46"/>
        <v>1987.0749024000002</v>
      </c>
      <c r="D265" s="13">
        <f t="shared" si="47"/>
        <v>41.639820000000036</v>
      </c>
      <c r="E265" s="12">
        <f t="shared" si="48"/>
        <v>-13.68043950000007</v>
      </c>
      <c r="F265" s="12">
        <f t="shared" si="49"/>
        <v>534.1923720000002</v>
      </c>
      <c r="G265" s="12">
        <f t="shared" si="50"/>
        <v>2371.790532</v>
      </c>
      <c r="H265" s="12">
        <f t="shared" si="51"/>
        <v>8286.3241799999996</v>
      </c>
      <c r="I265" s="12">
        <f t="shared" si="52"/>
        <v>41.223421800000082</v>
      </c>
      <c r="J265" s="22">
        <f t="shared" si="53"/>
        <v>763588.40833194007</v>
      </c>
      <c r="K265" s="22">
        <f t="shared" si="54"/>
        <v>732435.80902464013</v>
      </c>
      <c r="L265" s="22">
        <f t="shared" si="55"/>
        <v>31152.599307299941</v>
      </c>
      <c r="M265" s="22">
        <f t="shared" si="56"/>
        <v>882254.87567520002</v>
      </c>
      <c r="N265" s="12">
        <f t="shared" si="57"/>
        <v>0.95920236744380016</v>
      </c>
      <c r="O265" s="12">
        <f t="shared" si="58"/>
        <v>0.54639249735883944</v>
      </c>
      <c r="P265" s="13">
        <f t="shared" si="59"/>
        <v>0.41280987008496073</v>
      </c>
      <c r="Q265" s="3">
        <v>0.26600000000000001</v>
      </c>
      <c r="U265" s="31">
        <f t="shared" si="45"/>
        <v>0.99482674999999987</v>
      </c>
    </row>
    <row r="266" spans="3:21" x14ac:dyDescent="0.2">
      <c r="C266" s="12">
        <f t="shared" si="46"/>
        <v>1994.5451088</v>
      </c>
      <c r="D266" s="13">
        <f t="shared" si="47"/>
        <v>41.583090000000041</v>
      </c>
      <c r="E266" s="12">
        <f t="shared" si="48"/>
        <v>-13.737169500000064</v>
      </c>
      <c r="F266" s="12">
        <f t="shared" si="49"/>
        <v>536.2006140000002</v>
      </c>
      <c r="G266" s="12">
        <f t="shared" si="50"/>
        <v>2381.1282899999997</v>
      </c>
      <c r="H266" s="12">
        <f t="shared" si="51"/>
        <v>8275.0349100000003</v>
      </c>
      <c r="I266" s="12">
        <f t="shared" si="52"/>
        <v>41.167259100000088</v>
      </c>
      <c r="J266" s="22">
        <f t="shared" si="53"/>
        <v>766460.23966247996</v>
      </c>
      <c r="K266" s="22">
        <f t="shared" si="54"/>
        <v>735189.32710368</v>
      </c>
      <c r="L266" s="22">
        <f t="shared" si="55"/>
        <v>31270.912558799959</v>
      </c>
      <c r="M266" s="22">
        <f t="shared" si="56"/>
        <v>885726.89690399996</v>
      </c>
      <c r="N266" s="12">
        <f t="shared" si="57"/>
        <v>0.95920086791120374</v>
      </c>
      <c r="O266" s="12">
        <f t="shared" si="58"/>
        <v>0.54643595010361456</v>
      </c>
      <c r="P266" s="13">
        <f t="shared" si="59"/>
        <v>0.41276491780758917</v>
      </c>
      <c r="Q266" s="5">
        <v>0.26700000000000002</v>
      </c>
      <c r="U266" s="31">
        <f t="shared" si="45"/>
        <v>0.99482674999999987</v>
      </c>
    </row>
    <row r="267" spans="3:21" x14ac:dyDescent="0.2">
      <c r="C267" s="12">
        <f t="shared" si="46"/>
        <v>2002.0153152</v>
      </c>
      <c r="D267" s="13">
        <f t="shared" si="47"/>
        <v>41.526360000000032</v>
      </c>
      <c r="E267" s="12">
        <f t="shared" si="48"/>
        <v>-13.793899500000073</v>
      </c>
      <c r="F267" s="12">
        <f t="shared" si="49"/>
        <v>538.2088560000002</v>
      </c>
      <c r="G267" s="12">
        <f t="shared" si="50"/>
        <v>2390.4660479999998</v>
      </c>
      <c r="H267" s="12">
        <f t="shared" si="51"/>
        <v>8263.7456399999992</v>
      </c>
      <c r="I267" s="12">
        <f t="shared" si="52"/>
        <v>41.111096400000079</v>
      </c>
      <c r="J267" s="22">
        <f t="shared" si="53"/>
        <v>769332.07099302008</v>
      </c>
      <c r="K267" s="22">
        <f t="shared" si="54"/>
        <v>737942.84518272011</v>
      </c>
      <c r="L267" s="22">
        <f t="shared" si="55"/>
        <v>31389.225810299977</v>
      </c>
      <c r="M267" s="22">
        <f t="shared" si="56"/>
        <v>889198.91813279991</v>
      </c>
      <c r="N267" s="12">
        <f t="shared" si="57"/>
        <v>0.9591993795737852</v>
      </c>
      <c r="O267" s="12">
        <f t="shared" si="58"/>
        <v>0.54647907034291687</v>
      </c>
      <c r="P267" s="13">
        <f t="shared" si="59"/>
        <v>0.41272030923086833</v>
      </c>
      <c r="Q267" s="3">
        <v>0.26800000000000002</v>
      </c>
      <c r="U267" s="31">
        <f t="shared" si="45"/>
        <v>0.99482674999999987</v>
      </c>
    </row>
    <row r="268" spans="3:21" x14ac:dyDescent="0.2">
      <c r="C268" s="12">
        <f t="shared" si="46"/>
        <v>2009.4855216000001</v>
      </c>
      <c r="D268" s="13">
        <f t="shared" si="47"/>
        <v>41.469630000000038</v>
      </c>
      <c r="E268" s="12">
        <f t="shared" si="48"/>
        <v>-13.850629500000068</v>
      </c>
      <c r="F268" s="12">
        <f t="shared" si="49"/>
        <v>540.21709800000019</v>
      </c>
      <c r="G268" s="12">
        <f t="shared" si="50"/>
        <v>2399.8038059999999</v>
      </c>
      <c r="H268" s="12">
        <f t="shared" si="51"/>
        <v>8252.4563699999999</v>
      </c>
      <c r="I268" s="12">
        <f t="shared" si="52"/>
        <v>41.054933700000085</v>
      </c>
      <c r="J268" s="22">
        <f t="shared" si="53"/>
        <v>772203.90232356009</v>
      </c>
      <c r="K268" s="22">
        <f t="shared" si="54"/>
        <v>740696.3632617601</v>
      </c>
      <c r="L268" s="22">
        <f t="shared" si="55"/>
        <v>31507.539061799995</v>
      </c>
      <c r="M268" s="22">
        <f t="shared" si="56"/>
        <v>892670.93936160009</v>
      </c>
      <c r="N268" s="12">
        <f t="shared" si="57"/>
        <v>0.95919790230663959</v>
      </c>
      <c r="O268" s="12">
        <f t="shared" si="58"/>
        <v>0.54652186187875584</v>
      </c>
      <c r="P268" s="13">
        <f t="shared" si="59"/>
        <v>0.41267604042788375</v>
      </c>
      <c r="Q268" s="5">
        <v>0.26900000000000002</v>
      </c>
      <c r="U268" s="31">
        <f t="shared" si="45"/>
        <v>0.99482674999999987</v>
      </c>
    </row>
    <row r="269" spans="3:21" x14ac:dyDescent="0.2">
      <c r="C269" s="12">
        <f t="shared" si="46"/>
        <v>2016.9557280000001</v>
      </c>
      <c r="D269" s="13">
        <f t="shared" si="47"/>
        <v>41.412900000000036</v>
      </c>
      <c r="E269" s="12">
        <f t="shared" si="48"/>
        <v>-13.907359500000069</v>
      </c>
      <c r="F269" s="12">
        <f t="shared" si="49"/>
        <v>542.22534000000019</v>
      </c>
      <c r="G269" s="12">
        <f t="shared" si="50"/>
        <v>2409.141564</v>
      </c>
      <c r="H269" s="12">
        <f t="shared" si="51"/>
        <v>8241.1670999999988</v>
      </c>
      <c r="I269" s="12">
        <f t="shared" si="52"/>
        <v>40.998771000000083</v>
      </c>
      <c r="J269" s="22">
        <f t="shared" si="53"/>
        <v>775075.7336541001</v>
      </c>
      <c r="K269" s="22">
        <f t="shared" si="54"/>
        <v>743449.88134080009</v>
      </c>
      <c r="L269" s="22">
        <f t="shared" si="55"/>
        <v>31625.852313300013</v>
      </c>
      <c r="M269" s="22">
        <f t="shared" si="56"/>
        <v>896142.96059040003</v>
      </c>
      <c r="N269" s="12">
        <f t="shared" si="57"/>
        <v>0.95919643598671356</v>
      </c>
      <c r="O269" s="12">
        <f t="shared" si="58"/>
        <v>0.5465643284553956</v>
      </c>
      <c r="P269" s="13">
        <f t="shared" si="59"/>
        <v>0.41263210753131796</v>
      </c>
      <c r="Q269" s="3">
        <v>0.27</v>
      </c>
      <c r="U269" s="31">
        <f t="shared" si="45"/>
        <v>0.99482674999999987</v>
      </c>
    </row>
    <row r="270" spans="3:21" x14ac:dyDescent="0.2">
      <c r="C270" s="12">
        <f t="shared" si="46"/>
        <v>2024.4259344</v>
      </c>
      <c r="D270" s="13">
        <f t="shared" si="47"/>
        <v>41.356170000000034</v>
      </c>
      <c r="E270" s="12">
        <f t="shared" si="48"/>
        <v>-13.964089500000064</v>
      </c>
      <c r="F270" s="12">
        <f t="shared" si="49"/>
        <v>544.23358200000018</v>
      </c>
      <c r="G270" s="12">
        <f t="shared" si="50"/>
        <v>2418.4793219999997</v>
      </c>
      <c r="H270" s="12">
        <f t="shared" si="51"/>
        <v>8229.8778299999994</v>
      </c>
      <c r="I270" s="12">
        <f t="shared" si="52"/>
        <v>40.942608300000089</v>
      </c>
      <c r="J270" s="22">
        <f t="shared" si="53"/>
        <v>777947.56498464011</v>
      </c>
      <c r="K270" s="22">
        <f t="shared" si="54"/>
        <v>746203.39941984008</v>
      </c>
      <c r="L270" s="22">
        <f t="shared" si="55"/>
        <v>31744.165564800031</v>
      </c>
      <c r="M270" s="22">
        <f t="shared" si="56"/>
        <v>899614.98181919998</v>
      </c>
      <c r="N270" s="12">
        <f t="shared" si="57"/>
        <v>0.95919498049277041</v>
      </c>
      <c r="O270" s="12">
        <f t="shared" si="58"/>
        <v>0.5466064737604478</v>
      </c>
      <c r="P270" s="13">
        <f t="shared" si="59"/>
        <v>0.41258850673232261</v>
      </c>
      <c r="Q270" s="5">
        <v>0.27100000000000002</v>
      </c>
      <c r="U270" s="31">
        <f t="shared" ref="U270:U333" si="60">(Prev*Total_SnSeq)+((1-Prev)*Total_SpSeq)</f>
        <v>0.99482674999999987</v>
      </c>
    </row>
    <row r="271" spans="3:21" x14ac:dyDescent="0.2">
      <c r="C271" s="12">
        <f t="shared" ref="C271:C334" si="61">cohort*Q271*SnTest1*((corr*(SQRT(SnTest1*(1-SnTest1)*SnTest2*(1-SnTest2)))+SnTest1*SnTest2)/SnTest1)</f>
        <v>2031.8961408</v>
      </c>
      <c r="D271" s="13">
        <f t="shared" ref="D271:D334" si="62">(1-Q271)*(1-SpTest1)*cohort</f>
        <v>41.299440000000033</v>
      </c>
      <c r="E271" s="12">
        <f t="shared" ref="E271:E334" si="63">(cohort*(1-Q271)*(1-SpTest1))-TNTest2</f>
        <v>-14.020819500000073</v>
      </c>
      <c r="F271" s="12">
        <f t="shared" ref="F271:F334" si="64">cohort*Q271*(1-SnTest1)</f>
        <v>546.24182400000018</v>
      </c>
      <c r="G271" s="12">
        <f t="shared" ref="G271:G334" si="65">(cohort*Q271*SnTest1)-TPSeq</f>
        <v>2427.8170799999998</v>
      </c>
      <c r="H271" s="12">
        <f t="shared" ref="H271:H334" si="66">(1-Q271)*SpTest1*cohort</f>
        <v>8218.5885600000001</v>
      </c>
      <c r="I271" s="12">
        <f t="shared" ref="I271:I334" si="67">cohort*(1-Q271)*(1-SpTest1)*(SpTest2-(corr*(SQRT(SpTest1*(1-SpTest1)*SpTest2*(1-SpTest2)))+SpTest2*SpTest1))/(1-SpTest1)</f>
        <v>40.88644560000008</v>
      </c>
      <c r="J271" s="22">
        <f t="shared" si="53"/>
        <v>780819.39631518</v>
      </c>
      <c r="K271" s="22">
        <f t="shared" si="54"/>
        <v>748956.91749888007</v>
      </c>
      <c r="L271" s="22">
        <f t="shared" si="55"/>
        <v>31862.478816299932</v>
      </c>
      <c r="M271" s="22">
        <f t="shared" si="56"/>
        <v>903087.00304800004</v>
      </c>
      <c r="N271" s="12">
        <f t="shared" si="57"/>
        <v>0.95919353570535726</v>
      </c>
      <c r="O271" s="12">
        <f t="shared" si="58"/>
        <v>0.54664830142593845</v>
      </c>
      <c r="P271" s="13">
        <f t="shared" si="59"/>
        <v>0.4125452342794188</v>
      </c>
      <c r="Q271" s="3">
        <v>0.27200000000000002</v>
      </c>
      <c r="U271" s="31">
        <f t="shared" si="60"/>
        <v>0.99482674999999987</v>
      </c>
    </row>
    <row r="272" spans="3:21" x14ac:dyDescent="0.2">
      <c r="C272" s="12">
        <f t="shared" si="61"/>
        <v>2039.3663472000001</v>
      </c>
      <c r="D272" s="13">
        <f t="shared" si="62"/>
        <v>41.242710000000038</v>
      </c>
      <c r="E272" s="12">
        <f t="shared" si="63"/>
        <v>-14.077549500000075</v>
      </c>
      <c r="F272" s="12">
        <f t="shared" si="64"/>
        <v>548.25006600000017</v>
      </c>
      <c r="G272" s="12">
        <f t="shared" si="65"/>
        <v>2437.1548379999999</v>
      </c>
      <c r="H272" s="12">
        <f t="shared" si="66"/>
        <v>8207.299289999999</v>
      </c>
      <c r="I272" s="12">
        <f t="shared" si="67"/>
        <v>40.830282900000078</v>
      </c>
      <c r="J272" s="22">
        <f t="shared" ref="J272:J335" si="68">(C272*$H$6)+(E272*$H$6)+(G272*$H$3)+(I272*$H$3)</f>
        <v>783691.22764572001</v>
      </c>
      <c r="K272" s="22">
        <f t="shared" ref="K272:K335" si="69">(C272*$H$6)</f>
        <v>751710.43557792006</v>
      </c>
      <c r="L272" s="22">
        <f t="shared" ref="L272:L335" si="70">J272-K272</f>
        <v>31980.79206779995</v>
      </c>
      <c r="M272" s="22">
        <f t="shared" ref="M272:M335" si="71">(F272*$H$3)+(G272*$H$6)</f>
        <v>906559.02427679999</v>
      </c>
      <c r="N272" s="12">
        <f t="shared" ref="N272:N335" si="72">K272/J272</f>
        <v>0.95919210150677181</v>
      </c>
      <c r="O272" s="12">
        <f t="shared" ref="O272:O335" si="73">M272/(M272+K272)</f>
        <v>0.54668981502935177</v>
      </c>
      <c r="P272" s="13">
        <f t="shared" ref="P272:P335" si="74">N272-O272</f>
        <v>0.41250228647742004</v>
      </c>
      <c r="Q272" s="5">
        <v>0.27300000000000002</v>
      </c>
      <c r="U272" s="31">
        <f t="shared" si="60"/>
        <v>0.99482674999999987</v>
      </c>
    </row>
    <row r="273" spans="3:21" x14ac:dyDescent="0.2">
      <c r="C273" s="12">
        <f t="shared" si="61"/>
        <v>2046.8365536000001</v>
      </c>
      <c r="D273" s="13">
        <f t="shared" si="62"/>
        <v>41.185980000000036</v>
      </c>
      <c r="E273" s="12">
        <f t="shared" si="63"/>
        <v>-14.134279500000069</v>
      </c>
      <c r="F273" s="12">
        <f t="shared" si="64"/>
        <v>550.25830800000017</v>
      </c>
      <c r="G273" s="12">
        <f t="shared" si="65"/>
        <v>2446.492596</v>
      </c>
      <c r="H273" s="12">
        <f t="shared" si="66"/>
        <v>8196.0100199999997</v>
      </c>
      <c r="I273" s="12">
        <f t="shared" si="67"/>
        <v>40.774120200000084</v>
      </c>
      <c r="J273" s="22">
        <f t="shared" si="68"/>
        <v>786563.05897626001</v>
      </c>
      <c r="K273" s="22">
        <f t="shared" si="69"/>
        <v>754463.95365696005</v>
      </c>
      <c r="L273" s="22">
        <f t="shared" si="70"/>
        <v>32099.105319299968</v>
      </c>
      <c r="M273" s="22">
        <f t="shared" si="71"/>
        <v>910031.04550560005</v>
      </c>
      <c r="N273" s="12">
        <f t="shared" si="72"/>
        <v>0.95919067778103118</v>
      </c>
      <c r="O273" s="12">
        <f t="shared" si="73"/>
        <v>0.54673101809464997</v>
      </c>
      <c r="P273" s="13">
        <f t="shared" si="74"/>
        <v>0.41245965968638121</v>
      </c>
      <c r="Q273" s="3">
        <v>0.27400000000000002</v>
      </c>
      <c r="U273" s="31">
        <f t="shared" si="60"/>
        <v>0.99482674999999987</v>
      </c>
    </row>
    <row r="274" spans="3:21" x14ac:dyDescent="0.2">
      <c r="C274" s="12">
        <f t="shared" si="61"/>
        <v>2054.3067599999999</v>
      </c>
      <c r="D274" s="13">
        <f t="shared" si="62"/>
        <v>41.129250000000035</v>
      </c>
      <c r="E274" s="12">
        <f t="shared" si="63"/>
        <v>-14.191009500000064</v>
      </c>
      <c r="F274" s="12">
        <f t="shared" si="64"/>
        <v>552.26655000000017</v>
      </c>
      <c r="G274" s="12">
        <f t="shared" si="65"/>
        <v>2455.8303539999997</v>
      </c>
      <c r="H274" s="12">
        <f t="shared" si="66"/>
        <v>8184.7207499999995</v>
      </c>
      <c r="I274" s="12">
        <f t="shared" si="67"/>
        <v>40.71795750000009</v>
      </c>
      <c r="J274" s="22">
        <f t="shared" si="68"/>
        <v>789434.89030680002</v>
      </c>
      <c r="K274" s="22">
        <f t="shared" si="69"/>
        <v>757217.47173600004</v>
      </c>
      <c r="L274" s="22">
        <f t="shared" si="70"/>
        <v>32217.418570799986</v>
      </c>
      <c r="M274" s="22">
        <f t="shared" si="71"/>
        <v>913503.06673439988</v>
      </c>
      <c r="N274" s="12">
        <f t="shared" si="72"/>
        <v>0.95918926441384011</v>
      </c>
      <c r="O274" s="12">
        <f t="shared" si="73"/>
        <v>0.54677191409327031</v>
      </c>
      <c r="P274" s="13">
        <f t="shared" si="74"/>
        <v>0.41241735032056981</v>
      </c>
      <c r="Q274" s="5">
        <v>0.27500000000000002</v>
      </c>
      <c r="U274" s="31">
        <f t="shared" si="60"/>
        <v>0.99482674999999987</v>
      </c>
    </row>
    <row r="275" spans="3:21" x14ac:dyDescent="0.2">
      <c r="C275" s="12">
        <f t="shared" si="61"/>
        <v>2061.7769664000002</v>
      </c>
      <c r="D275" s="13">
        <f t="shared" si="62"/>
        <v>41.072520000000033</v>
      </c>
      <c r="E275" s="12">
        <f t="shared" si="63"/>
        <v>-14.247739500000073</v>
      </c>
      <c r="F275" s="12">
        <f t="shared" si="64"/>
        <v>554.27479200000016</v>
      </c>
      <c r="G275" s="12">
        <f t="shared" si="65"/>
        <v>2465.1681119999998</v>
      </c>
      <c r="H275" s="12">
        <f t="shared" si="66"/>
        <v>8173.4314800000002</v>
      </c>
      <c r="I275" s="12">
        <f t="shared" si="67"/>
        <v>40.661794800000074</v>
      </c>
      <c r="J275" s="22">
        <f t="shared" si="68"/>
        <v>792306.72163734015</v>
      </c>
      <c r="K275" s="22">
        <f t="shared" si="69"/>
        <v>759970.98981504014</v>
      </c>
      <c r="L275" s="22">
        <f t="shared" si="70"/>
        <v>32335.731822300004</v>
      </c>
      <c r="M275" s="22">
        <f t="shared" si="71"/>
        <v>916975.08796319994</v>
      </c>
      <c r="N275" s="12">
        <f t="shared" si="72"/>
        <v>0.95918786129256017</v>
      </c>
      <c r="O275" s="12">
        <f t="shared" si="73"/>
        <v>0.54681250644510049</v>
      </c>
      <c r="P275" s="13">
        <f t="shared" si="74"/>
        <v>0.41237535484745969</v>
      </c>
      <c r="Q275" s="3">
        <v>0.27600000000000002</v>
      </c>
      <c r="U275" s="31">
        <f t="shared" si="60"/>
        <v>0.99482674999999987</v>
      </c>
    </row>
    <row r="276" spans="3:21" x14ac:dyDescent="0.2">
      <c r="C276" s="12">
        <f t="shared" si="61"/>
        <v>2069.2471728</v>
      </c>
      <c r="D276" s="13">
        <f t="shared" si="62"/>
        <v>41.015790000000038</v>
      </c>
      <c r="E276" s="12">
        <f t="shared" si="63"/>
        <v>-14.304469500000074</v>
      </c>
      <c r="F276" s="12">
        <f t="shared" si="64"/>
        <v>556.28303400000016</v>
      </c>
      <c r="G276" s="12">
        <f t="shared" si="65"/>
        <v>2474.50587</v>
      </c>
      <c r="H276" s="12">
        <f t="shared" si="66"/>
        <v>8162.1422099999991</v>
      </c>
      <c r="I276" s="12">
        <f t="shared" si="67"/>
        <v>40.605632100000072</v>
      </c>
      <c r="J276" s="22">
        <f t="shared" si="68"/>
        <v>795178.55296788004</v>
      </c>
      <c r="K276" s="22">
        <f t="shared" si="69"/>
        <v>762724.50789408002</v>
      </c>
      <c r="L276" s="22">
        <f t="shared" si="70"/>
        <v>32454.045073800022</v>
      </c>
      <c r="M276" s="22">
        <f t="shared" si="71"/>
        <v>920447.10919200012</v>
      </c>
      <c r="N276" s="12">
        <f t="shared" si="72"/>
        <v>0.9591864683061806</v>
      </c>
      <c r="O276" s="12">
        <f t="shared" si="73"/>
        <v>0.54685279851943169</v>
      </c>
      <c r="P276" s="13">
        <f t="shared" si="74"/>
        <v>0.4123336697867489</v>
      </c>
      <c r="Q276" s="5">
        <v>0.27700000000000002</v>
      </c>
      <c r="U276" s="31">
        <f t="shared" si="60"/>
        <v>0.99482674999999987</v>
      </c>
    </row>
    <row r="277" spans="3:21" x14ac:dyDescent="0.2">
      <c r="C277" s="12">
        <f t="shared" si="61"/>
        <v>2076.7173791999999</v>
      </c>
      <c r="D277" s="13">
        <f t="shared" si="62"/>
        <v>40.959060000000036</v>
      </c>
      <c r="E277" s="12">
        <f t="shared" si="63"/>
        <v>-14.361199500000069</v>
      </c>
      <c r="F277" s="12">
        <f t="shared" si="64"/>
        <v>558.29127600000015</v>
      </c>
      <c r="G277" s="12">
        <f t="shared" si="65"/>
        <v>2483.8436279999996</v>
      </c>
      <c r="H277" s="12">
        <f t="shared" si="66"/>
        <v>8150.8529399999998</v>
      </c>
      <c r="I277" s="12">
        <f t="shared" si="67"/>
        <v>40.549469400000078</v>
      </c>
      <c r="J277" s="22">
        <f t="shared" si="68"/>
        <v>798050.38429842005</v>
      </c>
      <c r="K277" s="22">
        <f t="shared" si="69"/>
        <v>765478.02597312001</v>
      </c>
      <c r="L277" s="22">
        <f t="shared" si="70"/>
        <v>32572.35832530004</v>
      </c>
      <c r="M277" s="22">
        <f t="shared" si="71"/>
        <v>923919.13042079983</v>
      </c>
      <c r="N277" s="12">
        <f t="shared" si="72"/>
        <v>0.95918508534528812</v>
      </c>
      <c r="O277" s="12">
        <f t="shared" si="73"/>
        <v>0.54689279363589027</v>
      </c>
      <c r="P277" s="13">
        <f t="shared" si="74"/>
        <v>0.41229229170939785</v>
      </c>
      <c r="Q277" s="3">
        <v>0.27800000000000002</v>
      </c>
      <c r="U277" s="31">
        <f t="shared" si="60"/>
        <v>0.99482674999999987</v>
      </c>
    </row>
    <row r="278" spans="3:21" x14ac:dyDescent="0.2">
      <c r="C278" s="12">
        <f t="shared" si="61"/>
        <v>2084.1875856000001</v>
      </c>
      <c r="D278" s="13">
        <f t="shared" si="62"/>
        <v>40.902330000000035</v>
      </c>
      <c r="E278" s="12">
        <f t="shared" si="63"/>
        <v>-14.417929500000071</v>
      </c>
      <c r="F278" s="12">
        <f t="shared" si="64"/>
        <v>560.29951800000015</v>
      </c>
      <c r="G278" s="12">
        <f t="shared" si="65"/>
        <v>2493.1813859999997</v>
      </c>
      <c r="H278" s="12">
        <f t="shared" si="66"/>
        <v>8139.5636700000005</v>
      </c>
      <c r="I278" s="12">
        <f t="shared" si="67"/>
        <v>40.493306700000076</v>
      </c>
      <c r="J278" s="22">
        <f t="shared" si="68"/>
        <v>800922.21562896017</v>
      </c>
      <c r="K278" s="22">
        <f t="shared" si="69"/>
        <v>768231.54405216011</v>
      </c>
      <c r="L278" s="22">
        <f t="shared" si="70"/>
        <v>32690.671576800058</v>
      </c>
      <c r="M278" s="22">
        <f t="shared" si="71"/>
        <v>927391.15164960001</v>
      </c>
      <c r="N278" s="12">
        <f t="shared" si="72"/>
        <v>0.95918371230203892</v>
      </c>
      <c r="O278" s="12">
        <f t="shared" si="73"/>
        <v>0.54693249506535091</v>
      </c>
      <c r="P278" s="13">
        <f t="shared" si="74"/>
        <v>0.41225121723668801</v>
      </c>
      <c r="Q278" s="5">
        <v>0.27900000000000003</v>
      </c>
      <c r="U278" s="31">
        <f t="shared" si="60"/>
        <v>0.99482674999999987</v>
      </c>
    </row>
    <row r="279" spans="3:21" x14ac:dyDescent="0.2">
      <c r="C279" s="12">
        <f t="shared" si="61"/>
        <v>2091.657792</v>
      </c>
      <c r="D279" s="13">
        <f t="shared" si="62"/>
        <v>40.845600000000033</v>
      </c>
      <c r="E279" s="12">
        <f t="shared" si="63"/>
        <v>-14.474659500000072</v>
      </c>
      <c r="F279" s="12">
        <f t="shared" si="64"/>
        <v>562.30776000000014</v>
      </c>
      <c r="G279" s="12">
        <f t="shared" si="65"/>
        <v>2502.5191439999999</v>
      </c>
      <c r="H279" s="12">
        <f t="shared" si="66"/>
        <v>8128.2743999999993</v>
      </c>
      <c r="I279" s="12">
        <f t="shared" si="67"/>
        <v>40.437144000000075</v>
      </c>
      <c r="J279" s="22">
        <f t="shared" si="68"/>
        <v>803794.04695949983</v>
      </c>
      <c r="K279" s="22">
        <f t="shared" si="69"/>
        <v>770985.06213119999</v>
      </c>
      <c r="L279" s="22">
        <f t="shared" si="70"/>
        <v>32808.984828299843</v>
      </c>
      <c r="M279" s="22">
        <f t="shared" si="71"/>
        <v>930863.17287840007</v>
      </c>
      <c r="N279" s="12">
        <f t="shared" si="72"/>
        <v>0.95918234907013067</v>
      </c>
      <c r="O279" s="12">
        <f t="shared" si="73"/>
        <v>0.54697190603082724</v>
      </c>
      <c r="P279" s="13">
        <f t="shared" si="74"/>
        <v>0.41221044303930343</v>
      </c>
      <c r="Q279" s="3">
        <v>0.28000000000000003</v>
      </c>
      <c r="U279" s="31">
        <f t="shared" si="60"/>
        <v>0.99482674999999987</v>
      </c>
    </row>
    <row r="280" spans="3:21" x14ac:dyDescent="0.2">
      <c r="C280" s="12">
        <f t="shared" si="61"/>
        <v>2099.1279984000003</v>
      </c>
      <c r="D280" s="13">
        <f t="shared" si="62"/>
        <v>40.788870000000038</v>
      </c>
      <c r="E280" s="12">
        <f t="shared" si="63"/>
        <v>-14.531389500000074</v>
      </c>
      <c r="F280" s="12">
        <f t="shared" si="64"/>
        <v>564.31600200000014</v>
      </c>
      <c r="G280" s="12">
        <f t="shared" si="65"/>
        <v>2511.856902</v>
      </c>
      <c r="H280" s="12">
        <f t="shared" si="66"/>
        <v>8116.9851299999991</v>
      </c>
      <c r="I280" s="12">
        <f t="shared" si="67"/>
        <v>40.38098130000008</v>
      </c>
      <c r="J280" s="22">
        <f t="shared" si="68"/>
        <v>806665.87829004007</v>
      </c>
      <c r="K280" s="22">
        <f t="shared" si="69"/>
        <v>773738.58021024009</v>
      </c>
      <c r="L280" s="22">
        <f t="shared" si="70"/>
        <v>32927.298079799977</v>
      </c>
      <c r="M280" s="22">
        <f t="shared" si="71"/>
        <v>934335.19410720002</v>
      </c>
      <c r="N280" s="12">
        <f t="shared" si="72"/>
        <v>0.95918099554477398</v>
      </c>
      <c r="O280" s="12">
        <f t="shared" si="73"/>
        <v>0.5470110297083437</v>
      </c>
      <c r="P280" s="13">
        <f t="shared" si="74"/>
        <v>0.41216996583643029</v>
      </c>
      <c r="Q280" s="5">
        <v>0.28100000000000003</v>
      </c>
      <c r="U280" s="31">
        <f t="shared" si="60"/>
        <v>0.99482674999999987</v>
      </c>
    </row>
    <row r="281" spans="3:21" x14ac:dyDescent="0.2">
      <c r="C281" s="12">
        <f t="shared" si="61"/>
        <v>2106.5982048000001</v>
      </c>
      <c r="D281" s="13">
        <f t="shared" si="62"/>
        <v>40.73214000000003</v>
      </c>
      <c r="E281" s="12">
        <f t="shared" si="63"/>
        <v>-14.588119500000069</v>
      </c>
      <c r="F281" s="12">
        <f t="shared" si="64"/>
        <v>566.32424400000014</v>
      </c>
      <c r="G281" s="12">
        <f t="shared" si="65"/>
        <v>2521.1946599999997</v>
      </c>
      <c r="H281" s="12">
        <f t="shared" si="66"/>
        <v>8105.6958599999998</v>
      </c>
      <c r="I281" s="12">
        <f t="shared" si="67"/>
        <v>40.324818600000079</v>
      </c>
      <c r="J281" s="22">
        <f t="shared" si="68"/>
        <v>809537.70962058008</v>
      </c>
      <c r="K281" s="22">
        <f t="shared" si="69"/>
        <v>776492.09828928008</v>
      </c>
      <c r="L281" s="22">
        <f t="shared" si="70"/>
        <v>33045.611331299995</v>
      </c>
      <c r="M281" s="22">
        <f t="shared" si="71"/>
        <v>937807.21533599996</v>
      </c>
      <c r="N281" s="12">
        <f t="shared" si="72"/>
        <v>0.95917965162266738</v>
      </c>
      <c r="O281" s="12">
        <f t="shared" si="73"/>
        <v>0.5470498692277902</v>
      </c>
      <c r="P281" s="13">
        <f t="shared" si="74"/>
        <v>0.41212978239487719</v>
      </c>
      <c r="Q281" s="3">
        <v>0.28199999999999997</v>
      </c>
      <c r="U281" s="31">
        <f t="shared" si="60"/>
        <v>0.99482674999999987</v>
      </c>
    </row>
    <row r="282" spans="3:21" x14ac:dyDescent="0.2">
      <c r="C282" s="12">
        <f t="shared" si="61"/>
        <v>2114.0684111999994</v>
      </c>
      <c r="D282" s="13">
        <f t="shared" si="62"/>
        <v>40.675410000000042</v>
      </c>
      <c r="E282" s="12">
        <f t="shared" si="63"/>
        <v>-14.644849500000063</v>
      </c>
      <c r="F282" s="12">
        <f t="shared" si="64"/>
        <v>568.33248600000013</v>
      </c>
      <c r="G282" s="12">
        <f t="shared" si="65"/>
        <v>2530.5324179999993</v>
      </c>
      <c r="H282" s="12">
        <f t="shared" si="66"/>
        <v>8094.4065900000014</v>
      </c>
      <c r="I282" s="12">
        <f t="shared" si="67"/>
        <v>40.268655900000084</v>
      </c>
      <c r="J282" s="22">
        <f t="shared" si="68"/>
        <v>812409.54095111974</v>
      </c>
      <c r="K282" s="22">
        <f t="shared" si="69"/>
        <v>779245.61636831984</v>
      </c>
      <c r="L282" s="22">
        <f t="shared" si="70"/>
        <v>33163.924582799897</v>
      </c>
      <c r="M282" s="22">
        <f t="shared" si="71"/>
        <v>941279.23656479979</v>
      </c>
      <c r="N282" s="12">
        <f t="shared" si="72"/>
        <v>0.95917831720196989</v>
      </c>
      <c r="O282" s="12">
        <f t="shared" si="73"/>
        <v>0.54708842767375554</v>
      </c>
      <c r="P282" s="13">
        <f t="shared" si="74"/>
        <v>0.41208988952821435</v>
      </c>
      <c r="Q282" s="5">
        <v>0.28299999999999997</v>
      </c>
      <c r="U282" s="31">
        <f t="shared" si="60"/>
        <v>0.99482674999999987</v>
      </c>
    </row>
    <row r="283" spans="3:21" x14ac:dyDescent="0.2">
      <c r="C283" s="12">
        <f t="shared" si="61"/>
        <v>2121.5386175999997</v>
      </c>
      <c r="D283" s="13">
        <f t="shared" si="62"/>
        <v>40.618680000000033</v>
      </c>
      <c r="E283" s="12">
        <f t="shared" si="63"/>
        <v>-14.701579500000072</v>
      </c>
      <c r="F283" s="12">
        <f t="shared" si="64"/>
        <v>570.34072800000013</v>
      </c>
      <c r="G283" s="12">
        <f t="shared" si="65"/>
        <v>2539.8701759999994</v>
      </c>
      <c r="H283" s="12">
        <f t="shared" si="66"/>
        <v>8083.1173199999994</v>
      </c>
      <c r="I283" s="12">
        <f t="shared" si="67"/>
        <v>40.212493200000083</v>
      </c>
      <c r="J283" s="22">
        <f t="shared" si="68"/>
        <v>815281.37228165998</v>
      </c>
      <c r="K283" s="22">
        <f t="shared" si="69"/>
        <v>781999.13444735995</v>
      </c>
      <c r="L283" s="22">
        <f t="shared" si="70"/>
        <v>33282.237834300031</v>
      </c>
      <c r="M283" s="22">
        <f t="shared" si="71"/>
        <v>944751.25779359986</v>
      </c>
      <c r="N283" s="12">
        <f t="shared" si="72"/>
        <v>0.9591769921822747</v>
      </c>
      <c r="O283" s="12">
        <f t="shared" si="73"/>
        <v>0.54712670808634423</v>
      </c>
      <c r="P283" s="13">
        <f t="shared" si="74"/>
        <v>0.41205028409593047</v>
      </c>
      <c r="Q283" s="3">
        <v>0.28399999999999997</v>
      </c>
      <c r="U283" s="31">
        <f t="shared" si="60"/>
        <v>0.99482674999999987</v>
      </c>
    </row>
    <row r="284" spans="3:21" x14ac:dyDescent="0.2">
      <c r="C284" s="12">
        <f t="shared" si="61"/>
        <v>2129.008824</v>
      </c>
      <c r="D284" s="13">
        <f t="shared" si="62"/>
        <v>40.561950000000039</v>
      </c>
      <c r="E284" s="12">
        <f t="shared" si="63"/>
        <v>-14.75830950000006</v>
      </c>
      <c r="F284" s="12">
        <f t="shared" si="64"/>
        <v>572.34897000000012</v>
      </c>
      <c r="G284" s="12">
        <f t="shared" si="65"/>
        <v>2549.2079339999996</v>
      </c>
      <c r="H284" s="12">
        <f t="shared" si="66"/>
        <v>8071.828050000001</v>
      </c>
      <c r="I284" s="12">
        <f t="shared" si="67"/>
        <v>40.156330500000088</v>
      </c>
      <c r="J284" s="22">
        <f t="shared" si="68"/>
        <v>818153.2036122001</v>
      </c>
      <c r="K284" s="22">
        <f t="shared" si="69"/>
        <v>784752.65252640005</v>
      </c>
      <c r="L284" s="22">
        <f t="shared" si="70"/>
        <v>33400.551085800049</v>
      </c>
      <c r="M284" s="22">
        <f t="shared" si="71"/>
        <v>948223.27902239992</v>
      </c>
      <c r="N284" s="12">
        <f t="shared" si="72"/>
        <v>0.95917567646458579</v>
      </c>
      <c r="O284" s="12">
        <f t="shared" si="73"/>
        <v>0.54716471346197593</v>
      </c>
      <c r="P284" s="13">
        <f t="shared" si="74"/>
        <v>0.41201096300260986</v>
      </c>
      <c r="Q284" s="5">
        <v>0.28499999999999998</v>
      </c>
      <c r="U284" s="31">
        <f t="shared" si="60"/>
        <v>0.99482674999999987</v>
      </c>
    </row>
    <row r="285" spans="3:21" x14ac:dyDescent="0.2">
      <c r="C285" s="12">
        <f t="shared" si="61"/>
        <v>2136.4790303999998</v>
      </c>
      <c r="D285" s="13">
        <f t="shared" si="62"/>
        <v>40.50522000000003</v>
      </c>
      <c r="E285" s="12">
        <f t="shared" si="63"/>
        <v>-14.815039500000069</v>
      </c>
      <c r="F285" s="12">
        <f t="shared" si="64"/>
        <v>574.35721200000012</v>
      </c>
      <c r="G285" s="12">
        <f t="shared" si="65"/>
        <v>2558.5456919999997</v>
      </c>
      <c r="H285" s="12">
        <f t="shared" si="66"/>
        <v>8060.5387799999999</v>
      </c>
      <c r="I285" s="12">
        <f t="shared" si="67"/>
        <v>40.100167800000087</v>
      </c>
      <c r="J285" s="22">
        <f t="shared" si="68"/>
        <v>821025.03494273999</v>
      </c>
      <c r="K285" s="22">
        <f t="shared" si="69"/>
        <v>787506.17060544004</v>
      </c>
      <c r="L285" s="22">
        <f t="shared" si="70"/>
        <v>33518.86433729995</v>
      </c>
      <c r="M285" s="22">
        <f t="shared" si="71"/>
        <v>951695.30025119998</v>
      </c>
      <c r="N285" s="12">
        <f t="shared" si="72"/>
        <v>0.95917436995129191</v>
      </c>
      <c r="O285" s="12">
        <f t="shared" si="73"/>
        <v>0.54720244675416729</v>
      </c>
      <c r="P285" s="13">
        <f t="shared" si="74"/>
        <v>0.41197192319712461</v>
      </c>
      <c r="Q285" s="3">
        <v>0.28599999999999998</v>
      </c>
      <c r="U285" s="31">
        <f t="shared" si="60"/>
        <v>0.99482674999999987</v>
      </c>
    </row>
    <row r="286" spans="3:21" x14ac:dyDescent="0.2">
      <c r="C286" s="12">
        <f t="shared" si="61"/>
        <v>2143.9492367999997</v>
      </c>
      <c r="D286" s="13">
        <f t="shared" si="62"/>
        <v>40.448490000000042</v>
      </c>
      <c r="E286" s="12">
        <f t="shared" si="63"/>
        <v>-14.871769500000063</v>
      </c>
      <c r="F286" s="12">
        <f t="shared" si="64"/>
        <v>576.36545400000011</v>
      </c>
      <c r="G286" s="12">
        <f t="shared" si="65"/>
        <v>2567.8834499999994</v>
      </c>
      <c r="H286" s="12">
        <f t="shared" si="66"/>
        <v>8049.2495100000006</v>
      </c>
      <c r="I286" s="12">
        <f t="shared" si="67"/>
        <v>40.044005100000085</v>
      </c>
      <c r="J286" s="22">
        <f t="shared" si="68"/>
        <v>823896.86627327988</v>
      </c>
      <c r="K286" s="22">
        <f t="shared" si="69"/>
        <v>790259.68868447992</v>
      </c>
      <c r="L286" s="22">
        <f t="shared" si="70"/>
        <v>33637.177588799968</v>
      </c>
      <c r="M286" s="22">
        <f t="shared" si="71"/>
        <v>955167.32147999981</v>
      </c>
      <c r="N286" s="12">
        <f t="shared" si="72"/>
        <v>0.95917307254614226</v>
      </c>
      <c r="O286" s="12">
        <f t="shared" si="73"/>
        <v>0.54723991087429658</v>
      </c>
      <c r="P286" s="13">
        <f t="shared" si="74"/>
        <v>0.41193316167184568</v>
      </c>
      <c r="Q286" s="5">
        <v>0.28699999999999998</v>
      </c>
      <c r="U286" s="31">
        <f t="shared" si="60"/>
        <v>0.99482674999999987</v>
      </c>
    </row>
    <row r="287" spans="3:21" x14ac:dyDescent="0.2">
      <c r="C287" s="12">
        <f t="shared" si="61"/>
        <v>2151.4194431999999</v>
      </c>
      <c r="D287" s="13">
        <f t="shared" si="62"/>
        <v>40.391760000000033</v>
      </c>
      <c r="E287" s="12">
        <f t="shared" si="63"/>
        <v>-14.928499500000072</v>
      </c>
      <c r="F287" s="12">
        <f t="shared" si="64"/>
        <v>578.37369600000011</v>
      </c>
      <c r="G287" s="12">
        <f t="shared" si="65"/>
        <v>2577.2212079999995</v>
      </c>
      <c r="H287" s="12">
        <f t="shared" si="66"/>
        <v>8037.9602399999994</v>
      </c>
      <c r="I287" s="12">
        <f t="shared" si="67"/>
        <v>39.987842400000076</v>
      </c>
      <c r="J287" s="22">
        <f t="shared" si="68"/>
        <v>826768.69760381989</v>
      </c>
      <c r="K287" s="22">
        <f t="shared" si="69"/>
        <v>793013.20676352002</v>
      </c>
      <c r="L287" s="22">
        <f t="shared" si="70"/>
        <v>33755.49084029987</v>
      </c>
      <c r="M287" s="22">
        <f t="shared" si="71"/>
        <v>958639.34270879987</v>
      </c>
      <c r="N287" s="12">
        <f t="shared" si="72"/>
        <v>0.95917178415422399</v>
      </c>
      <c r="O287" s="12">
        <f t="shared" si="73"/>
        <v>0.54727710869235291</v>
      </c>
      <c r="P287" s="13">
        <f t="shared" si="74"/>
        <v>0.41189467546187108</v>
      </c>
      <c r="Q287" s="3">
        <v>0.28799999999999998</v>
      </c>
      <c r="U287" s="31">
        <f t="shared" si="60"/>
        <v>0.99482674999999987</v>
      </c>
    </row>
    <row r="288" spans="3:21" x14ac:dyDescent="0.2">
      <c r="C288" s="12">
        <f t="shared" si="61"/>
        <v>2158.8896495999998</v>
      </c>
      <c r="D288" s="13">
        <f t="shared" si="62"/>
        <v>40.335030000000039</v>
      </c>
      <c r="E288" s="12">
        <f t="shared" si="63"/>
        <v>-14.985229500000067</v>
      </c>
      <c r="F288" s="12">
        <f t="shared" si="64"/>
        <v>580.3819380000001</v>
      </c>
      <c r="G288" s="12">
        <f t="shared" si="65"/>
        <v>2586.5589659999996</v>
      </c>
      <c r="H288" s="12">
        <f t="shared" si="66"/>
        <v>8026.670970000001</v>
      </c>
      <c r="I288" s="12">
        <f t="shared" si="67"/>
        <v>39.931679700000082</v>
      </c>
      <c r="J288" s="22">
        <f t="shared" si="68"/>
        <v>829640.5289343599</v>
      </c>
      <c r="K288" s="22">
        <f t="shared" si="69"/>
        <v>795766.72484256001</v>
      </c>
      <c r="L288" s="22">
        <f t="shared" si="70"/>
        <v>33873.804091799888</v>
      </c>
      <c r="M288" s="22">
        <f t="shared" si="71"/>
        <v>962111.36393759993</v>
      </c>
      <c r="N288" s="12">
        <f t="shared" si="72"/>
        <v>0.9591705046819381</v>
      </c>
      <c r="O288" s="12">
        <f t="shared" si="73"/>
        <v>0.54731404303766906</v>
      </c>
      <c r="P288" s="13">
        <f t="shared" si="74"/>
        <v>0.41185646164426903</v>
      </c>
      <c r="Q288" s="5">
        <v>0.28899999999999998</v>
      </c>
      <c r="U288" s="31">
        <f t="shared" si="60"/>
        <v>0.99482674999999987</v>
      </c>
    </row>
    <row r="289" spans="3:21" x14ac:dyDescent="0.2">
      <c r="C289" s="12">
        <f t="shared" si="61"/>
        <v>2166.359856</v>
      </c>
      <c r="D289" s="13">
        <f t="shared" si="62"/>
        <v>40.27830000000003</v>
      </c>
      <c r="E289" s="12">
        <f t="shared" si="63"/>
        <v>-15.041959500000068</v>
      </c>
      <c r="F289" s="12">
        <f t="shared" si="64"/>
        <v>582.3901800000001</v>
      </c>
      <c r="G289" s="12">
        <f t="shared" si="65"/>
        <v>2595.8967239999997</v>
      </c>
      <c r="H289" s="12">
        <f t="shared" si="66"/>
        <v>8015.381699999999</v>
      </c>
      <c r="I289" s="12">
        <f t="shared" si="67"/>
        <v>39.87551700000008</v>
      </c>
      <c r="J289" s="22">
        <f t="shared" si="68"/>
        <v>832512.36026490014</v>
      </c>
      <c r="K289" s="22">
        <f t="shared" si="69"/>
        <v>798520.24292160012</v>
      </c>
      <c r="L289" s="22">
        <f t="shared" si="70"/>
        <v>33992.117343300022</v>
      </c>
      <c r="M289" s="22">
        <f t="shared" si="71"/>
        <v>965583.3851664</v>
      </c>
      <c r="N289" s="12">
        <f t="shared" si="72"/>
        <v>0.95916923403697696</v>
      </c>
      <c r="O289" s="12">
        <f t="shared" si="73"/>
        <v>0.54735071669963886</v>
      </c>
      <c r="P289" s="13">
        <f t="shared" si="74"/>
        <v>0.4118185173373381</v>
      </c>
      <c r="Q289" s="3">
        <v>0.28999999999999998</v>
      </c>
      <c r="U289" s="31">
        <f t="shared" si="60"/>
        <v>0.99482674999999987</v>
      </c>
    </row>
    <row r="290" spans="3:21" x14ac:dyDescent="0.2">
      <c r="C290" s="12">
        <f t="shared" si="61"/>
        <v>2173.8300623999999</v>
      </c>
      <c r="D290" s="13">
        <f t="shared" si="62"/>
        <v>40.221570000000042</v>
      </c>
      <c r="E290" s="12">
        <f t="shared" si="63"/>
        <v>-15.098689500000063</v>
      </c>
      <c r="F290" s="12">
        <f t="shared" si="64"/>
        <v>584.3984220000001</v>
      </c>
      <c r="G290" s="12">
        <f t="shared" si="65"/>
        <v>2605.2344819999994</v>
      </c>
      <c r="H290" s="12">
        <f t="shared" si="66"/>
        <v>8004.0924300000006</v>
      </c>
      <c r="I290" s="12">
        <f t="shared" si="67"/>
        <v>39.819354300000086</v>
      </c>
      <c r="J290" s="22">
        <f t="shared" si="68"/>
        <v>835384.19159543992</v>
      </c>
      <c r="K290" s="22">
        <f t="shared" si="69"/>
        <v>801273.76100063999</v>
      </c>
      <c r="L290" s="22">
        <f t="shared" si="70"/>
        <v>34110.430594799924</v>
      </c>
      <c r="M290" s="22">
        <f t="shared" si="71"/>
        <v>969055.40639519983</v>
      </c>
      <c r="N290" s="12">
        <f t="shared" si="72"/>
        <v>0.95916797212830318</v>
      </c>
      <c r="O290" s="12">
        <f t="shared" si="73"/>
        <v>0.5473871324284193</v>
      </c>
      <c r="P290" s="13">
        <f t="shared" si="74"/>
        <v>0.41178083969988388</v>
      </c>
      <c r="Q290" s="5">
        <v>0.29099999999999998</v>
      </c>
      <c r="U290" s="31">
        <f t="shared" si="60"/>
        <v>0.99482674999999987</v>
      </c>
    </row>
    <row r="291" spans="3:21" x14ac:dyDescent="0.2">
      <c r="C291" s="12">
        <f t="shared" si="61"/>
        <v>2181.3002687999997</v>
      </c>
      <c r="D291" s="13">
        <f t="shared" si="62"/>
        <v>40.164840000000034</v>
      </c>
      <c r="E291" s="12">
        <f t="shared" si="63"/>
        <v>-15.155419500000072</v>
      </c>
      <c r="F291" s="12">
        <f t="shared" si="64"/>
        <v>586.40666400000009</v>
      </c>
      <c r="G291" s="12">
        <f t="shared" si="65"/>
        <v>2614.5722399999995</v>
      </c>
      <c r="H291" s="12">
        <f t="shared" si="66"/>
        <v>7992.8031599999995</v>
      </c>
      <c r="I291" s="12">
        <f t="shared" si="67"/>
        <v>39.763191600000077</v>
      </c>
      <c r="J291" s="22">
        <f t="shared" si="68"/>
        <v>838256.02292597992</v>
      </c>
      <c r="K291" s="22">
        <f t="shared" si="69"/>
        <v>804027.27907967998</v>
      </c>
      <c r="L291" s="22">
        <f t="shared" si="70"/>
        <v>34228.743846299942</v>
      </c>
      <c r="M291" s="22">
        <f t="shared" si="71"/>
        <v>972527.42762399989</v>
      </c>
      <c r="N291" s="12">
        <f t="shared" si="72"/>
        <v>0.9591667188661257</v>
      </c>
      <c r="O291" s="12">
        <f t="shared" si="73"/>
        <v>0.5474232929356182</v>
      </c>
      <c r="P291" s="13">
        <f t="shared" si="74"/>
        <v>0.4117434259305075</v>
      </c>
      <c r="Q291" s="3">
        <v>0.29199999999999998</v>
      </c>
      <c r="U291" s="31">
        <f t="shared" si="60"/>
        <v>0.99482674999999987</v>
      </c>
    </row>
    <row r="292" spans="3:21" x14ac:dyDescent="0.2">
      <c r="C292" s="12">
        <f t="shared" si="61"/>
        <v>2188.7704752</v>
      </c>
      <c r="D292" s="13">
        <f t="shared" si="62"/>
        <v>40.108110000000039</v>
      </c>
      <c r="E292" s="12">
        <f t="shared" si="63"/>
        <v>-15.212149500000066</v>
      </c>
      <c r="F292" s="12">
        <f t="shared" si="64"/>
        <v>588.41490600000009</v>
      </c>
      <c r="G292" s="12">
        <f t="shared" si="65"/>
        <v>2623.9099979999996</v>
      </c>
      <c r="H292" s="12">
        <f t="shared" si="66"/>
        <v>7981.5138900000011</v>
      </c>
      <c r="I292" s="12">
        <f t="shared" si="67"/>
        <v>39.707028900000083</v>
      </c>
      <c r="J292" s="22">
        <f t="shared" si="68"/>
        <v>841127.85425652016</v>
      </c>
      <c r="K292" s="22">
        <f t="shared" si="69"/>
        <v>806780.79715872009</v>
      </c>
      <c r="L292" s="22">
        <f t="shared" si="70"/>
        <v>34347.057097800076</v>
      </c>
      <c r="M292" s="22">
        <f t="shared" si="71"/>
        <v>975999.44885279983</v>
      </c>
      <c r="N292" s="12">
        <f t="shared" si="72"/>
        <v>0.95916547416188025</v>
      </c>
      <c r="O292" s="12">
        <f t="shared" si="73"/>
        <v>0.54745920089496725</v>
      </c>
      <c r="P292" s="13">
        <f t="shared" si="74"/>
        <v>0.411706273266913</v>
      </c>
      <c r="Q292" s="5">
        <v>0.29299999999999998</v>
      </c>
      <c r="U292" s="31">
        <f t="shared" si="60"/>
        <v>0.99482674999999987</v>
      </c>
    </row>
    <row r="293" spans="3:21" x14ac:dyDescent="0.2">
      <c r="C293" s="12">
        <f t="shared" si="61"/>
        <v>2196.2406815999998</v>
      </c>
      <c r="D293" s="13">
        <f t="shared" si="62"/>
        <v>40.05138000000003</v>
      </c>
      <c r="E293" s="12">
        <f t="shared" si="63"/>
        <v>-15.268879500000068</v>
      </c>
      <c r="F293" s="12">
        <f t="shared" si="64"/>
        <v>590.42314800000008</v>
      </c>
      <c r="G293" s="12">
        <f t="shared" si="65"/>
        <v>2633.2477559999993</v>
      </c>
      <c r="H293" s="12">
        <f t="shared" si="66"/>
        <v>7970.224619999999</v>
      </c>
      <c r="I293" s="12">
        <f t="shared" si="67"/>
        <v>39.650866200000081</v>
      </c>
      <c r="J293" s="22">
        <f t="shared" si="68"/>
        <v>843999.68558705994</v>
      </c>
      <c r="K293" s="22">
        <f t="shared" si="69"/>
        <v>809534.31523775996</v>
      </c>
      <c r="L293" s="22">
        <f t="shared" si="70"/>
        <v>34465.370349299978</v>
      </c>
      <c r="M293" s="22">
        <f t="shared" si="71"/>
        <v>979471.47008159978</v>
      </c>
      <c r="N293" s="12">
        <f t="shared" si="72"/>
        <v>0.9591642379282086</v>
      </c>
      <c r="O293" s="12">
        <f t="shared" si="73"/>
        <v>0.547494858942981</v>
      </c>
      <c r="P293" s="13">
        <f t="shared" si="74"/>
        <v>0.4116693789852276</v>
      </c>
      <c r="Q293" s="3">
        <v>0.29399999999999998</v>
      </c>
      <c r="U293" s="31">
        <f t="shared" si="60"/>
        <v>0.99482674999999987</v>
      </c>
    </row>
    <row r="294" spans="3:21" x14ac:dyDescent="0.2">
      <c r="C294" s="12">
        <f t="shared" si="61"/>
        <v>2203.7108879999996</v>
      </c>
      <c r="D294" s="13">
        <f t="shared" si="62"/>
        <v>39.994650000000036</v>
      </c>
      <c r="E294" s="12">
        <f t="shared" si="63"/>
        <v>-15.325609500000063</v>
      </c>
      <c r="F294" s="12">
        <f t="shared" si="64"/>
        <v>592.43139000000008</v>
      </c>
      <c r="G294" s="12">
        <f t="shared" si="65"/>
        <v>2642.5855139999994</v>
      </c>
      <c r="H294" s="12">
        <f t="shared" si="66"/>
        <v>7958.9353500000007</v>
      </c>
      <c r="I294" s="12">
        <f t="shared" si="67"/>
        <v>39.594703500000087</v>
      </c>
      <c r="J294" s="22">
        <f t="shared" si="68"/>
        <v>846871.51691759995</v>
      </c>
      <c r="K294" s="22">
        <f t="shared" si="69"/>
        <v>812287.83331679995</v>
      </c>
      <c r="L294" s="22">
        <f t="shared" si="70"/>
        <v>34583.683600799995</v>
      </c>
      <c r="M294" s="22">
        <f t="shared" si="71"/>
        <v>982943.49131039984</v>
      </c>
      <c r="N294" s="12">
        <f t="shared" si="72"/>
        <v>0.95916301007893623</v>
      </c>
      <c r="O294" s="12">
        <f t="shared" si="73"/>
        <v>0.54753026967960206</v>
      </c>
      <c r="P294" s="13">
        <f t="shared" si="74"/>
        <v>0.41163274039933417</v>
      </c>
      <c r="Q294" s="5">
        <v>0.29499999999999998</v>
      </c>
      <c r="U294" s="31">
        <f t="shared" si="60"/>
        <v>0.99482674999999987</v>
      </c>
    </row>
    <row r="295" spans="3:21" x14ac:dyDescent="0.2">
      <c r="C295" s="12">
        <f t="shared" si="61"/>
        <v>2211.1810943999999</v>
      </c>
      <c r="D295" s="13">
        <f t="shared" si="62"/>
        <v>39.937920000000034</v>
      </c>
      <c r="E295" s="12">
        <f t="shared" si="63"/>
        <v>-15.382339500000072</v>
      </c>
      <c r="F295" s="12">
        <f t="shared" si="64"/>
        <v>594.43963200000007</v>
      </c>
      <c r="G295" s="12">
        <f t="shared" si="65"/>
        <v>2651.9232719999995</v>
      </c>
      <c r="H295" s="12">
        <f t="shared" si="66"/>
        <v>7947.6460799999995</v>
      </c>
      <c r="I295" s="12">
        <f t="shared" si="67"/>
        <v>39.538540800000078</v>
      </c>
      <c r="J295" s="22">
        <f t="shared" si="68"/>
        <v>849743.34824813996</v>
      </c>
      <c r="K295" s="22">
        <f t="shared" si="69"/>
        <v>815041.35139584006</v>
      </c>
      <c r="L295" s="22">
        <f t="shared" si="70"/>
        <v>34701.996852299897</v>
      </c>
      <c r="M295" s="22">
        <f t="shared" si="71"/>
        <v>986415.5125391999</v>
      </c>
      <c r="N295" s="12">
        <f t="shared" si="72"/>
        <v>0.95916179052905481</v>
      </c>
      <c r="O295" s="12">
        <f t="shared" si="73"/>
        <v>0.54756543566883309</v>
      </c>
      <c r="P295" s="13">
        <f t="shared" si="74"/>
        <v>0.41159635486022172</v>
      </c>
      <c r="Q295" s="3">
        <v>0.29599999999999999</v>
      </c>
      <c r="U295" s="31">
        <f t="shared" si="60"/>
        <v>0.99482674999999987</v>
      </c>
    </row>
    <row r="296" spans="3:21" x14ac:dyDescent="0.2">
      <c r="C296" s="12">
        <f t="shared" si="61"/>
        <v>2218.6513007999997</v>
      </c>
      <c r="D296" s="13">
        <f t="shared" si="62"/>
        <v>39.881190000000039</v>
      </c>
      <c r="E296" s="12">
        <f t="shared" si="63"/>
        <v>-15.439069500000066</v>
      </c>
      <c r="F296" s="12">
        <f t="shared" si="64"/>
        <v>596.44787400000007</v>
      </c>
      <c r="G296" s="12">
        <f t="shared" si="65"/>
        <v>2661.2610299999997</v>
      </c>
      <c r="H296" s="12">
        <f t="shared" si="66"/>
        <v>7936.3568100000002</v>
      </c>
      <c r="I296" s="12">
        <f t="shared" si="67"/>
        <v>39.482378100000084</v>
      </c>
      <c r="J296" s="22">
        <f t="shared" si="68"/>
        <v>852615.17957867985</v>
      </c>
      <c r="K296" s="22">
        <f t="shared" si="69"/>
        <v>817794.86947487993</v>
      </c>
      <c r="L296" s="22">
        <f t="shared" si="70"/>
        <v>34820.310103799915</v>
      </c>
      <c r="M296" s="22">
        <f t="shared" si="71"/>
        <v>989887.53376799996</v>
      </c>
      <c r="N296" s="12">
        <f t="shared" si="72"/>
        <v>0.95916057919470021</v>
      </c>
      <c r="O296" s="12">
        <f t="shared" si="73"/>
        <v>0.54760035943935603</v>
      </c>
      <c r="P296" s="13">
        <f t="shared" si="74"/>
        <v>0.41156021975534418</v>
      </c>
      <c r="Q296" s="5">
        <v>0.29699999999999999</v>
      </c>
      <c r="U296" s="31">
        <f t="shared" si="60"/>
        <v>0.99482674999999987</v>
      </c>
    </row>
    <row r="297" spans="3:21" x14ac:dyDescent="0.2">
      <c r="C297" s="12">
        <f t="shared" si="61"/>
        <v>2226.1215071999995</v>
      </c>
      <c r="D297" s="13">
        <f t="shared" si="62"/>
        <v>39.82446000000003</v>
      </c>
      <c r="E297" s="12">
        <f t="shared" si="63"/>
        <v>-15.495799500000068</v>
      </c>
      <c r="F297" s="12">
        <f t="shared" si="64"/>
        <v>598.45611600000007</v>
      </c>
      <c r="G297" s="12">
        <f t="shared" si="65"/>
        <v>2670.5987879999993</v>
      </c>
      <c r="H297" s="12">
        <f t="shared" si="66"/>
        <v>7925.0675399999991</v>
      </c>
      <c r="I297" s="12">
        <f t="shared" si="67"/>
        <v>39.426215400000082</v>
      </c>
      <c r="J297" s="22">
        <f t="shared" si="68"/>
        <v>855487.01090921997</v>
      </c>
      <c r="K297" s="22">
        <f t="shared" si="69"/>
        <v>820548.38755391992</v>
      </c>
      <c r="L297" s="22">
        <f t="shared" si="70"/>
        <v>34938.623355300049</v>
      </c>
      <c r="M297" s="22">
        <f t="shared" si="71"/>
        <v>993359.55499679979</v>
      </c>
      <c r="N297" s="12">
        <f t="shared" si="72"/>
        <v>0.95915937599313528</v>
      </c>
      <c r="O297" s="12">
        <f t="shared" si="73"/>
        <v>0.54763504348513758</v>
      </c>
      <c r="P297" s="13">
        <f t="shared" si="74"/>
        <v>0.41152433250799769</v>
      </c>
      <c r="Q297" s="3">
        <v>0.29799999999999999</v>
      </c>
      <c r="U297" s="31">
        <f t="shared" si="60"/>
        <v>0.99482674999999987</v>
      </c>
    </row>
    <row r="298" spans="3:21" x14ac:dyDescent="0.2">
      <c r="C298" s="12">
        <f t="shared" si="61"/>
        <v>2233.5917135999998</v>
      </c>
      <c r="D298" s="13">
        <f t="shared" si="62"/>
        <v>39.767730000000036</v>
      </c>
      <c r="E298" s="12">
        <f t="shared" si="63"/>
        <v>-15.552529500000063</v>
      </c>
      <c r="F298" s="12">
        <f t="shared" si="64"/>
        <v>600.46435800000006</v>
      </c>
      <c r="G298" s="12">
        <f t="shared" si="65"/>
        <v>2679.9365459999995</v>
      </c>
      <c r="H298" s="12">
        <f t="shared" si="66"/>
        <v>7913.7782700000007</v>
      </c>
      <c r="I298" s="12">
        <f t="shared" si="67"/>
        <v>39.37005270000008</v>
      </c>
      <c r="J298" s="22">
        <f t="shared" si="68"/>
        <v>858358.84223975998</v>
      </c>
      <c r="K298" s="22">
        <f t="shared" si="69"/>
        <v>823301.90563296003</v>
      </c>
      <c r="L298" s="22">
        <f t="shared" si="70"/>
        <v>35056.936606799951</v>
      </c>
      <c r="M298" s="22">
        <f t="shared" si="71"/>
        <v>996831.57622559986</v>
      </c>
      <c r="N298" s="12">
        <f t="shared" si="72"/>
        <v>0.95915818084272997</v>
      </c>
      <c r="O298" s="12">
        <f t="shared" si="73"/>
        <v>0.54766949026602341</v>
      </c>
      <c r="P298" s="13">
        <f t="shared" si="74"/>
        <v>0.41148869057670656</v>
      </c>
      <c r="Q298" s="5">
        <v>0.29899999999999999</v>
      </c>
      <c r="U298" s="31">
        <f t="shared" si="60"/>
        <v>0.99482674999999987</v>
      </c>
    </row>
    <row r="299" spans="3:21" x14ac:dyDescent="0.2">
      <c r="C299" s="12">
        <f t="shared" si="61"/>
        <v>2241.0619199999996</v>
      </c>
      <c r="D299" s="13">
        <f t="shared" si="62"/>
        <v>39.711000000000027</v>
      </c>
      <c r="E299" s="12">
        <f t="shared" si="63"/>
        <v>-15.609259500000071</v>
      </c>
      <c r="F299" s="12">
        <f t="shared" si="64"/>
        <v>602.47260000000006</v>
      </c>
      <c r="G299" s="12">
        <f t="shared" si="65"/>
        <v>2689.2743039999996</v>
      </c>
      <c r="H299" s="12">
        <f t="shared" si="66"/>
        <v>7902.4890000000005</v>
      </c>
      <c r="I299" s="12">
        <f t="shared" si="67"/>
        <v>39.313890000000079</v>
      </c>
      <c r="J299" s="22">
        <f t="shared" si="68"/>
        <v>861230.67357029987</v>
      </c>
      <c r="K299" s="22">
        <f t="shared" si="69"/>
        <v>826055.4237119999</v>
      </c>
      <c r="L299" s="22">
        <f t="shared" si="70"/>
        <v>35175.249858299969</v>
      </c>
      <c r="M299" s="22">
        <f t="shared" si="71"/>
        <v>1000303.5974543999</v>
      </c>
      <c r="N299" s="12">
        <f t="shared" si="72"/>
        <v>0.9591569936629426</v>
      </c>
      <c r="O299" s="12">
        <f t="shared" si="73"/>
        <v>0.54770370220831965</v>
      </c>
      <c r="P299" s="13">
        <f t="shared" si="74"/>
        <v>0.41145329145462295</v>
      </c>
      <c r="Q299" s="3">
        <v>0.3</v>
      </c>
      <c r="U299" s="31">
        <f t="shared" si="60"/>
        <v>0.99482674999999987</v>
      </c>
    </row>
    <row r="300" spans="3:21" x14ac:dyDescent="0.2">
      <c r="C300" s="12">
        <f t="shared" si="61"/>
        <v>2248.5321263999999</v>
      </c>
      <c r="D300" s="13">
        <f t="shared" si="62"/>
        <v>39.654270000000039</v>
      </c>
      <c r="E300" s="12">
        <f t="shared" si="63"/>
        <v>-15.665989500000066</v>
      </c>
      <c r="F300" s="12">
        <f t="shared" si="64"/>
        <v>604.48084200000017</v>
      </c>
      <c r="G300" s="12">
        <f t="shared" si="65"/>
        <v>2698.6120619999997</v>
      </c>
      <c r="H300" s="12">
        <f t="shared" si="66"/>
        <v>7891.1997300000003</v>
      </c>
      <c r="I300" s="12">
        <f t="shared" si="67"/>
        <v>39.257727300000084</v>
      </c>
      <c r="J300" s="22">
        <f t="shared" si="68"/>
        <v>864102.50490084011</v>
      </c>
      <c r="K300" s="22">
        <f t="shared" si="69"/>
        <v>828808.94179104001</v>
      </c>
      <c r="L300" s="22">
        <f t="shared" si="70"/>
        <v>35293.563109800103</v>
      </c>
      <c r="M300" s="22">
        <f t="shared" si="71"/>
        <v>1003775.6186831999</v>
      </c>
      <c r="N300" s="12">
        <f t="shared" si="72"/>
        <v>0.95915581437430253</v>
      </c>
      <c r="O300" s="12">
        <f t="shared" si="73"/>
        <v>0.54773768170536197</v>
      </c>
      <c r="P300" s="13">
        <f t="shared" si="74"/>
        <v>0.41141813266894056</v>
      </c>
      <c r="Q300" s="5">
        <v>0.30099999999999999</v>
      </c>
      <c r="U300" s="31">
        <f t="shared" si="60"/>
        <v>0.99482674999999987</v>
      </c>
    </row>
    <row r="301" spans="3:21" x14ac:dyDescent="0.2">
      <c r="C301" s="12">
        <f t="shared" si="61"/>
        <v>2256.0023327999997</v>
      </c>
      <c r="D301" s="13">
        <f t="shared" si="62"/>
        <v>39.597540000000038</v>
      </c>
      <c r="E301" s="12">
        <f t="shared" si="63"/>
        <v>-15.722719500000068</v>
      </c>
      <c r="F301" s="12">
        <f t="shared" si="64"/>
        <v>606.48908400000016</v>
      </c>
      <c r="G301" s="12">
        <f t="shared" si="65"/>
        <v>2707.9498199999994</v>
      </c>
      <c r="H301" s="12">
        <f t="shared" si="66"/>
        <v>7879.9104599999991</v>
      </c>
      <c r="I301" s="12">
        <f t="shared" si="67"/>
        <v>39.201564600000083</v>
      </c>
      <c r="J301" s="22">
        <f t="shared" si="68"/>
        <v>866974.33623137989</v>
      </c>
      <c r="K301" s="22">
        <f t="shared" si="69"/>
        <v>831562.45987008</v>
      </c>
      <c r="L301" s="22">
        <f t="shared" si="70"/>
        <v>35411.876361299888</v>
      </c>
      <c r="M301" s="22">
        <f t="shared" si="71"/>
        <v>1007247.6399119998</v>
      </c>
      <c r="N301" s="12">
        <f t="shared" si="72"/>
        <v>0.95915464289839247</v>
      </c>
      <c r="O301" s="12">
        <f t="shared" si="73"/>
        <v>0.5477714311180748</v>
      </c>
      <c r="P301" s="13">
        <f t="shared" si="74"/>
        <v>0.41138321178031767</v>
      </c>
      <c r="Q301" s="3">
        <v>0.30199999999999999</v>
      </c>
      <c r="U301" s="31">
        <f t="shared" si="60"/>
        <v>0.99482674999999987</v>
      </c>
    </row>
    <row r="302" spans="3:21" x14ac:dyDescent="0.2">
      <c r="C302" s="12">
        <f t="shared" si="61"/>
        <v>2263.4725391999996</v>
      </c>
      <c r="D302" s="13">
        <f t="shared" si="62"/>
        <v>39.540810000000036</v>
      </c>
      <c r="E302" s="12">
        <f t="shared" si="63"/>
        <v>-15.779449500000062</v>
      </c>
      <c r="F302" s="12">
        <f t="shared" si="64"/>
        <v>608.49732600000016</v>
      </c>
      <c r="G302" s="12">
        <f t="shared" si="65"/>
        <v>2717.2875779999995</v>
      </c>
      <c r="H302" s="12">
        <f t="shared" si="66"/>
        <v>7868.6211900000008</v>
      </c>
      <c r="I302" s="12">
        <f t="shared" si="67"/>
        <v>39.145401900000088</v>
      </c>
      <c r="J302" s="22">
        <f t="shared" si="68"/>
        <v>869846.16756191978</v>
      </c>
      <c r="K302" s="22">
        <f t="shared" si="69"/>
        <v>834315.97794911987</v>
      </c>
      <c r="L302" s="22">
        <f t="shared" si="70"/>
        <v>35530.189612799906</v>
      </c>
      <c r="M302" s="22">
        <f t="shared" si="71"/>
        <v>1010719.6611407999</v>
      </c>
      <c r="N302" s="12">
        <f t="shared" si="72"/>
        <v>0.95915347915782967</v>
      </c>
      <c r="O302" s="12">
        <f t="shared" si="73"/>
        <v>0.54780495277551733</v>
      </c>
      <c r="P302" s="13">
        <f t="shared" si="74"/>
        <v>0.41134852638231234</v>
      </c>
      <c r="Q302" s="5">
        <v>0.30299999999999999</v>
      </c>
      <c r="U302" s="31">
        <f t="shared" si="60"/>
        <v>0.99482674999999987</v>
      </c>
    </row>
    <row r="303" spans="3:21" x14ac:dyDescent="0.2">
      <c r="C303" s="12">
        <f t="shared" si="61"/>
        <v>2270.9427455999999</v>
      </c>
      <c r="D303" s="13">
        <f t="shared" si="62"/>
        <v>39.484080000000034</v>
      </c>
      <c r="E303" s="12">
        <f t="shared" si="63"/>
        <v>-15.836179500000071</v>
      </c>
      <c r="F303" s="12">
        <f t="shared" si="64"/>
        <v>610.50556800000015</v>
      </c>
      <c r="G303" s="12">
        <f t="shared" si="65"/>
        <v>2726.6253359999996</v>
      </c>
      <c r="H303" s="12">
        <f t="shared" si="66"/>
        <v>7857.3319199999987</v>
      </c>
      <c r="I303" s="12">
        <f t="shared" si="67"/>
        <v>39.08923920000008</v>
      </c>
      <c r="J303" s="22">
        <f t="shared" si="68"/>
        <v>872717.9988924599</v>
      </c>
      <c r="K303" s="22">
        <f t="shared" si="69"/>
        <v>837069.49602815998</v>
      </c>
      <c r="L303" s="22">
        <f t="shared" si="70"/>
        <v>35648.502864299924</v>
      </c>
      <c r="M303" s="22">
        <f t="shared" si="71"/>
        <v>1014191.6823695999</v>
      </c>
      <c r="N303" s="12">
        <f t="shared" si="72"/>
        <v>0.95915232307625098</v>
      </c>
      <c r="O303" s="12">
        <f t="shared" si="73"/>
        <v>0.54783824897541922</v>
      </c>
      <c r="P303" s="13">
        <f t="shared" si="74"/>
        <v>0.41131407410083176</v>
      </c>
      <c r="Q303" s="3">
        <v>0.30399999999999999</v>
      </c>
      <c r="U303" s="31">
        <f t="shared" si="60"/>
        <v>0.99482674999999987</v>
      </c>
    </row>
    <row r="304" spans="3:21" x14ac:dyDescent="0.2">
      <c r="C304" s="12">
        <f t="shared" si="61"/>
        <v>2278.4129520000001</v>
      </c>
      <c r="D304" s="13">
        <f t="shared" si="62"/>
        <v>39.42735000000004</v>
      </c>
      <c r="E304" s="12">
        <f t="shared" si="63"/>
        <v>-15.892909500000066</v>
      </c>
      <c r="F304" s="12">
        <f t="shared" si="64"/>
        <v>612.51381000000015</v>
      </c>
      <c r="G304" s="12">
        <f t="shared" si="65"/>
        <v>2735.9630939999997</v>
      </c>
      <c r="H304" s="12">
        <f t="shared" si="66"/>
        <v>7846.0426500000003</v>
      </c>
      <c r="I304" s="12">
        <f t="shared" si="67"/>
        <v>39.033076500000085</v>
      </c>
      <c r="J304" s="22">
        <f t="shared" si="68"/>
        <v>875589.83022300003</v>
      </c>
      <c r="K304" s="22">
        <f t="shared" si="69"/>
        <v>839823.01410720008</v>
      </c>
      <c r="L304" s="22">
        <f t="shared" si="70"/>
        <v>35766.816115799942</v>
      </c>
      <c r="M304" s="22">
        <f t="shared" si="71"/>
        <v>1017663.7035984</v>
      </c>
      <c r="N304" s="12">
        <f t="shared" si="72"/>
        <v>0.95915117457829469</v>
      </c>
      <c r="O304" s="12">
        <f t="shared" si="73"/>
        <v>0.54787132198470634</v>
      </c>
      <c r="P304" s="13">
        <f t="shared" si="74"/>
        <v>0.41127985259358835</v>
      </c>
      <c r="Q304" s="5">
        <v>0.30499999999999999</v>
      </c>
      <c r="U304" s="31">
        <f t="shared" si="60"/>
        <v>0.99482674999999987</v>
      </c>
    </row>
    <row r="305" spans="3:21" x14ac:dyDescent="0.2">
      <c r="C305" s="12">
        <f t="shared" si="61"/>
        <v>2285.8831583999995</v>
      </c>
      <c r="D305" s="13">
        <f t="shared" si="62"/>
        <v>39.370620000000038</v>
      </c>
      <c r="E305" s="12">
        <f t="shared" si="63"/>
        <v>-15.949639500000075</v>
      </c>
      <c r="F305" s="12">
        <f t="shared" si="64"/>
        <v>614.52205200000014</v>
      </c>
      <c r="G305" s="12">
        <f t="shared" si="65"/>
        <v>2745.3008519999994</v>
      </c>
      <c r="H305" s="12">
        <f t="shared" si="66"/>
        <v>7834.7533800000001</v>
      </c>
      <c r="I305" s="12">
        <f t="shared" si="67"/>
        <v>38.976913800000069</v>
      </c>
      <c r="J305" s="22">
        <f t="shared" si="68"/>
        <v>878461.6615535398</v>
      </c>
      <c r="K305" s="22">
        <f t="shared" si="69"/>
        <v>842576.53218623984</v>
      </c>
      <c r="L305" s="22">
        <f t="shared" si="70"/>
        <v>35885.12936729996</v>
      </c>
      <c r="M305" s="22">
        <f t="shared" si="71"/>
        <v>1021135.7248271998</v>
      </c>
      <c r="N305" s="12">
        <f t="shared" si="72"/>
        <v>0.95915003358958439</v>
      </c>
      <c r="O305" s="12">
        <f t="shared" si="73"/>
        <v>0.54790417404001446</v>
      </c>
      <c r="P305" s="13">
        <f t="shared" si="74"/>
        <v>0.41124585954956994</v>
      </c>
      <c r="Q305" s="3">
        <v>0.30599999999999999</v>
      </c>
      <c r="U305" s="31">
        <f t="shared" si="60"/>
        <v>0.99482674999999987</v>
      </c>
    </row>
    <row r="306" spans="3:21" x14ac:dyDescent="0.2">
      <c r="C306" s="12">
        <f t="shared" si="61"/>
        <v>2293.3533647999998</v>
      </c>
      <c r="D306" s="13">
        <f t="shared" si="62"/>
        <v>39.313890000000036</v>
      </c>
      <c r="E306" s="12">
        <f t="shared" si="63"/>
        <v>-16.006369500000069</v>
      </c>
      <c r="F306" s="12">
        <f t="shared" si="64"/>
        <v>616.53029400000014</v>
      </c>
      <c r="G306" s="12">
        <f t="shared" si="65"/>
        <v>2754.6386099999995</v>
      </c>
      <c r="H306" s="12">
        <f t="shared" si="66"/>
        <v>7823.4641099999999</v>
      </c>
      <c r="I306" s="12">
        <f t="shared" si="67"/>
        <v>38.920751100000075</v>
      </c>
      <c r="J306" s="22">
        <f t="shared" si="68"/>
        <v>881333.49288407993</v>
      </c>
      <c r="K306" s="22">
        <f t="shared" si="69"/>
        <v>845330.05026527995</v>
      </c>
      <c r="L306" s="22">
        <f t="shared" si="70"/>
        <v>36003.442618799978</v>
      </c>
      <c r="M306" s="22">
        <f t="shared" si="71"/>
        <v>1024607.7460559999</v>
      </c>
      <c r="N306" s="12">
        <f t="shared" si="72"/>
        <v>0.95914890003671349</v>
      </c>
      <c r="O306" s="12">
        <f t="shared" si="73"/>
        <v>0.54793680734819417</v>
      </c>
      <c r="P306" s="13">
        <f t="shared" si="74"/>
        <v>0.41121209268851933</v>
      </c>
      <c r="Q306" s="5">
        <v>0.307</v>
      </c>
      <c r="U306" s="31">
        <f t="shared" si="60"/>
        <v>0.99482674999999987</v>
      </c>
    </row>
    <row r="307" spans="3:21" x14ac:dyDescent="0.2">
      <c r="C307" s="12">
        <f t="shared" si="61"/>
        <v>2300.8235712000001</v>
      </c>
      <c r="D307" s="13">
        <f t="shared" si="62"/>
        <v>39.257160000000034</v>
      </c>
      <c r="E307" s="12">
        <f t="shared" si="63"/>
        <v>-16.063099500000071</v>
      </c>
      <c r="F307" s="12">
        <f t="shared" si="64"/>
        <v>618.53853600000014</v>
      </c>
      <c r="G307" s="12">
        <f t="shared" si="65"/>
        <v>2763.9763679999996</v>
      </c>
      <c r="H307" s="12">
        <f t="shared" si="66"/>
        <v>7812.1748399999988</v>
      </c>
      <c r="I307" s="12">
        <f t="shared" si="67"/>
        <v>38.864588400000073</v>
      </c>
      <c r="J307" s="22">
        <f t="shared" si="68"/>
        <v>884205.32421462005</v>
      </c>
      <c r="K307" s="22">
        <f t="shared" si="69"/>
        <v>848083.56834432005</v>
      </c>
      <c r="L307" s="22">
        <f t="shared" si="70"/>
        <v>36121.755870299996</v>
      </c>
      <c r="M307" s="22">
        <f t="shared" si="71"/>
        <v>1028079.7672847999</v>
      </c>
      <c r="N307" s="12">
        <f t="shared" si="72"/>
        <v>0.95914777384722882</v>
      </c>
      <c r="O307" s="12">
        <f t="shared" si="73"/>
        <v>0.5479692240868046</v>
      </c>
      <c r="P307" s="13">
        <f t="shared" si="74"/>
        <v>0.41117854976042423</v>
      </c>
      <c r="Q307" s="3">
        <v>0.308</v>
      </c>
      <c r="U307" s="31">
        <f t="shared" si="60"/>
        <v>0.99482674999999987</v>
      </c>
    </row>
    <row r="308" spans="3:21" x14ac:dyDescent="0.2">
      <c r="C308" s="12">
        <f t="shared" si="61"/>
        <v>2308.2937775999999</v>
      </c>
      <c r="D308" s="13">
        <f t="shared" si="62"/>
        <v>39.20043000000004</v>
      </c>
      <c r="E308" s="12">
        <f t="shared" si="63"/>
        <v>-16.119829500000073</v>
      </c>
      <c r="F308" s="12">
        <f t="shared" si="64"/>
        <v>620.54677800000013</v>
      </c>
      <c r="G308" s="12">
        <f t="shared" si="65"/>
        <v>2773.3141259999998</v>
      </c>
      <c r="H308" s="12">
        <f t="shared" si="66"/>
        <v>7800.8855700000004</v>
      </c>
      <c r="I308" s="12">
        <f t="shared" si="67"/>
        <v>38.808425700000072</v>
      </c>
      <c r="J308" s="22">
        <f t="shared" si="68"/>
        <v>887077.15554516006</v>
      </c>
      <c r="K308" s="22">
        <f t="shared" si="69"/>
        <v>850837.08642336004</v>
      </c>
      <c r="L308" s="22">
        <f t="shared" si="70"/>
        <v>36240.069121800014</v>
      </c>
      <c r="M308" s="22">
        <f t="shared" si="71"/>
        <v>1031551.7885136</v>
      </c>
      <c r="N308" s="12">
        <f t="shared" si="72"/>
        <v>0.95914665494961548</v>
      </c>
      <c r="O308" s="12">
        <f t="shared" si="73"/>
        <v>0.5480014264045977</v>
      </c>
      <c r="P308" s="13">
        <f t="shared" si="74"/>
        <v>0.41114522854501778</v>
      </c>
      <c r="Q308" s="5">
        <v>0.309</v>
      </c>
      <c r="U308" s="31">
        <f t="shared" si="60"/>
        <v>0.99482674999999987</v>
      </c>
    </row>
    <row r="309" spans="3:21" x14ac:dyDescent="0.2">
      <c r="C309" s="12">
        <f t="shared" si="61"/>
        <v>2315.7639839999997</v>
      </c>
      <c r="D309" s="13">
        <f t="shared" si="62"/>
        <v>39.143700000000031</v>
      </c>
      <c r="E309" s="12">
        <f t="shared" si="63"/>
        <v>-16.176559500000074</v>
      </c>
      <c r="F309" s="12">
        <f t="shared" si="64"/>
        <v>622.55502000000013</v>
      </c>
      <c r="G309" s="12">
        <f t="shared" si="65"/>
        <v>2782.6518839999994</v>
      </c>
      <c r="H309" s="12">
        <f t="shared" si="66"/>
        <v>7789.5963000000002</v>
      </c>
      <c r="I309" s="12">
        <f t="shared" si="67"/>
        <v>38.752263000000077</v>
      </c>
      <c r="J309" s="22">
        <f t="shared" si="68"/>
        <v>889948.98687569983</v>
      </c>
      <c r="K309" s="22">
        <f t="shared" si="69"/>
        <v>853590.60450239992</v>
      </c>
      <c r="L309" s="22">
        <f t="shared" si="70"/>
        <v>36358.382373299915</v>
      </c>
      <c r="M309" s="22">
        <f t="shared" si="71"/>
        <v>1035023.8097423998</v>
      </c>
      <c r="N309" s="12">
        <f t="shared" si="72"/>
        <v>0.95914554327328183</v>
      </c>
      <c r="O309" s="12">
        <f t="shared" si="73"/>
        <v>0.54803341642199355</v>
      </c>
      <c r="P309" s="13">
        <f t="shared" si="74"/>
        <v>0.41111212685128828</v>
      </c>
      <c r="Q309" s="3">
        <v>0.31</v>
      </c>
      <c r="U309" s="31">
        <f t="shared" si="60"/>
        <v>0.99482674999999987</v>
      </c>
    </row>
    <row r="310" spans="3:21" x14ac:dyDescent="0.2">
      <c r="C310" s="12">
        <f t="shared" si="61"/>
        <v>2323.2341904</v>
      </c>
      <c r="D310" s="13">
        <f t="shared" si="62"/>
        <v>39.086970000000036</v>
      </c>
      <c r="E310" s="12">
        <f t="shared" si="63"/>
        <v>-16.233289500000069</v>
      </c>
      <c r="F310" s="12">
        <f t="shared" si="64"/>
        <v>624.56326200000012</v>
      </c>
      <c r="G310" s="12">
        <f t="shared" si="65"/>
        <v>2791.9896419999995</v>
      </c>
      <c r="H310" s="12">
        <f t="shared" si="66"/>
        <v>7778.3070299999999</v>
      </c>
      <c r="I310" s="12">
        <f t="shared" si="67"/>
        <v>38.696100300000076</v>
      </c>
      <c r="J310" s="22">
        <f t="shared" si="68"/>
        <v>892820.81820623996</v>
      </c>
      <c r="K310" s="22">
        <f t="shared" si="69"/>
        <v>856344.12258144002</v>
      </c>
      <c r="L310" s="22">
        <f t="shared" si="70"/>
        <v>36476.695624799933</v>
      </c>
      <c r="M310" s="22">
        <f t="shared" si="71"/>
        <v>1038495.8309711999</v>
      </c>
      <c r="N310" s="12">
        <f t="shared" si="72"/>
        <v>0.95914443874854416</v>
      </c>
      <c r="O310" s="12">
        <f t="shared" si="73"/>
        <v>0.54806519623154537</v>
      </c>
      <c r="P310" s="13">
        <f t="shared" si="74"/>
        <v>0.41107924251699879</v>
      </c>
      <c r="Q310" s="5">
        <v>0.311</v>
      </c>
      <c r="U310" s="31">
        <f t="shared" si="60"/>
        <v>0.99482674999999987</v>
      </c>
    </row>
    <row r="311" spans="3:21" x14ac:dyDescent="0.2">
      <c r="C311" s="12">
        <f t="shared" si="61"/>
        <v>2330.7043967999998</v>
      </c>
      <c r="D311" s="13">
        <f t="shared" si="62"/>
        <v>39.030240000000035</v>
      </c>
      <c r="E311" s="12">
        <f t="shared" si="63"/>
        <v>-16.290019500000071</v>
      </c>
      <c r="F311" s="12">
        <f t="shared" si="64"/>
        <v>626.57150400000012</v>
      </c>
      <c r="G311" s="12">
        <f t="shared" si="65"/>
        <v>2801.3273999999997</v>
      </c>
      <c r="H311" s="12">
        <f t="shared" si="66"/>
        <v>7767.0177599999997</v>
      </c>
      <c r="I311" s="12">
        <f t="shared" si="67"/>
        <v>38.639937600000081</v>
      </c>
      <c r="J311" s="22">
        <f t="shared" si="68"/>
        <v>895692.64953677985</v>
      </c>
      <c r="K311" s="22">
        <f t="shared" si="69"/>
        <v>859097.64066048001</v>
      </c>
      <c r="L311" s="22">
        <f t="shared" si="70"/>
        <v>36595.008876299835</v>
      </c>
      <c r="M311" s="22">
        <f t="shared" si="71"/>
        <v>1041967.8522</v>
      </c>
      <c r="N311" s="12">
        <f t="shared" si="72"/>
        <v>0.95914334130661283</v>
      </c>
      <c r="O311" s="12">
        <f t="shared" si="73"/>
        <v>0.54809676789839579</v>
      </c>
      <c r="P311" s="13">
        <f t="shared" si="74"/>
        <v>0.41104657340821704</v>
      </c>
      <c r="Q311" s="3">
        <v>0.312</v>
      </c>
      <c r="U311" s="31">
        <f t="shared" si="60"/>
        <v>0.99482674999999987</v>
      </c>
    </row>
    <row r="312" spans="3:21" x14ac:dyDescent="0.2">
      <c r="C312" s="12">
        <f t="shared" si="61"/>
        <v>2338.1746032000001</v>
      </c>
      <c r="D312" s="13">
        <f t="shared" si="62"/>
        <v>38.973510000000033</v>
      </c>
      <c r="E312" s="12">
        <f t="shared" si="63"/>
        <v>-16.346749500000072</v>
      </c>
      <c r="F312" s="12">
        <f t="shared" si="64"/>
        <v>628.57974600000023</v>
      </c>
      <c r="G312" s="12">
        <f t="shared" si="65"/>
        <v>2810.6651579999998</v>
      </c>
      <c r="H312" s="12">
        <f t="shared" si="66"/>
        <v>7755.7284900000013</v>
      </c>
      <c r="I312" s="12">
        <f t="shared" si="67"/>
        <v>38.58377490000008</v>
      </c>
      <c r="J312" s="22">
        <f t="shared" si="68"/>
        <v>898564.48086732009</v>
      </c>
      <c r="K312" s="22">
        <f t="shared" si="69"/>
        <v>861851.15873952012</v>
      </c>
      <c r="L312" s="22">
        <f t="shared" si="70"/>
        <v>36713.322127799969</v>
      </c>
      <c r="M312" s="22">
        <f t="shared" si="71"/>
        <v>1045439.8734288</v>
      </c>
      <c r="N312" s="12">
        <f t="shared" si="72"/>
        <v>0.95914225087957716</v>
      </c>
      <c r="O312" s="12">
        <f t="shared" si="73"/>
        <v>0.54812813346072453</v>
      </c>
      <c r="P312" s="13">
        <f t="shared" si="74"/>
        <v>0.41101411741885263</v>
      </c>
      <c r="Q312" s="5">
        <v>0.313</v>
      </c>
      <c r="U312" s="31">
        <f t="shared" si="60"/>
        <v>0.99482674999999987</v>
      </c>
    </row>
    <row r="313" spans="3:21" x14ac:dyDescent="0.2">
      <c r="C313" s="12">
        <f t="shared" si="61"/>
        <v>2345.6448095999999</v>
      </c>
      <c r="D313" s="13">
        <f t="shared" si="62"/>
        <v>38.916780000000031</v>
      </c>
      <c r="E313" s="12">
        <f t="shared" si="63"/>
        <v>-16.403479500000074</v>
      </c>
      <c r="F313" s="12">
        <f t="shared" si="64"/>
        <v>630.58798800000022</v>
      </c>
      <c r="G313" s="12">
        <f t="shared" si="65"/>
        <v>2820.0029159999999</v>
      </c>
      <c r="H313" s="12">
        <f t="shared" si="66"/>
        <v>7744.4392199999993</v>
      </c>
      <c r="I313" s="12">
        <f t="shared" si="67"/>
        <v>38.527612200000078</v>
      </c>
      <c r="J313" s="22">
        <f t="shared" si="68"/>
        <v>901436.31219785998</v>
      </c>
      <c r="K313" s="22">
        <f t="shared" si="69"/>
        <v>864604.67681855999</v>
      </c>
      <c r="L313" s="22">
        <f t="shared" si="70"/>
        <v>36831.635379299987</v>
      </c>
      <c r="M313" s="22">
        <f t="shared" si="71"/>
        <v>1048911.8946576</v>
      </c>
      <c r="N313" s="12">
        <f t="shared" si="72"/>
        <v>0.95914116740039235</v>
      </c>
      <c r="O313" s="12">
        <f t="shared" si="73"/>
        <v>0.54815929493018667</v>
      </c>
      <c r="P313" s="13">
        <f t="shared" si="74"/>
        <v>0.41098187247020568</v>
      </c>
      <c r="Q313" s="3">
        <v>0.314</v>
      </c>
      <c r="U313" s="31">
        <f t="shared" si="60"/>
        <v>0.99482674999999987</v>
      </c>
    </row>
    <row r="314" spans="3:21" x14ac:dyDescent="0.2">
      <c r="C314" s="12">
        <f t="shared" si="61"/>
        <v>2353.1150160000002</v>
      </c>
      <c r="D314" s="13">
        <f t="shared" si="62"/>
        <v>38.860050000000037</v>
      </c>
      <c r="E314" s="12">
        <f t="shared" si="63"/>
        <v>-16.460209500000069</v>
      </c>
      <c r="F314" s="12">
        <f t="shared" si="64"/>
        <v>632.59623000000022</v>
      </c>
      <c r="G314" s="12">
        <f t="shared" si="65"/>
        <v>2829.340674</v>
      </c>
      <c r="H314" s="12">
        <f t="shared" si="66"/>
        <v>7733.1499500000009</v>
      </c>
      <c r="I314" s="12">
        <f t="shared" si="67"/>
        <v>38.471449500000084</v>
      </c>
      <c r="J314" s="22">
        <f t="shared" si="68"/>
        <v>904308.14352839999</v>
      </c>
      <c r="K314" s="22">
        <f t="shared" si="69"/>
        <v>867358.1948976001</v>
      </c>
      <c r="L314" s="22">
        <f t="shared" si="70"/>
        <v>36949.948630799889</v>
      </c>
      <c r="M314" s="22">
        <f t="shared" si="71"/>
        <v>1052383.9158864</v>
      </c>
      <c r="N314" s="12">
        <f t="shared" si="72"/>
        <v>0.95914009080286533</v>
      </c>
      <c r="O314" s="12">
        <f t="shared" si="73"/>
        <v>0.5481902542923428</v>
      </c>
      <c r="P314" s="13">
        <f t="shared" si="74"/>
        <v>0.41094983651052253</v>
      </c>
      <c r="Q314" s="5">
        <v>0.315</v>
      </c>
      <c r="U314" s="31">
        <f t="shared" si="60"/>
        <v>0.99482674999999987</v>
      </c>
    </row>
    <row r="315" spans="3:21" x14ac:dyDescent="0.2">
      <c r="C315" s="12">
        <f t="shared" si="61"/>
        <v>2360.5852224000005</v>
      </c>
      <c r="D315" s="13">
        <f t="shared" si="62"/>
        <v>38.803320000000035</v>
      </c>
      <c r="E315" s="12">
        <f t="shared" si="63"/>
        <v>-16.51693950000007</v>
      </c>
      <c r="F315" s="12">
        <f t="shared" si="64"/>
        <v>634.60447200000021</v>
      </c>
      <c r="G315" s="12">
        <f t="shared" si="65"/>
        <v>2838.6784320000002</v>
      </c>
      <c r="H315" s="12">
        <f t="shared" si="66"/>
        <v>7721.8606799999998</v>
      </c>
      <c r="I315" s="12">
        <f t="shared" si="67"/>
        <v>38.415286800000075</v>
      </c>
      <c r="J315" s="22">
        <f t="shared" si="68"/>
        <v>907179.97485894023</v>
      </c>
      <c r="K315" s="22">
        <f t="shared" si="69"/>
        <v>870111.71297664021</v>
      </c>
      <c r="L315" s="22">
        <f t="shared" si="70"/>
        <v>37068.261882300023</v>
      </c>
      <c r="M315" s="22">
        <f t="shared" si="71"/>
        <v>1055855.9371152001</v>
      </c>
      <c r="N315" s="12">
        <f t="shared" si="72"/>
        <v>0.95913902102164028</v>
      </c>
      <c r="O315" s="12">
        <f t="shared" si="73"/>
        <v>0.54822101350708108</v>
      </c>
      <c r="P315" s="13">
        <f t="shared" si="74"/>
        <v>0.4109180075145592</v>
      </c>
      <c r="Q315" s="3">
        <v>0.316</v>
      </c>
      <c r="U315" s="31">
        <f t="shared" si="60"/>
        <v>0.99482674999999987</v>
      </c>
    </row>
    <row r="316" spans="3:21" x14ac:dyDescent="0.2">
      <c r="C316" s="12">
        <f t="shared" si="61"/>
        <v>2368.0554287999998</v>
      </c>
      <c r="D316" s="13">
        <f t="shared" si="62"/>
        <v>38.746590000000033</v>
      </c>
      <c r="E316" s="12">
        <f t="shared" si="63"/>
        <v>-16.573669500000072</v>
      </c>
      <c r="F316" s="12">
        <f t="shared" si="64"/>
        <v>636.61271400000021</v>
      </c>
      <c r="G316" s="12">
        <f t="shared" si="65"/>
        <v>2848.0161899999998</v>
      </c>
      <c r="H316" s="12">
        <f t="shared" si="66"/>
        <v>7710.5714099999996</v>
      </c>
      <c r="I316" s="12">
        <f t="shared" si="67"/>
        <v>38.359124100000074</v>
      </c>
      <c r="J316" s="22">
        <f t="shared" si="68"/>
        <v>910051.80618948</v>
      </c>
      <c r="K316" s="22">
        <f t="shared" si="69"/>
        <v>872865.23105567996</v>
      </c>
      <c r="L316" s="22">
        <f t="shared" si="70"/>
        <v>37186.575133800041</v>
      </c>
      <c r="M316" s="22">
        <f t="shared" si="71"/>
        <v>1059327.9583439999</v>
      </c>
      <c r="N316" s="12">
        <f t="shared" si="72"/>
        <v>0.9591379579921876</v>
      </c>
      <c r="O316" s="12">
        <f t="shared" si="73"/>
        <v>0.5482515745090305</v>
      </c>
      <c r="P316" s="13">
        <f t="shared" si="74"/>
        <v>0.41088638348315709</v>
      </c>
      <c r="Q316" s="5">
        <v>0.317</v>
      </c>
      <c r="U316" s="31">
        <f t="shared" si="60"/>
        <v>0.99482674999999987</v>
      </c>
    </row>
    <row r="317" spans="3:21" x14ac:dyDescent="0.2">
      <c r="C317" s="12">
        <f t="shared" si="61"/>
        <v>2375.5256352000001</v>
      </c>
      <c r="D317" s="13">
        <f t="shared" si="62"/>
        <v>38.689860000000031</v>
      </c>
      <c r="E317" s="12">
        <f t="shared" si="63"/>
        <v>-16.630399500000074</v>
      </c>
      <c r="F317" s="12">
        <f t="shared" si="64"/>
        <v>638.62095600000021</v>
      </c>
      <c r="G317" s="12">
        <f t="shared" si="65"/>
        <v>2857.3539479999999</v>
      </c>
      <c r="H317" s="12">
        <f t="shared" si="66"/>
        <v>7699.2821399999993</v>
      </c>
      <c r="I317" s="12">
        <f t="shared" si="67"/>
        <v>38.302961400000072</v>
      </c>
      <c r="J317" s="22">
        <f t="shared" si="68"/>
        <v>912923.63752002001</v>
      </c>
      <c r="K317" s="22">
        <f t="shared" si="69"/>
        <v>875618.74913472007</v>
      </c>
      <c r="L317" s="22">
        <f t="shared" si="70"/>
        <v>37304.888385299942</v>
      </c>
      <c r="M317" s="22">
        <f t="shared" si="71"/>
        <v>1062799.9795728</v>
      </c>
      <c r="N317" s="12">
        <f t="shared" si="72"/>
        <v>0.95913690165078913</v>
      </c>
      <c r="O317" s="12">
        <f t="shared" si="73"/>
        <v>0.54828193920796642</v>
      </c>
      <c r="P317" s="13">
        <f t="shared" si="74"/>
        <v>0.41085496244282271</v>
      </c>
      <c r="Q317" s="3">
        <v>0.318</v>
      </c>
      <c r="U317" s="31">
        <f t="shared" si="60"/>
        <v>0.99482674999999987</v>
      </c>
    </row>
    <row r="318" spans="3:21" x14ac:dyDescent="0.2">
      <c r="C318" s="12">
        <f t="shared" si="61"/>
        <v>2382.9958416000004</v>
      </c>
      <c r="D318" s="13">
        <f t="shared" si="62"/>
        <v>38.633130000000037</v>
      </c>
      <c r="E318" s="12">
        <f t="shared" si="63"/>
        <v>-16.687129500000069</v>
      </c>
      <c r="F318" s="12">
        <f t="shared" si="64"/>
        <v>640.6291980000002</v>
      </c>
      <c r="G318" s="12">
        <f t="shared" si="65"/>
        <v>2866.6917060000001</v>
      </c>
      <c r="H318" s="12">
        <f t="shared" si="66"/>
        <v>7687.9928700000009</v>
      </c>
      <c r="I318" s="12">
        <f t="shared" si="67"/>
        <v>38.246798700000078</v>
      </c>
      <c r="J318" s="22">
        <f t="shared" si="68"/>
        <v>915795.46885056014</v>
      </c>
      <c r="K318" s="22">
        <f t="shared" si="69"/>
        <v>878372.26721376018</v>
      </c>
      <c r="L318" s="22">
        <f t="shared" si="70"/>
        <v>37423.20163679996</v>
      </c>
      <c r="M318" s="22">
        <f t="shared" si="71"/>
        <v>1066272.0008016003</v>
      </c>
      <c r="N318" s="12">
        <f t="shared" si="72"/>
        <v>0.95913585193452544</v>
      </c>
      <c r="O318" s="12">
        <f t="shared" si="73"/>
        <v>0.54831210948920861</v>
      </c>
      <c r="P318" s="13">
        <f t="shared" si="74"/>
        <v>0.41082374244531683</v>
      </c>
      <c r="Q318" s="5">
        <v>0.31900000000000001</v>
      </c>
      <c r="U318" s="31">
        <f t="shared" si="60"/>
        <v>0.99482674999999987</v>
      </c>
    </row>
    <row r="319" spans="3:21" x14ac:dyDescent="0.2">
      <c r="C319" s="12">
        <f t="shared" si="61"/>
        <v>2390.4660479999998</v>
      </c>
      <c r="D319" s="13">
        <f t="shared" si="62"/>
        <v>38.576400000000035</v>
      </c>
      <c r="E319" s="12">
        <f t="shared" si="63"/>
        <v>-16.74385950000007</v>
      </c>
      <c r="F319" s="12">
        <f t="shared" si="64"/>
        <v>642.6374400000002</v>
      </c>
      <c r="G319" s="12">
        <f t="shared" si="65"/>
        <v>2876.0294639999997</v>
      </c>
      <c r="H319" s="12">
        <f t="shared" si="66"/>
        <v>7676.7035999999998</v>
      </c>
      <c r="I319" s="12">
        <f t="shared" si="67"/>
        <v>38.190636000000076</v>
      </c>
      <c r="J319" s="22">
        <f t="shared" si="68"/>
        <v>918667.3001810998</v>
      </c>
      <c r="K319" s="22">
        <f t="shared" si="69"/>
        <v>881125.78529279993</v>
      </c>
      <c r="L319" s="22">
        <f t="shared" si="70"/>
        <v>37541.514888299862</v>
      </c>
      <c r="M319" s="22">
        <f t="shared" si="71"/>
        <v>1069744.0220303999</v>
      </c>
      <c r="N319" s="12">
        <f t="shared" si="72"/>
        <v>0.95913480878126478</v>
      </c>
      <c r="O319" s="12">
        <f t="shared" si="73"/>
        <v>0.54834208721401156</v>
      </c>
      <c r="P319" s="13">
        <f t="shared" si="74"/>
        <v>0.41079272156725322</v>
      </c>
      <c r="Q319" s="3">
        <v>0.32</v>
      </c>
      <c r="U319" s="31">
        <f t="shared" si="60"/>
        <v>0.99482674999999987</v>
      </c>
    </row>
    <row r="320" spans="3:21" x14ac:dyDescent="0.2">
      <c r="C320" s="12">
        <f t="shared" si="61"/>
        <v>2397.9362544000001</v>
      </c>
      <c r="D320" s="13">
        <f t="shared" si="62"/>
        <v>38.519670000000033</v>
      </c>
      <c r="E320" s="12">
        <f t="shared" si="63"/>
        <v>-16.800589500000072</v>
      </c>
      <c r="F320" s="12">
        <f t="shared" si="64"/>
        <v>644.64568200000019</v>
      </c>
      <c r="G320" s="12">
        <f t="shared" si="65"/>
        <v>2885.3672219999999</v>
      </c>
      <c r="H320" s="12">
        <f t="shared" si="66"/>
        <v>7665.4143300000005</v>
      </c>
      <c r="I320" s="12">
        <f t="shared" si="67"/>
        <v>38.134473300000074</v>
      </c>
      <c r="J320" s="22">
        <f t="shared" si="68"/>
        <v>921539.13151164004</v>
      </c>
      <c r="K320" s="22">
        <f t="shared" si="69"/>
        <v>883879.30337184004</v>
      </c>
      <c r="L320" s="22">
        <f t="shared" si="70"/>
        <v>37659.828139799996</v>
      </c>
      <c r="M320" s="22">
        <f t="shared" si="71"/>
        <v>1073216.0432591999</v>
      </c>
      <c r="N320" s="12">
        <f t="shared" si="72"/>
        <v>0.95913377212964901</v>
      </c>
      <c r="O320" s="12">
        <f t="shared" si="73"/>
        <v>0.54837187421994693</v>
      </c>
      <c r="P320" s="13">
        <f t="shared" si="74"/>
        <v>0.41076189790970208</v>
      </c>
      <c r="Q320" s="5">
        <v>0.32100000000000001</v>
      </c>
      <c r="U320" s="31">
        <f t="shared" si="60"/>
        <v>0.99482674999999987</v>
      </c>
    </row>
    <row r="321" spans="3:21" x14ac:dyDescent="0.2">
      <c r="C321" s="12">
        <f t="shared" si="61"/>
        <v>2405.4064608000003</v>
      </c>
      <c r="D321" s="13">
        <f t="shared" si="62"/>
        <v>38.462940000000032</v>
      </c>
      <c r="E321" s="12">
        <f t="shared" si="63"/>
        <v>-16.857319500000074</v>
      </c>
      <c r="F321" s="12">
        <f t="shared" si="64"/>
        <v>646.65392400000019</v>
      </c>
      <c r="G321" s="12">
        <f t="shared" si="65"/>
        <v>2894.70498</v>
      </c>
      <c r="H321" s="12">
        <f t="shared" si="66"/>
        <v>7654.1250599999994</v>
      </c>
      <c r="I321" s="12">
        <f t="shared" si="67"/>
        <v>38.078310600000073</v>
      </c>
      <c r="J321" s="22">
        <f t="shared" si="68"/>
        <v>924410.96284218016</v>
      </c>
      <c r="K321" s="22">
        <f t="shared" si="69"/>
        <v>886632.82145088015</v>
      </c>
      <c r="L321" s="22">
        <f t="shared" si="70"/>
        <v>37778.141391300014</v>
      </c>
      <c r="M321" s="22">
        <f t="shared" si="71"/>
        <v>1076688.064488</v>
      </c>
      <c r="N321" s="12">
        <f t="shared" si="72"/>
        <v>0.95913274191908338</v>
      </c>
      <c r="O321" s="12">
        <f t="shared" si="73"/>
        <v>0.54840147232127912</v>
      </c>
      <c r="P321" s="13">
        <f t="shared" si="74"/>
        <v>0.41073126959780426</v>
      </c>
      <c r="Q321" s="3">
        <v>0.32200000000000001</v>
      </c>
      <c r="U321" s="31">
        <f t="shared" si="60"/>
        <v>0.99482674999999987</v>
      </c>
    </row>
    <row r="322" spans="3:21" x14ac:dyDescent="0.2">
      <c r="C322" s="12">
        <f t="shared" si="61"/>
        <v>2412.8766672000002</v>
      </c>
      <c r="D322" s="13">
        <f t="shared" si="62"/>
        <v>38.406210000000037</v>
      </c>
      <c r="E322" s="12">
        <f t="shared" si="63"/>
        <v>-16.914049500000068</v>
      </c>
      <c r="F322" s="12">
        <f t="shared" si="64"/>
        <v>648.66216600000018</v>
      </c>
      <c r="G322" s="12">
        <f t="shared" si="65"/>
        <v>2904.0427380000001</v>
      </c>
      <c r="H322" s="12">
        <f t="shared" si="66"/>
        <v>7642.835790000001</v>
      </c>
      <c r="I322" s="12">
        <f t="shared" si="67"/>
        <v>38.022147900000078</v>
      </c>
      <c r="J322" s="22">
        <f t="shared" si="68"/>
        <v>927282.79417272005</v>
      </c>
      <c r="K322" s="22">
        <f t="shared" si="69"/>
        <v>889386.33952992014</v>
      </c>
      <c r="L322" s="22">
        <f t="shared" si="70"/>
        <v>37896.454642799916</v>
      </c>
      <c r="M322" s="22">
        <f t="shared" si="71"/>
        <v>1080160.0857168001</v>
      </c>
      <c r="N322" s="12">
        <f t="shared" si="72"/>
        <v>0.9591317180897232</v>
      </c>
      <c r="O322" s="12">
        <f t="shared" si="73"/>
        <v>0.54843088330933409</v>
      </c>
      <c r="P322" s="13">
        <f t="shared" si="74"/>
        <v>0.4107008347803891</v>
      </c>
      <c r="Q322" s="5">
        <v>0.32300000000000001</v>
      </c>
      <c r="U322" s="31">
        <f t="shared" si="60"/>
        <v>0.99482674999999987</v>
      </c>
    </row>
    <row r="323" spans="3:21" x14ac:dyDescent="0.2">
      <c r="C323" s="12">
        <f t="shared" si="61"/>
        <v>2420.3468736</v>
      </c>
      <c r="D323" s="13">
        <f t="shared" si="62"/>
        <v>38.349480000000028</v>
      </c>
      <c r="E323" s="12">
        <f t="shared" si="63"/>
        <v>-16.970779500000077</v>
      </c>
      <c r="F323" s="12">
        <f t="shared" si="64"/>
        <v>650.67040800000018</v>
      </c>
      <c r="G323" s="12">
        <f t="shared" si="65"/>
        <v>2913.3804959999998</v>
      </c>
      <c r="H323" s="12">
        <f t="shared" si="66"/>
        <v>7631.546519999999</v>
      </c>
      <c r="I323" s="12">
        <f t="shared" si="67"/>
        <v>37.96598520000007</v>
      </c>
      <c r="J323" s="22">
        <f t="shared" si="68"/>
        <v>930154.62550326006</v>
      </c>
      <c r="K323" s="22">
        <f t="shared" si="69"/>
        <v>892139.85760896001</v>
      </c>
      <c r="L323" s="22">
        <f t="shared" si="70"/>
        <v>38014.76789430005</v>
      </c>
      <c r="M323" s="22">
        <f t="shared" si="71"/>
        <v>1083632.1069456001</v>
      </c>
      <c r="N323" s="12">
        <f t="shared" si="72"/>
        <v>0.95913070058246264</v>
      </c>
      <c r="O323" s="12">
        <f t="shared" si="73"/>
        <v>0.5484601089528599</v>
      </c>
      <c r="P323" s="13">
        <f t="shared" si="74"/>
        <v>0.41067059162960273</v>
      </c>
      <c r="Q323" s="3">
        <v>0.32400000000000001</v>
      </c>
      <c r="U323" s="31">
        <f t="shared" si="60"/>
        <v>0.99482674999999987</v>
      </c>
    </row>
    <row r="324" spans="3:21" x14ac:dyDescent="0.2">
      <c r="C324" s="12">
        <f t="shared" si="61"/>
        <v>2427.8170800000003</v>
      </c>
      <c r="D324" s="13">
        <f t="shared" si="62"/>
        <v>38.292750000000041</v>
      </c>
      <c r="E324" s="12">
        <f t="shared" si="63"/>
        <v>-17.027509500000072</v>
      </c>
      <c r="F324" s="12">
        <f t="shared" si="64"/>
        <v>652.67865000000018</v>
      </c>
      <c r="G324" s="12">
        <f t="shared" si="65"/>
        <v>2922.7182539999999</v>
      </c>
      <c r="H324" s="12">
        <f t="shared" si="66"/>
        <v>7620.2572500000006</v>
      </c>
      <c r="I324" s="12">
        <f t="shared" si="67"/>
        <v>37.909822500000075</v>
      </c>
      <c r="J324" s="22">
        <f t="shared" si="68"/>
        <v>933026.45683380018</v>
      </c>
      <c r="K324" s="22">
        <f t="shared" si="69"/>
        <v>894893.37568800012</v>
      </c>
      <c r="L324" s="22">
        <f t="shared" si="70"/>
        <v>38133.081145800068</v>
      </c>
      <c r="M324" s="22">
        <f t="shared" si="71"/>
        <v>1087104.1281744</v>
      </c>
      <c r="N324" s="12">
        <f t="shared" si="72"/>
        <v>0.9591296893389244</v>
      </c>
      <c r="O324" s="12">
        <f t="shared" si="73"/>
        <v>0.54848915099838191</v>
      </c>
      <c r="P324" s="13">
        <f t="shared" si="74"/>
        <v>0.41064053834054248</v>
      </c>
      <c r="Q324" s="5">
        <v>0.32500000000000001</v>
      </c>
      <c r="U324" s="31">
        <f t="shared" si="60"/>
        <v>0.99482674999999987</v>
      </c>
    </row>
    <row r="325" spans="3:21" x14ac:dyDescent="0.2">
      <c r="C325" s="12">
        <f t="shared" si="61"/>
        <v>2435.2872864000001</v>
      </c>
      <c r="D325" s="13">
        <f t="shared" si="62"/>
        <v>38.236020000000032</v>
      </c>
      <c r="E325" s="12">
        <f t="shared" si="63"/>
        <v>-17.084239500000081</v>
      </c>
      <c r="F325" s="12">
        <f t="shared" si="64"/>
        <v>654.68689200000017</v>
      </c>
      <c r="G325" s="12">
        <f t="shared" si="65"/>
        <v>2932.056012</v>
      </c>
      <c r="H325" s="12">
        <f t="shared" si="66"/>
        <v>7608.9679799999994</v>
      </c>
      <c r="I325" s="12">
        <f t="shared" si="67"/>
        <v>37.853659800000067</v>
      </c>
      <c r="J325" s="22">
        <f t="shared" si="68"/>
        <v>935898.28816434008</v>
      </c>
      <c r="K325" s="22">
        <f t="shared" si="69"/>
        <v>897646.89376704011</v>
      </c>
      <c r="L325" s="22">
        <f t="shared" si="70"/>
        <v>38251.39439729997</v>
      </c>
      <c r="M325" s="22">
        <f t="shared" si="71"/>
        <v>1090576.1494032</v>
      </c>
      <c r="N325" s="12">
        <f t="shared" si="72"/>
        <v>0.95912868430144715</v>
      </c>
      <c r="O325" s="12">
        <f t="shared" si="73"/>
        <v>0.54851801117055066</v>
      </c>
      <c r="P325" s="13">
        <f t="shared" si="74"/>
        <v>0.4106106731308965</v>
      </c>
      <c r="Q325" s="3">
        <v>0.32600000000000001</v>
      </c>
      <c r="U325" s="31">
        <f t="shared" si="60"/>
        <v>0.99482674999999987</v>
      </c>
    </row>
    <row r="326" spans="3:21" x14ac:dyDescent="0.2">
      <c r="C326" s="12">
        <f t="shared" si="61"/>
        <v>2442.7574928000004</v>
      </c>
      <c r="D326" s="13">
        <f t="shared" si="62"/>
        <v>38.179290000000037</v>
      </c>
      <c r="E326" s="12">
        <f t="shared" si="63"/>
        <v>-17.140969500000068</v>
      </c>
      <c r="F326" s="12">
        <f t="shared" si="64"/>
        <v>656.69513400000017</v>
      </c>
      <c r="G326" s="12">
        <f t="shared" si="65"/>
        <v>2941.3937700000001</v>
      </c>
      <c r="H326" s="12">
        <f t="shared" si="66"/>
        <v>7597.678710000001</v>
      </c>
      <c r="I326" s="12">
        <f t="shared" si="67"/>
        <v>37.797497100000079</v>
      </c>
      <c r="J326" s="22">
        <f t="shared" si="68"/>
        <v>938770.1194948802</v>
      </c>
      <c r="K326" s="22">
        <f t="shared" si="69"/>
        <v>900400.41184608021</v>
      </c>
      <c r="L326" s="22">
        <f t="shared" si="70"/>
        <v>38369.707648799988</v>
      </c>
      <c r="M326" s="22">
        <f t="shared" si="71"/>
        <v>1094048.1706320001</v>
      </c>
      <c r="N326" s="12">
        <f t="shared" si="72"/>
        <v>0.95912768541307492</v>
      </c>
      <c r="O326" s="12">
        <f t="shared" si="73"/>
        <v>0.548546691172483</v>
      </c>
      <c r="P326" s="13">
        <f t="shared" si="74"/>
        <v>0.41058099424059191</v>
      </c>
      <c r="Q326" s="5">
        <v>0.32700000000000001</v>
      </c>
      <c r="U326" s="31">
        <f t="shared" si="60"/>
        <v>0.99482674999999987</v>
      </c>
    </row>
    <row r="327" spans="3:21" x14ac:dyDescent="0.2">
      <c r="C327" s="12">
        <f t="shared" si="61"/>
        <v>2450.2276992000002</v>
      </c>
      <c r="D327" s="13">
        <f t="shared" si="62"/>
        <v>38.122560000000028</v>
      </c>
      <c r="E327" s="12">
        <f t="shared" si="63"/>
        <v>-17.197699500000077</v>
      </c>
      <c r="F327" s="12">
        <f t="shared" si="64"/>
        <v>658.70337600000028</v>
      </c>
      <c r="G327" s="12">
        <f t="shared" si="65"/>
        <v>2950.7315279999998</v>
      </c>
      <c r="H327" s="12">
        <f t="shared" si="66"/>
        <v>7586.389439999999</v>
      </c>
      <c r="I327" s="12">
        <f t="shared" si="67"/>
        <v>37.741334400000071</v>
      </c>
      <c r="J327" s="22">
        <f t="shared" si="68"/>
        <v>941641.95082541998</v>
      </c>
      <c r="K327" s="22">
        <f t="shared" si="69"/>
        <v>903153.92992512009</v>
      </c>
      <c r="L327" s="22">
        <f t="shared" si="70"/>
        <v>38488.020900299889</v>
      </c>
      <c r="M327" s="22">
        <f t="shared" si="71"/>
        <v>1097520.1918607999</v>
      </c>
      <c r="N327" s="12">
        <f t="shared" si="72"/>
        <v>0.95912669261754724</v>
      </c>
      <c r="O327" s="12">
        <f t="shared" si="73"/>
        <v>0.54857519268609745</v>
      </c>
      <c r="P327" s="13">
        <f t="shared" si="74"/>
        <v>0.41055149993144979</v>
      </c>
      <c r="Q327" s="3">
        <v>0.32800000000000001</v>
      </c>
      <c r="U327" s="31">
        <f t="shared" si="60"/>
        <v>0.99482674999999987</v>
      </c>
    </row>
    <row r="328" spans="3:21" x14ac:dyDescent="0.2">
      <c r="C328" s="12">
        <f t="shared" si="61"/>
        <v>2457.6979056</v>
      </c>
      <c r="D328" s="13">
        <f t="shared" si="62"/>
        <v>38.065830000000041</v>
      </c>
      <c r="E328" s="12">
        <f t="shared" si="63"/>
        <v>-17.254429500000072</v>
      </c>
      <c r="F328" s="12">
        <f t="shared" si="64"/>
        <v>660.71161800000027</v>
      </c>
      <c r="G328" s="12">
        <f t="shared" si="65"/>
        <v>2960.0692859999999</v>
      </c>
      <c r="H328" s="12">
        <f t="shared" si="66"/>
        <v>7575.1001700000006</v>
      </c>
      <c r="I328" s="12">
        <f t="shared" si="67"/>
        <v>37.685171700000076</v>
      </c>
      <c r="J328" s="22">
        <f t="shared" si="68"/>
        <v>944513.78215595998</v>
      </c>
      <c r="K328" s="22">
        <f t="shared" si="69"/>
        <v>905907.44800416008</v>
      </c>
      <c r="L328" s="22">
        <f t="shared" si="70"/>
        <v>38606.334151799907</v>
      </c>
      <c r="M328" s="22">
        <f t="shared" si="71"/>
        <v>1100992.2130896002</v>
      </c>
      <c r="N328" s="12">
        <f t="shared" si="72"/>
        <v>0.95912570585928714</v>
      </c>
      <c r="O328" s="12">
        <f t="shared" si="73"/>
        <v>0.54860351737244273</v>
      </c>
      <c r="P328" s="13">
        <f t="shared" si="74"/>
        <v>0.41052218848684441</v>
      </c>
      <c r="Q328" s="5">
        <v>0.32900000000000001</v>
      </c>
      <c r="U328" s="31">
        <f t="shared" si="60"/>
        <v>0.99482674999999987</v>
      </c>
    </row>
    <row r="329" spans="3:21" x14ac:dyDescent="0.2">
      <c r="C329" s="12">
        <f t="shared" si="61"/>
        <v>2465.1681120000003</v>
      </c>
      <c r="D329" s="13">
        <f t="shared" si="62"/>
        <v>38.009100000000032</v>
      </c>
      <c r="E329" s="12">
        <f t="shared" si="63"/>
        <v>-17.31115950000008</v>
      </c>
      <c r="F329" s="12">
        <f t="shared" si="64"/>
        <v>662.71986000000027</v>
      </c>
      <c r="G329" s="12">
        <f t="shared" si="65"/>
        <v>2969.407044</v>
      </c>
      <c r="H329" s="12">
        <f t="shared" si="66"/>
        <v>7563.8108999999995</v>
      </c>
      <c r="I329" s="12">
        <f t="shared" si="67"/>
        <v>37.629009000000067</v>
      </c>
      <c r="J329" s="22">
        <f t="shared" si="68"/>
        <v>947385.61348650022</v>
      </c>
      <c r="K329" s="22">
        <f t="shared" si="69"/>
        <v>908660.96608320018</v>
      </c>
      <c r="L329" s="22">
        <f t="shared" si="70"/>
        <v>38724.647403300041</v>
      </c>
      <c r="M329" s="22">
        <f t="shared" si="71"/>
        <v>1104464.2343184</v>
      </c>
      <c r="N329" s="12">
        <f t="shared" si="72"/>
        <v>0.95912472508339197</v>
      </c>
      <c r="O329" s="12">
        <f t="shared" si="73"/>
        <v>0.54863166687202036</v>
      </c>
      <c r="P329" s="13">
        <f t="shared" si="74"/>
        <v>0.41049305821137161</v>
      </c>
      <c r="Q329" s="3">
        <v>0.33</v>
      </c>
      <c r="U329" s="31">
        <f t="shared" si="60"/>
        <v>0.99482674999999987</v>
      </c>
    </row>
    <row r="330" spans="3:21" x14ac:dyDescent="0.2">
      <c r="C330" s="12">
        <f t="shared" si="61"/>
        <v>2472.6383184000006</v>
      </c>
      <c r="D330" s="13">
        <f t="shared" si="62"/>
        <v>37.952370000000037</v>
      </c>
      <c r="E330" s="12">
        <f t="shared" si="63"/>
        <v>-17.367889500000068</v>
      </c>
      <c r="F330" s="12">
        <f t="shared" si="64"/>
        <v>664.72810200000026</v>
      </c>
      <c r="G330" s="12">
        <f t="shared" si="65"/>
        <v>2978.7448020000002</v>
      </c>
      <c r="H330" s="12">
        <f t="shared" si="66"/>
        <v>7552.5216300000002</v>
      </c>
      <c r="I330" s="12">
        <f t="shared" si="67"/>
        <v>37.57284630000008</v>
      </c>
      <c r="J330" s="22">
        <f t="shared" si="68"/>
        <v>950257.44481704023</v>
      </c>
      <c r="K330" s="22">
        <f t="shared" si="69"/>
        <v>911414.48416224029</v>
      </c>
      <c r="L330" s="22">
        <f t="shared" si="70"/>
        <v>38842.960654799943</v>
      </c>
      <c r="M330" s="22">
        <f t="shared" si="71"/>
        <v>1107936.2555472001</v>
      </c>
      <c r="N330" s="12">
        <f t="shared" si="72"/>
        <v>0.95912375023562313</v>
      </c>
      <c r="O330" s="12">
        <f t="shared" si="73"/>
        <v>0.54865964280510204</v>
      </c>
      <c r="P330" s="13">
        <f t="shared" si="74"/>
        <v>0.41046410743052109</v>
      </c>
      <c r="Q330" s="5">
        <v>0.33100000000000002</v>
      </c>
      <c r="U330" s="31">
        <f t="shared" si="60"/>
        <v>0.99482674999999987</v>
      </c>
    </row>
    <row r="331" spans="3:21" x14ac:dyDescent="0.2">
      <c r="C331" s="12">
        <f t="shared" si="61"/>
        <v>2480.1085247999999</v>
      </c>
      <c r="D331" s="13">
        <f t="shared" si="62"/>
        <v>37.895640000000029</v>
      </c>
      <c r="E331" s="12">
        <f t="shared" si="63"/>
        <v>-17.424619500000077</v>
      </c>
      <c r="F331" s="12">
        <f t="shared" si="64"/>
        <v>666.73634400000026</v>
      </c>
      <c r="G331" s="12">
        <f t="shared" si="65"/>
        <v>2988.0825599999998</v>
      </c>
      <c r="H331" s="12">
        <f t="shared" si="66"/>
        <v>7541.2323599999991</v>
      </c>
      <c r="I331" s="12">
        <f t="shared" si="67"/>
        <v>37.516683600000071</v>
      </c>
      <c r="J331" s="22">
        <f t="shared" si="68"/>
        <v>953129.27614758001</v>
      </c>
      <c r="K331" s="22">
        <f t="shared" si="69"/>
        <v>914168.00224128005</v>
      </c>
      <c r="L331" s="22">
        <f t="shared" si="70"/>
        <v>38961.273906299961</v>
      </c>
      <c r="M331" s="22">
        <f t="shared" si="71"/>
        <v>1111408.2767759999</v>
      </c>
      <c r="N331" s="12">
        <f t="shared" si="72"/>
        <v>0.95912278126239481</v>
      </c>
      <c r="O331" s="12">
        <f t="shared" si="73"/>
        <v>0.54868744677203962</v>
      </c>
      <c r="P331" s="13">
        <f t="shared" si="74"/>
        <v>0.41043533449035519</v>
      </c>
      <c r="Q331" s="3">
        <v>0.33200000000000002</v>
      </c>
      <c r="U331" s="31">
        <f t="shared" si="60"/>
        <v>0.99482674999999987</v>
      </c>
    </row>
    <row r="332" spans="3:21" x14ac:dyDescent="0.2">
      <c r="C332" s="12">
        <f t="shared" si="61"/>
        <v>2487.5787312000002</v>
      </c>
      <c r="D332" s="13">
        <f t="shared" si="62"/>
        <v>37.838910000000041</v>
      </c>
      <c r="E332" s="12">
        <f t="shared" si="63"/>
        <v>-17.481349500000071</v>
      </c>
      <c r="F332" s="12">
        <f t="shared" si="64"/>
        <v>668.74458600000025</v>
      </c>
      <c r="G332" s="12">
        <f t="shared" si="65"/>
        <v>2997.420318</v>
      </c>
      <c r="H332" s="12">
        <f t="shared" si="66"/>
        <v>7529.9430900000007</v>
      </c>
      <c r="I332" s="12">
        <f t="shared" si="67"/>
        <v>37.460520900000077</v>
      </c>
      <c r="J332" s="22">
        <f t="shared" si="68"/>
        <v>956001.10747812025</v>
      </c>
      <c r="K332" s="22">
        <f t="shared" si="69"/>
        <v>916921.52032032015</v>
      </c>
      <c r="L332" s="22">
        <f t="shared" si="70"/>
        <v>39079.587157800095</v>
      </c>
      <c r="M332" s="22">
        <f t="shared" si="71"/>
        <v>1114880.2980048</v>
      </c>
      <c r="N332" s="12">
        <f t="shared" si="72"/>
        <v>0.95912181811076558</v>
      </c>
      <c r="O332" s="12">
        <f t="shared" si="73"/>
        <v>0.54871508035357108</v>
      </c>
      <c r="P332" s="13">
        <f t="shared" si="74"/>
        <v>0.4104067377571945</v>
      </c>
      <c r="Q332" s="5">
        <v>0.33300000000000002</v>
      </c>
      <c r="U332" s="31">
        <f t="shared" si="60"/>
        <v>0.99482674999999987</v>
      </c>
    </row>
    <row r="333" spans="3:21" x14ac:dyDescent="0.2">
      <c r="C333" s="12">
        <f t="shared" si="61"/>
        <v>2495.0489376000005</v>
      </c>
      <c r="D333" s="13">
        <f t="shared" si="62"/>
        <v>37.782180000000032</v>
      </c>
      <c r="E333" s="12">
        <f t="shared" si="63"/>
        <v>-17.53807950000008</v>
      </c>
      <c r="F333" s="12">
        <f t="shared" si="64"/>
        <v>670.75282800000025</v>
      </c>
      <c r="G333" s="12">
        <f t="shared" si="65"/>
        <v>3006.7580760000001</v>
      </c>
      <c r="H333" s="12">
        <f t="shared" si="66"/>
        <v>7518.6538199999986</v>
      </c>
      <c r="I333" s="12">
        <f t="shared" si="67"/>
        <v>37.404358200000068</v>
      </c>
      <c r="J333" s="22">
        <f t="shared" si="68"/>
        <v>958872.93880866026</v>
      </c>
      <c r="K333" s="22">
        <f t="shared" si="69"/>
        <v>919675.03839936026</v>
      </c>
      <c r="L333" s="22">
        <f t="shared" si="70"/>
        <v>39197.900409299997</v>
      </c>
      <c r="M333" s="22">
        <f t="shared" si="71"/>
        <v>1118352.3192336001</v>
      </c>
      <c r="N333" s="12">
        <f t="shared" si="72"/>
        <v>0.95912086072842884</v>
      </c>
      <c r="O333" s="12">
        <f t="shared" si="73"/>
        <v>0.54874254511111931</v>
      </c>
      <c r="P333" s="13">
        <f t="shared" si="74"/>
        <v>0.41037831561730953</v>
      </c>
      <c r="Q333" s="3">
        <v>0.33400000000000002</v>
      </c>
      <c r="U333" s="31">
        <f t="shared" si="60"/>
        <v>0.99482674999999987</v>
      </c>
    </row>
    <row r="334" spans="3:21" x14ac:dyDescent="0.2">
      <c r="C334" s="12">
        <f t="shared" si="61"/>
        <v>2502.5191440000003</v>
      </c>
      <c r="D334" s="13">
        <f t="shared" si="62"/>
        <v>37.725450000000038</v>
      </c>
      <c r="E334" s="12">
        <f t="shared" si="63"/>
        <v>-17.594809500000068</v>
      </c>
      <c r="F334" s="12">
        <f t="shared" si="64"/>
        <v>672.76107000000025</v>
      </c>
      <c r="G334" s="12">
        <f t="shared" si="65"/>
        <v>3016.0958340000002</v>
      </c>
      <c r="H334" s="12">
        <f t="shared" si="66"/>
        <v>7507.3645500000002</v>
      </c>
      <c r="I334" s="12">
        <f t="shared" si="67"/>
        <v>37.348195500000081</v>
      </c>
      <c r="J334" s="22">
        <f t="shared" si="68"/>
        <v>961744.77013920003</v>
      </c>
      <c r="K334" s="22">
        <f t="shared" si="69"/>
        <v>922428.55647840013</v>
      </c>
      <c r="L334" s="22">
        <f t="shared" si="70"/>
        <v>39316.213660799898</v>
      </c>
      <c r="M334" s="22">
        <f t="shared" si="71"/>
        <v>1121824.3404624003</v>
      </c>
      <c r="N334" s="12">
        <f t="shared" si="72"/>
        <v>0.95911990906370159</v>
      </c>
      <c r="O334" s="12">
        <f t="shared" si="73"/>
        <v>0.54876984258708739</v>
      </c>
      <c r="P334" s="13">
        <f t="shared" si="74"/>
        <v>0.41035006647661421</v>
      </c>
      <c r="Q334" s="5">
        <v>0.33500000000000002</v>
      </c>
      <c r="U334" s="31">
        <f t="shared" ref="U334:U397" si="75">(Prev*Total_SnSeq)+((1-Prev)*Total_SpSeq)</f>
        <v>0.99482674999999987</v>
      </c>
    </row>
    <row r="335" spans="3:21" x14ac:dyDescent="0.2">
      <c r="C335" s="12">
        <f t="shared" ref="C335:C398" si="76">cohort*Q335*SnTest1*((corr*(SQRT(SnTest1*(1-SnTest1)*SnTest2*(1-SnTest2)))+SnTest1*SnTest2)/SnTest1)</f>
        <v>2509.9893504000001</v>
      </c>
      <c r="D335" s="13">
        <f t="shared" ref="D335:D398" si="77">(1-Q335)*(1-SpTest1)*cohort</f>
        <v>37.668720000000029</v>
      </c>
      <c r="E335" s="12">
        <f t="shared" ref="E335:E398" si="78">(cohort*(1-Q335)*(1-SpTest1))-TNTest2</f>
        <v>-17.651539500000077</v>
      </c>
      <c r="F335" s="12">
        <f t="shared" ref="F335:F398" si="79">cohort*Q335*(1-SnTest1)</f>
        <v>674.76931200000024</v>
      </c>
      <c r="G335" s="12">
        <f t="shared" ref="G335:G398" si="80">(cohort*Q335*SnTest1)-TPSeq</f>
        <v>3025.4335919999999</v>
      </c>
      <c r="H335" s="12">
        <f t="shared" ref="H335:H398" si="81">(1-Q335)*SpTest1*cohort</f>
        <v>7496.0752799999991</v>
      </c>
      <c r="I335" s="12">
        <f t="shared" ref="I335:I398" si="82">cohort*(1-Q335)*(1-SpTest1)*(SpTest2-(corr*(SQRT(SpTest1*(1-SpTest1)*SpTest2*(1-SpTest2)))+SpTest2*SpTest1))/(1-SpTest1)</f>
        <v>37.292032800000072</v>
      </c>
      <c r="J335" s="22">
        <f t="shared" si="68"/>
        <v>964616.60146974004</v>
      </c>
      <c r="K335" s="22">
        <f t="shared" si="69"/>
        <v>925182.07455744012</v>
      </c>
      <c r="L335" s="22">
        <f t="shared" si="70"/>
        <v>39434.526912299916</v>
      </c>
      <c r="M335" s="22">
        <f t="shared" si="71"/>
        <v>1125296.3616911999</v>
      </c>
      <c r="N335" s="12">
        <f t="shared" si="72"/>
        <v>0.95911896306551703</v>
      </c>
      <c r="O335" s="12">
        <f t="shared" si="73"/>
        <v>0.54879697430514551</v>
      </c>
      <c r="P335" s="13">
        <f t="shared" si="74"/>
        <v>0.41032198876037151</v>
      </c>
      <c r="Q335" s="3">
        <v>0.33600000000000002</v>
      </c>
      <c r="U335" s="31">
        <f t="shared" si="75"/>
        <v>0.99482674999999987</v>
      </c>
    </row>
    <row r="336" spans="3:21" x14ac:dyDescent="0.2">
      <c r="C336" s="12">
        <f t="shared" si="76"/>
        <v>2517.4595568000004</v>
      </c>
      <c r="D336" s="13">
        <f t="shared" si="77"/>
        <v>37.611990000000034</v>
      </c>
      <c r="E336" s="12">
        <f t="shared" si="78"/>
        <v>-17.708269500000071</v>
      </c>
      <c r="F336" s="12">
        <f t="shared" si="79"/>
        <v>676.77755400000024</v>
      </c>
      <c r="G336" s="12">
        <f t="shared" si="80"/>
        <v>3034.77135</v>
      </c>
      <c r="H336" s="12">
        <f t="shared" si="81"/>
        <v>7484.7860100000007</v>
      </c>
      <c r="I336" s="12">
        <f t="shared" si="82"/>
        <v>37.235870100000071</v>
      </c>
      <c r="J336" s="22">
        <f t="shared" ref="J336:J399" si="83">(C336*$H$6)+(E336*$H$6)+(G336*$H$3)+(I336*$H$3)</f>
        <v>967488.43280028016</v>
      </c>
      <c r="K336" s="22">
        <f t="shared" ref="K336:K399" si="84">(C336*$H$6)</f>
        <v>927935.59263648023</v>
      </c>
      <c r="L336" s="22">
        <f t="shared" ref="L336:L399" si="85">J336-K336</f>
        <v>39552.840163799934</v>
      </c>
      <c r="M336" s="22">
        <f t="shared" ref="M336:M399" si="86">(F336*$H$3)+(G336*$H$6)</f>
        <v>1128768.38292</v>
      </c>
      <c r="N336" s="12">
        <f t="shared" ref="N336:N399" si="87">K336/J336</f>
        <v>0.95911802268341451</v>
      </c>
      <c r="O336" s="12">
        <f t="shared" ref="O336:O399" si="88">M336/(M336+K336)</f>
        <v>0.54882394177051674</v>
      </c>
      <c r="P336" s="13">
        <f t="shared" ref="P336:P399" si="89">N336-O336</f>
        <v>0.41029408091289776</v>
      </c>
      <c r="Q336" s="5">
        <v>0.33700000000000002</v>
      </c>
      <c r="U336" s="31">
        <f t="shared" si="75"/>
        <v>0.99482674999999987</v>
      </c>
    </row>
    <row r="337" spans="3:21" x14ac:dyDescent="0.2">
      <c r="C337" s="12">
        <f t="shared" si="76"/>
        <v>2524.9297632000003</v>
      </c>
      <c r="D337" s="13">
        <f t="shared" si="77"/>
        <v>37.555260000000033</v>
      </c>
      <c r="E337" s="12">
        <f t="shared" si="78"/>
        <v>-17.76499950000008</v>
      </c>
      <c r="F337" s="12">
        <f t="shared" si="79"/>
        <v>678.78579600000023</v>
      </c>
      <c r="G337" s="12">
        <f t="shared" si="80"/>
        <v>3044.1091080000001</v>
      </c>
      <c r="H337" s="12">
        <f t="shared" si="81"/>
        <v>7473.4967399999987</v>
      </c>
      <c r="I337" s="12">
        <f t="shared" si="82"/>
        <v>37.179707400000069</v>
      </c>
      <c r="J337" s="22">
        <f t="shared" si="83"/>
        <v>970360.26413082005</v>
      </c>
      <c r="K337" s="22">
        <f t="shared" si="84"/>
        <v>930689.1107155201</v>
      </c>
      <c r="L337" s="22">
        <f t="shared" si="85"/>
        <v>39671.153415299952</v>
      </c>
      <c r="M337" s="22">
        <f t="shared" si="86"/>
        <v>1132240.4041488001</v>
      </c>
      <c r="N337" s="12">
        <f t="shared" si="87"/>
        <v>0.9591170878675308</v>
      </c>
      <c r="O337" s="12">
        <f t="shared" si="88"/>
        <v>0.54885074647025356</v>
      </c>
      <c r="P337" s="13">
        <f t="shared" si="89"/>
        <v>0.41026634139727725</v>
      </c>
      <c r="Q337" s="3">
        <v>0.33800000000000002</v>
      </c>
      <c r="U337" s="31">
        <f t="shared" si="75"/>
        <v>0.99482674999999987</v>
      </c>
    </row>
    <row r="338" spans="3:21" x14ac:dyDescent="0.2">
      <c r="C338" s="12">
        <f t="shared" si="76"/>
        <v>2532.3999696000001</v>
      </c>
      <c r="D338" s="13">
        <f t="shared" si="77"/>
        <v>37.498530000000038</v>
      </c>
      <c r="E338" s="12">
        <f t="shared" si="78"/>
        <v>-17.821729500000075</v>
      </c>
      <c r="F338" s="12">
        <f t="shared" si="79"/>
        <v>680.79403800000023</v>
      </c>
      <c r="G338" s="12">
        <f t="shared" si="80"/>
        <v>3053.4468659999998</v>
      </c>
      <c r="H338" s="12">
        <f t="shared" si="81"/>
        <v>7462.2074700000003</v>
      </c>
      <c r="I338" s="12">
        <f t="shared" si="82"/>
        <v>37.123544700000075</v>
      </c>
      <c r="J338" s="22">
        <f t="shared" si="83"/>
        <v>973232.09546136006</v>
      </c>
      <c r="K338" s="22">
        <f t="shared" si="84"/>
        <v>933442.62879456009</v>
      </c>
      <c r="L338" s="22">
        <f t="shared" si="85"/>
        <v>39789.46666679997</v>
      </c>
      <c r="M338" s="22">
        <f t="shared" si="86"/>
        <v>1135712.4253776001</v>
      </c>
      <c r="N338" s="12">
        <f t="shared" si="87"/>
        <v>0.95911615856859123</v>
      </c>
      <c r="O338" s="12">
        <f t="shared" si="88"/>
        <v>0.54887738987351176</v>
      </c>
      <c r="P338" s="13">
        <f t="shared" si="89"/>
        <v>0.41023876869507947</v>
      </c>
      <c r="Q338" s="5">
        <v>0.33900000000000002</v>
      </c>
      <c r="U338" s="31">
        <f t="shared" si="75"/>
        <v>0.99482674999999987</v>
      </c>
    </row>
    <row r="339" spans="3:21" x14ac:dyDescent="0.2">
      <c r="C339" s="12">
        <f t="shared" si="76"/>
        <v>2539.8701760000004</v>
      </c>
      <c r="D339" s="13">
        <f t="shared" si="77"/>
        <v>37.441800000000029</v>
      </c>
      <c r="E339" s="12">
        <f t="shared" si="78"/>
        <v>-17.878459500000076</v>
      </c>
      <c r="F339" s="12">
        <f t="shared" si="79"/>
        <v>682.80228000000022</v>
      </c>
      <c r="G339" s="12">
        <f t="shared" si="80"/>
        <v>3062.7846239999999</v>
      </c>
      <c r="H339" s="12">
        <f t="shared" si="81"/>
        <v>7450.9181999999992</v>
      </c>
      <c r="I339" s="12">
        <f t="shared" si="82"/>
        <v>37.067382000000073</v>
      </c>
      <c r="J339" s="22">
        <f t="shared" si="83"/>
        <v>976103.92679190019</v>
      </c>
      <c r="K339" s="22">
        <f t="shared" si="84"/>
        <v>936196.1468736002</v>
      </c>
      <c r="L339" s="22">
        <f t="shared" si="85"/>
        <v>39907.779918299988</v>
      </c>
      <c r="M339" s="22">
        <f t="shared" si="86"/>
        <v>1139184.4466064002</v>
      </c>
      <c r="N339" s="12">
        <f t="shared" si="87"/>
        <v>0.95911523473790095</v>
      </c>
      <c r="O339" s="12">
        <f t="shared" si="88"/>
        <v>0.54890387343181934</v>
      </c>
      <c r="P339" s="13">
        <f t="shared" si="89"/>
        <v>0.4102113613060816</v>
      </c>
      <c r="Q339" s="3">
        <v>0.34</v>
      </c>
      <c r="U339" s="31">
        <f t="shared" si="75"/>
        <v>0.99482674999999987</v>
      </c>
    </row>
    <row r="340" spans="3:21" x14ac:dyDescent="0.2">
      <c r="C340" s="12">
        <f t="shared" si="76"/>
        <v>2547.3403824000002</v>
      </c>
      <c r="D340" s="13">
        <f t="shared" si="77"/>
        <v>37.385070000000034</v>
      </c>
      <c r="E340" s="12">
        <f t="shared" si="78"/>
        <v>-17.935189500000071</v>
      </c>
      <c r="F340" s="12">
        <f t="shared" si="79"/>
        <v>684.81052200000022</v>
      </c>
      <c r="G340" s="12">
        <f t="shared" si="80"/>
        <v>3072.122382</v>
      </c>
      <c r="H340" s="12">
        <f t="shared" si="81"/>
        <v>7439.6289299999999</v>
      </c>
      <c r="I340" s="12">
        <f t="shared" si="82"/>
        <v>37.011219300000079</v>
      </c>
      <c r="J340" s="22">
        <f t="shared" si="83"/>
        <v>978975.75812244019</v>
      </c>
      <c r="K340" s="22">
        <f t="shared" si="84"/>
        <v>938949.66495264007</v>
      </c>
      <c r="L340" s="22">
        <f t="shared" si="85"/>
        <v>40026.093169800122</v>
      </c>
      <c r="M340" s="22">
        <f t="shared" si="86"/>
        <v>1142656.4678352</v>
      </c>
      <c r="N340" s="12">
        <f t="shared" si="87"/>
        <v>0.95911431632733635</v>
      </c>
      <c r="O340" s="12">
        <f t="shared" si="88"/>
        <v>0.54893019857933956</v>
      </c>
      <c r="P340" s="13">
        <f t="shared" si="89"/>
        <v>0.41018411774799679</v>
      </c>
      <c r="Q340" s="5">
        <v>0.34100000000000003</v>
      </c>
      <c r="U340" s="31">
        <f t="shared" si="75"/>
        <v>0.99482674999999987</v>
      </c>
    </row>
    <row r="341" spans="3:21" x14ac:dyDescent="0.2">
      <c r="C341" s="12">
        <f t="shared" si="76"/>
        <v>2554.8105888000005</v>
      </c>
      <c r="D341" s="13">
        <f t="shared" si="77"/>
        <v>37.328340000000026</v>
      </c>
      <c r="E341" s="12">
        <f t="shared" si="78"/>
        <v>-17.99191950000008</v>
      </c>
      <c r="F341" s="12">
        <f t="shared" si="79"/>
        <v>686.81876400000021</v>
      </c>
      <c r="G341" s="12">
        <f t="shared" si="80"/>
        <v>3081.4601400000001</v>
      </c>
      <c r="H341" s="12">
        <f t="shared" si="81"/>
        <v>7428.3396599999987</v>
      </c>
      <c r="I341" s="12">
        <f t="shared" si="82"/>
        <v>36.95505660000007</v>
      </c>
      <c r="J341" s="22">
        <f t="shared" si="83"/>
        <v>981847.58945298009</v>
      </c>
      <c r="K341" s="22">
        <f t="shared" si="84"/>
        <v>941703.18303168018</v>
      </c>
      <c r="L341" s="22">
        <f t="shared" si="85"/>
        <v>40144.406421299907</v>
      </c>
      <c r="M341" s="22">
        <f t="shared" si="86"/>
        <v>1146128.4890640001</v>
      </c>
      <c r="N341" s="12">
        <f t="shared" si="87"/>
        <v>0.9591134032893377</v>
      </c>
      <c r="O341" s="12">
        <f t="shared" si="88"/>
        <v>0.54895636673312997</v>
      </c>
      <c r="P341" s="13">
        <f t="shared" si="89"/>
        <v>0.41015703655620772</v>
      </c>
      <c r="Q341" s="3">
        <v>0.34200000000000003</v>
      </c>
      <c r="U341" s="31">
        <f t="shared" si="75"/>
        <v>0.99482674999999987</v>
      </c>
    </row>
    <row r="342" spans="3:21" x14ac:dyDescent="0.2">
      <c r="C342" s="12">
        <f t="shared" si="76"/>
        <v>2562.2807952000003</v>
      </c>
      <c r="D342" s="13">
        <f t="shared" si="77"/>
        <v>37.271610000000038</v>
      </c>
      <c r="E342" s="12">
        <f t="shared" si="78"/>
        <v>-18.048649500000074</v>
      </c>
      <c r="F342" s="12">
        <f t="shared" si="79"/>
        <v>688.82700600000021</v>
      </c>
      <c r="G342" s="12">
        <f t="shared" si="80"/>
        <v>3090.7978979999998</v>
      </c>
      <c r="H342" s="12">
        <f t="shared" si="81"/>
        <v>7417.0503900000003</v>
      </c>
      <c r="I342" s="12">
        <f t="shared" si="82"/>
        <v>36.898893900000076</v>
      </c>
      <c r="J342" s="22">
        <f t="shared" si="83"/>
        <v>984719.42078352009</v>
      </c>
      <c r="K342" s="22">
        <f t="shared" si="84"/>
        <v>944456.70111072017</v>
      </c>
      <c r="L342" s="22">
        <f t="shared" si="85"/>
        <v>40262.719672799925</v>
      </c>
      <c r="M342" s="22">
        <f t="shared" si="86"/>
        <v>1149600.5102927999</v>
      </c>
      <c r="N342" s="12">
        <f t="shared" si="87"/>
        <v>0.9591124955768987</v>
      </c>
      <c r="O342" s="12">
        <f t="shared" si="88"/>
        <v>0.54898237929339677</v>
      </c>
      <c r="P342" s="13">
        <f t="shared" si="89"/>
        <v>0.41013011628350193</v>
      </c>
      <c r="Q342" s="5">
        <v>0.34300000000000003</v>
      </c>
      <c r="U342" s="31">
        <f t="shared" si="75"/>
        <v>0.99482674999999987</v>
      </c>
    </row>
    <row r="343" spans="3:21" x14ac:dyDescent="0.2">
      <c r="C343" s="12">
        <f t="shared" si="76"/>
        <v>2569.7510015999997</v>
      </c>
      <c r="D343" s="13">
        <f t="shared" si="77"/>
        <v>37.214880000000036</v>
      </c>
      <c r="E343" s="12">
        <f t="shared" si="78"/>
        <v>-18.105379500000069</v>
      </c>
      <c r="F343" s="12">
        <f t="shared" si="79"/>
        <v>690.83524800000021</v>
      </c>
      <c r="G343" s="12">
        <f t="shared" si="80"/>
        <v>3100.1356559999995</v>
      </c>
      <c r="H343" s="12">
        <f t="shared" si="81"/>
        <v>7405.761120000001</v>
      </c>
      <c r="I343" s="12">
        <f t="shared" si="82"/>
        <v>36.842731200000081</v>
      </c>
      <c r="J343" s="22">
        <f t="shared" si="83"/>
        <v>987591.25211405999</v>
      </c>
      <c r="K343" s="22">
        <f t="shared" si="84"/>
        <v>947210.21918975993</v>
      </c>
      <c r="L343" s="22">
        <f t="shared" si="85"/>
        <v>40381.03292430006</v>
      </c>
      <c r="M343" s="22">
        <f t="shared" si="86"/>
        <v>1153072.5315216</v>
      </c>
      <c r="N343" s="12">
        <f t="shared" si="87"/>
        <v>0.95911159314356065</v>
      </c>
      <c r="O343" s="12">
        <f t="shared" si="88"/>
        <v>0.54900823764374462</v>
      </c>
      <c r="P343" s="13">
        <f t="shared" si="89"/>
        <v>0.41010335549981602</v>
      </c>
      <c r="Q343" s="3">
        <v>0.34399999999999997</v>
      </c>
      <c r="U343" s="31">
        <f t="shared" si="75"/>
        <v>0.99482674999999987</v>
      </c>
    </row>
    <row r="344" spans="3:21" x14ac:dyDescent="0.2">
      <c r="C344" s="12">
        <f t="shared" si="76"/>
        <v>2577.2212079999999</v>
      </c>
      <c r="D344" s="13">
        <f t="shared" si="77"/>
        <v>37.158150000000035</v>
      </c>
      <c r="E344" s="12">
        <f t="shared" si="78"/>
        <v>-18.162109500000071</v>
      </c>
      <c r="F344" s="12">
        <f t="shared" si="79"/>
        <v>692.8434900000002</v>
      </c>
      <c r="G344" s="12">
        <f t="shared" si="80"/>
        <v>3109.4734139999996</v>
      </c>
      <c r="H344" s="12">
        <f t="shared" si="81"/>
        <v>7394.4718499999999</v>
      </c>
      <c r="I344" s="12">
        <f t="shared" si="82"/>
        <v>36.786568500000079</v>
      </c>
      <c r="J344" s="22">
        <f t="shared" si="83"/>
        <v>990463.08344459999</v>
      </c>
      <c r="K344" s="22">
        <f t="shared" si="84"/>
        <v>949963.73726880003</v>
      </c>
      <c r="L344" s="22">
        <f t="shared" si="85"/>
        <v>40499.346175799961</v>
      </c>
      <c r="M344" s="22">
        <f t="shared" si="86"/>
        <v>1156544.5527504</v>
      </c>
      <c r="N344" s="12">
        <f t="shared" si="87"/>
        <v>0.95911069594340392</v>
      </c>
      <c r="O344" s="12">
        <f t="shared" si="88"/>
        <v>0.54903394315142162</v>
      </c>
      <c r="P344" s="13">
        <f t="shared" si="89"/>
        <v>0.4100767527919823</v>
      </c>
      <c r="Q344" s="5">
        <v>0.34499999999999997</v>
      </c>
      <c r="U344" s="31">
        <f t="shared" si="75"/>
        <v>0.99482674999999987</v>
      </c>
    </row>
    <row r="345" spans="3:21" x14ac:dyDescent="0.2">
      <c r="C345" s="12">
        <f t="shared" si="76"/>
        <v>2584.6914144000002</v>
      </c>
      <c r="D345" s="13">
        <f t="shared" si="77"/>
        <v>37.101420000000033</v>
      </c>
      <c r="E345" s="12">
        <f t="shared" si="78"/>
        <v>-18.218839500000072</v>
      </c>
      <c r="F345" s="12">
        <f t="shared" si="79"/>
        <v>694.8517320000002</v>
      </c>
      <c r="G345" s="12">
        <f t="shared" si="80"/>
        <v>3118.8111719999997</v>
      </c>
      <c r="H345" s="12">
        <f t="shared" si="81"/>
        <v>7383.1825800000006</v>
      </c>
      <c r="I345" s="12">
        <f t="shared" si="82"/>
        <v>36.730405800000071</v>
      </c>
      <c r="J345" s="22">
        <f t="shared" si="83"/>
        <v>993334.91477514012</v>
      </c>
      <c r="K345" s="22">
        <f t="shared" si="84"/>
        <v>952717.25534784014</v>
      </c>
      <c r="L345" s="22">
        <f t="shared" si="85"/>
        <v>40617.659427299979</v>
      </c>
      <c r="M345" s="22">
        <f t="shared" si="86"/>
        <v>1160016.5739791999</v>
      </c>
      <c r="N345" s="12">
        <f t="shared" si="87"/>
        <v>0.95910980393103917</v>
      </c>
      <c r="O345" s="12">
        <f t="shared" si="88"/>
        <v>0.54905949716756086</v>
      </c>
      <c r="P345" s="13">
        <f t="shared" si="89"/>
        <v>0.41005030676347831</v>
      </c>
      <c r="Q345" s="3">
        <v>0.34599999999999997</v>
      </c>
      <c r="U345" s="31">
        <f t="shared" si="75"/>
        <v>0.99482674999999987</v>
      </c>
    </row>
    <row r="346" spans="3:21" x14ac:dyDescent="0.2">
      <c r="C346" s="12">
        <f t="shared" si="76"/>
        <v>2592.1616208</v>
      </c>
      <c r="D346" s="13">
        <f t="shared" si="77"/>
        <v>37.044690000000038</v>
      </c>
      <c r="E346" s="12">
        <f t="shared" si="78"/>
        <v>-18.275569500000074</v>
      </c>
      <c r="F346" s="12">
        <f t="shared" si="79"/>
        <v>696.85997400000019</v>
      </c>
      <c r="G346" s="12">
        <f t="shared" si="80"/>
        <v>3128.1489299999998</v>
      </c>
      <c r="H346" s="12">
        <f t="shared" si="81"/>
        <v>7371.8933100000004</v>
      </c>
      <c r="I346" s="12">
        <f t="shared" si="82"/>
        <v>36.674243100000069</v>
      </c>
      <c r="J346" s="22">
        <f t="shared" si="83"/>
        <v>996206.74610568013</v>
      </c>
      <c r="K346" s="22">
        <f t="shared" si="84"/>
        <v>955470.77342688013</v>
      </c>
      <c r="L346" s="22">
        <f t="shared" si="85"/>
        <v>40735.972678799997</v>
      </c>
      <c r="M346" s="22">
        <f t="shared" si="86"/>
        <v>1163488.5952079999</v>
      </c>
      <c r="N346" s="12">
        <f t="shared" si="87"/>
        <v>0.95910891706160095</v>
      </c>
      <c r="O346" s="12">
        <f t="shared" si="88"/>
        <v>0.54908490102741647</v>
      </c>
      <c r="P346" s="13">
        <f t="shared" si="89"/>
        <v>0.41002401603418448</v>
      </c>
      <c r="Q346" s="5">
        <v>0.34699999999999998</v>
      </c>
      <c r="U346" s="31">
        <f t="shared" si="75"/>
        <v>0.99482674999999987</v>
      </c>
    </row>
    <row r="347" spans="3:21" x14ac:dyDescent="0.2">
      <c r="C347" s="12">
        <f t="shared" si="76"/>
        <v>2599.6318271999999</v>
      </c>
      <c r="D347" s="13">
        <f t="shared" si="77"/>
        <v>36.987960000000037</v>
      </c>
      <c r="E347" s="12">
        <f t="shared" si="78"/>
        <v>-18.332299500000069</v>
      </c>
      <c r="F347" s="12">
        <f t="shared" si="79"/>
        <v>698.86821600000019</v>
      </c>
      <c r="G347" s="12">
        <f t="shared" si="80"/>
        <v>3137.4866879999995</v>
      </c>
      <c r="H347" s="12">
        <f t="shared" si="81"/>
        <v>7360.6040400000002</v>
      </c>
      <c r="I347" s="12">
        <f t="shared" si="82"/>
        <v>36.618080400000075</v>
      </c>
      <c r="J347" s="22">
        <f t="shared" si="83"/>
        <v>999078.57743622002</v>
      </c>
      <c r="K347" s="22">
        <f t="shared" si="84"/>
        <v>958224.29150592</v>
      </c>
      <c r="L347" s="22">
        <f t="shared" si="85"/>
        <v>40854.285930300015</v>
      </c>
      <c r="M347" s="22">
        <f t="shared" si="86"/>
        <v>1166960.6164368</v>
      </c>
      <c r="N347" s="12">
        <f t="shared" si="87"/>
        <v>0.95910803529073962</v>
      </c>
      <c r="O347" s="12">
        <f t="shared" si="88"/>
        <v>0.54911015605059676</v>
      </c>
      <c r="P347" s="13">
        <f t="shared" si="89"/>
        <v>0.40999787924014286</v>
      </c>
      <c r="Q347" s="3">
        <v>0.34799999999999998</v>
      </c>
      <c r="U347" s="31">
        <f t="shared" si="75"/>
        <v>0.99482674999999987</v>
      </c>
    </row>
    <row r="348" spans="3:21" x14ac:dyDescent="0.2">
      <c r="C348" s="12">
        <f t="shared" si="76"/>
        <v>2607.1020336000001</v>
      </c>
      <c r="D348" s="13">
        <f t="shared" si="77"/>
        <v>36.931230000000035</v>
      </c>
      <c r="E348" s="12">
        <f t="shared" si="78"/>
        <v>-18.389029500000071</v>
      </c>
      <c r="F348" s="12">
        <f t="shared" si="79"/>
        <v>700.87645800000018</v>
      </c>
      <c r="G348" s="12">
        <f t="shared" si="80"/>
        <v>3146.8244459999996</v>
      </c>
      <c r="H348" s="12">
        <f t="shared" si="81"/>
        <v>7349.31477</v>
      </c>
      <c r="I348" s="12">
        <f t="shared" si="82"/>
        <v>36.561917700000073</v>
      </c>
      <c r="J348" s="22">
        <f t="shared" si="83"/>
        <v>1001950.40876676</v>
      </c>
      <c r="K348" s="22">
        <f t="shared" si="84"/>
        <v>960977.80958496011</v>
      </c>
      <c r="L348" s="22">
        <f t="shared" si="85"/>
        <v>40972.599181799917</v>
      </c>
      <c r="M348" s="22">
        <f t="shared" si="86"/>
        <v>1170432.6376656001</v>
      </c>
      <c r="N348" s="12">
        <f t="shared" si="87"/>
        <v>0.95910715857461393</v>
      </c>
      <c r="O348" s="12">
        <f t="shared" si="88"/>
        <v>0.54913526354129238</v>
      </c>
      <c r="P348" s="13">
        <f t="shared" si="89"/>
        <v>0.40997189503332154</v>
      </c>
      <c r="Q348" s="5">
        <v>0.34899999999999998</v>
      </c>
      <c r="U348" s="31">
        <f t="shared" si="75"/>
        <v>0.99482674999999987</v>
      </c>
    </row>
    <row r="349" spans="3:21" x14ac:dyDescent="0.2">
      <c r="C349" s="12">
        <f t="shared" si="76"/>
        <v>2614.57224</v>
      </c>
      <c r="D349" s="13">
        <f t="shared" si="77"/>
        <v>36.874500000000033</v>
      </c>
      <c r="E349" s="12">
        <f t="shared" si="78"/>
        <v>-18.445759500000072</v>
      </c>
      <c r="F349" s="12">
        <f t="shared" si="79"/>
        <v>702.88470000000018</v>
      </c>
      <c r="G349" s="12">
        <f t="shared" si="80"/>
        <v>3156.1622039999997</v>
      </c>
      <c r="H349" s="12">
        <f t="shared" si="81"/>
        <v>7338.0255000000006</v>
      </c>
      <c r="I349" s="12">
        <f t="shared" si="82"/>
        <v>36.505755000000072</v>
      </c>
      <c r="J349" s="22">
        <f t="shared" si="83"/>
        <v>1004822.2400973</v>
      </c>
      <c r="K349" s="22">
        <f t="shared" si="84"/>
        <v>963731.3276640001</v>
      </c>
      <c r="L349" s="22">
        <f t="shared" si="85"/>
        <v>41090.912433299934</v>
      </c>
      <c r="M349" s="22">
        <f t="shared" si="86"/>
        <v>1173904.6588944001</v>
      </c>
      <c r="N349" s="12">
        <f t="shared" si="87"/>
        <v>0.95910628686988364</v>
      </c>
      <c r="O349" s="12">
        <f t="shared" si="88"/>
        <v>0.54916022478850102</v>
      </c>
      <c r="P349" s="13">
        <f t="shared" si="89"/>
        <v>0.40994606208138262</v>
      </c>
      <c r="Q349" s="3">
        <v>0.35</v>
      </c>
      <c r="U349" s="31">
        <f t="shared" si="75"/>
        <v>0.99482674999999987</v>
      </c>
    </row>
    <row r="350" spans="3:21" x14ac:dyDescent="0.2">
      <c r="C350" s="12">
        <f t="shared" si="76"/>
        <v>2622.0424464000002</v>
      </c>
      <c r="D350" s="13">
        <f t="shared" si="77"/>
        <v>36.817770000000039</v>
      </c>
      <c r="E350" s="12">
        <f t="shared" si="78"/>
        <v>-18.502489500000074</v>
      </c>
      <c r="F350" s="12">
        <f t="shared" si="79"/>
        <v>704.89294200000018</v>
      </c>
      <c r="G350" s="12">
        <f t="shared" si="80"/>
        <v>3165.4999619999999</v>
      </c>
      <c r="H350" s="12">
        <f t="shared" si="81"/>
        <v>7326.7362299999995</v>
      </c>
      <c r="I350" s="12">
        <f t="shared" si="82"/>
        <v>36.44959230000007</v>
      </c>
      <c r="J350" s="22">
        <f t="shared" si="83"/>
        <v>1007694.0714278402</v>
      </c>
      <c r="K350" s="22">
        <f t="shared" si="84"/>
        <v>966484.8457430402</v>
      </c>
      <c r="L350" s="22">
        <f t="shared" si="85"/>
        <v>41209.225684799952</v>
      </c>
      <c r="M350" s="22">
        <f t="shared" si="86"/>
        <v>1177376.6801231999</v>
      </c>
      <c r="N350" s="12">
        <f t="shared" si="87"/>
        <v>0.95910542013370281</v>
      </c>
      <c r="O350" s="12">
        <f t="shared" si="88"/>
        <v>0.54918504106624788</v>
      </c>
      <c r="P350" s="13">
        <f t="shared" si="89"/>
        <v>0.40992037906745493</v>
      </c>
      <c r="Q350" s="5">
        <v>0.35099999999999998</v>
      </c>
      <c r="U350" s="31">
        <f t="shared" si="75"/>
        <v>0.99482674999999987</v>
      </c>
    </row>
    <row r="351" spans="3:21" x14ac:dyDescent="0.2">
      <c r="C351" s="12">
        <f t="shared" si="76"/>
        <v>2629.5126528000001</v>
      </c>
      <c r="D351" s="13">
        <f t="shared" si="77"/>
        <v>36.76104000000003</v>
      </c>
      <c r="E351" s="12">
        <f t="shared" si="78"/>
        <v>-18.559219500000069</v>
      </c>
      <c r="F351" s="12">
        <f t="shared" si="79"/>
        <v>706.90118400000017</v>
      </c>
      <c r="G351" s="12">
        <f t="shared" si="80"/>
        <v>3174.8377199999995</v>
      </c>
      <c r="H351" s="12">
        <f t="shared" si="81"/>
        <v>7315.4469600000002</v>
      </c>
      <c r="I351" s="12">
        <f t="shared" si="82"/>
        <v>36.393429600000076</v>
      </c>
      <c r="J351" s="22">
        <f t="shared" si="83"/>
        <v>1010565.90275838</v>
      </c>
      <c r="K351" s="22">
        <f t="shared" si="84"/>
        <v>969238.36382208008</v>
      </c>
      <c r="L351" s="22">
        <f t="shared" si="85"/>
        <v>41327.53893629997</v>
      </c>
      <c r="M351" s="22">
        <f t="shared" si="86"/>
        <v>1180848.7013519998</v>
      </c>
      <c r="N351" s="12">
        <f t="shared" si="87"/>
        <v>0.95910455832371266</v>
      </c>
      <c r="O351" s="12">
        <f t="shared" si="88"/>
        <v>0.54920971363380267</v>
      </c>
      <c r="P351" s="13">
        <f t="shared" si="89"/>
        <v>0.40989484468991</v>
      </c>
      <c r="Q351" s="3">
        <v>0.35199999999999998</v>
      </c>
      <c r="U351" s="31">
        <f t="shared" si="75"/>
        <v>0.99482674999999987</v>
      </c>
    </row>
    <row r="352" spans="3:21" x14ac:dyDescent="0.2">
      <c r="C352" s="12">
        <f t="shared" si="76"/>
        <v>2636.9828591999999</v>
      </c>
      <c r="D352" s="13">
        <f t="shared" si="77"/>
        <v>36.704310000000035</v>
      </c>
      <c r="E352" s="12">
        <f t="shared" si="78"/>
        <v>-18.61594950000007</v>
      </c>
      <c r="F352" s="12">
        <f t="shared" si="79"/>
        <v>708.90942600000017</v>
      </c>
      <c r="G352" s="12">
        <f t="shared" si="80"/>
        <v>3184.1754779999997</v>
      </c>
      <c r="H352" s="12">
        <f t="shared" si="81"/>
        <v>7304.15769</v>
      </c>
      <c r="I352" s="12">
        <f t="shared" si="82"/>
        <v>36.337266900000074</v>
      </c>
      <c r="J352" s="22">
        <f t="shared" si="83"/>
        <v>1013437.7340889201</v>
      </c>
      <c r="K352" s="22">
        <f t="shared" si="84"/>
        <v>971991.88190112007</v>
      </c>
      <c r="L352" s="22">
        <f t="shared" si="85"/>
        <v>41445.852187799988</v>
      </c>
      <c r="M352" s="22">
        <f t="shared" si="86"/>
        <v>1184320.7225808001</v>
      </c>
      <c r="N352" s="12">
        <f t="shared" si="87"/>
        <v>0.95910370139803425</v>
      </c>
      <c r="O352" s="12">
        <f t="shared" si="88"/>
        <v>0.54923424373589247</v>
      </c>
      <c r="P352" s="13">
        <f t="shared" si="89"/>
        <v>0.40986945766214178</v>
      </c>
      <c r="Q352" s="5">
        <v>0.35299999999999998</v>
      </c>
      <c r="U352" s="31">
        <f t="shared" si="75"/>
        <v>0.99482674999999987</v>
      </c>
    </row>
    <row r="353" spans="3:21" x14ac:dyDescent="0.2">
      <c r="C353" s="12">
        <f t="shared" si="76"/>
        <v>2644.4530656000002</v>
      </c>
      <c r="D353" s="13">
        <f t="shared" si="77"/>
        <v>36.647580000000033</v>
      </c>
      <c r="E353" s="12">
        <f t="shared" si="78"/>
        <v>-18.672679500000072</v>
      </c>
      <c r="F353" s="12">
        <f t="shared" si="79"/>
        <v>710.91766800000016</v>
      </c>
      <c r="G353" s="12">
        <f t="shared" si="80"/>
        <v>3193.5132359999998</v>
      </c>
      <c r="H353" s="12">
        <f t="shared" si="81"/>
        <v>7292.8684200000007</v>
      </c>
      <c r="I353" s="12">
        <f t="shared" si="82"/>
        <v>36.281104200000073</v>
      </c>
      <c r="J353" s="22">
        <f t="shared" si="83"/>
        <v>1016309.5654194602</v>
      </c>
      <c r="K353" s="22">
        <f t="shared" si="84"/>
        <v>974745.39998016017</v>
      </c>
      <c r="L353" s="22">
        <f t="shared" si="85"/>
        <v>41564.165439300006</v>
      </c>
      <c r="M353" s="22">
        <f t="shared" si="86"/>
        <v>1187792.7438096001</v>
      </c>
      <c r="N353" s="12">
        <f t="shared" si="87"/>
        <v>0.95910284931526224</v>
      </c>
      <c r="O353" s="12">
        <f t="shared" si="88"/>
        <v>0.54925863260291052</v>
      </c>
      <c r="P353" s="13">
        <f t="shared" si="89"/>
        <v>0.40984421671235172</v>
      </c>
      <c r="Q353" s="3">
        <v>0.35399999999999998</v>
      </c>
      <c r="U353" s="31">
        <f t="shared" si="75"/>
        <v>0.99482674999999987</v>
      </c>
    </row>
    <row r="354" spans="3:21" x14ac:dyDescent="0.2">
      <c r="C354" s="12">
        <f t="shared" si="76"/>
        <v>2651.923272</v>
      </c>
      <c r="D354" s="13">
        <f t="shared" si="77"/>
        <v>36.590850000000032</v>
      </c>
      <c r="E354" s="12">
        <f t="shared" si="78"/>
        <v>-18.729409500000074</v>
      </c>
      <c r="F354" s="12">
        <f t="shared" si="79"/>
        <v>712.92591000000016</v>
      </c>
      <c r="G354" s="12">
        <f t="shared" si="80"/>
        <v>3202.8509939999994</v>
      </c>
      <c r="H354" s="12">
        <f t="shared" si="81"/>
        <v>7281.5791499999996</v>
      </c>
      <c r="I354" s="12">
        <f t="shared" si="82"/>
        <v>36.224941500000071</v>
      </c>
      <c r="J354" s="22">
        <f t="shared" si="83"/>
        <v>1019181.39675</v>
      </c>
      <c r="K354" s="22">
        <f t="shared" si="84"/>
        <v>977498.91805920005</v>
      </c>
      <c r="L354" s="22">
        <f t="shared" si="85"/>
        <v>41682.478690799908</v>
      </c>
      <c r="M354" s="22">
        <f t="shared" si="86"/>
        <v>1191264.7650384</v>
      </c>
      <c r="N354" s="12">
        <f t="shared" si="87"/>
        <v>0.95910200203445783</v>
      </c>
      <c r="O354" s="12">
        <f t="shared" si="88"/>
        <v>0.54928288145112303</v>
      </c>
      <c r="P354" s="13">
        <f t="shared" si="89"/>
        <v>0.40981912058333481</v>
      </c>
      <c r="Q354" s="5">
        <v>0.35499999999999998</v>
      </c>
      <c r="U354" s="31">
        <f t="shared" si="75"/>
        <v>0.99482674999999987</v>
      </c>
    </row>
    <row r="355" spans="3:21" x14ac:dyDescent="0.2">
      <c r="C355" s="12">
        <f t="shared" si="76"/>
        <v>2659.3934783999998</v>
      </c>
      <c r="D355" s="13">
        <f t="shared" si="77"/>
        <v>36.53412000000003</v>
      </c>
      <c r="E355" s="12">
        <f t="shared" si="78"/>
        <v>-18.786139500000068</v>
      </c>
      <c r="F355" s="12">
        <f t="shared" si="79"/>
        <v>714.93415200000015</v>
      </c>
      <c r="G355" s="12">
        <f t="shared" si="80"/>
        <v>3212.1887519999996</v>
      </c>
      <c r="H355" s="12">
        <f t="shared" si="81"/>
        <v>7270.2898800000003</v>
      </c>
      <c r="I355" s="12">
        <f t="shared" si="82"/>
        <v>36.168778800000077</v>
      </c>
      <c r="J355" s="22">
        <f t="shared" si="83"/>
        <v>1022053.2280805401</v>
      </c>
      <c r="K355" s="22">
        <f t="shared" si="84"/>
        <v>980252.43613824004</v>
      </c>
      <c r="L355" s="22">
        <f t="shared" si="85"/>
        <v>41800.791942300042</v>
      </c>
      <c r="M355" s="22">
        <f t="shared" si="86"/>
        <v>1194736.7862671998</v>
      </c>
      <c r="N355" s="12">
        <f t="shared" si="87"/>
        <v>0.95910115951514219</v>
      </c>
      <c r="O355" s="12">
        <f t="shared" si="88"/>
        <v>0.54930699148287043</v>
      </c>
      <c r="P355" s="13">
        <f t="shared" si="89"/>
        <v>0.40979416803227176</v>
      </c>
      <c r="Q355" s="3">
        <v>0.35599999999999998</v>
      </c>
      <c r="U355" s="31">
        <f t="shared" si="75"/>
        <v>0.99482674999999987</v>
      </c>
    </row>
    <row r="356" spans="3:21" x14ac:dyDescent="0.2">
      <c r="C356" s="12">
        <f t="shared" si="76"/>
        <v>2666.8636848000001</v>
      </c>
      <c r="D356" s="13">
        <f t="shared" si="77"/>
        <v>36.477390000000035</v>
      </c>
      <c r="E356" s="12">
        <f t="shared" si="78"/>
        <v>-18.84286950000007</v>
      </c>
      <c r="F356" s="12">
        <f t="shared" si="79"/>
        <v>716.94239400000015</v>
      </c>
      <c r="G356" s="12">
        <f t="shared" si="80"/>
        <v>3221.5265099999997</v>
      </c>
      <c r="H356" s="12">
        <f t="shared" si="81"/>
        <v>7259.000610000001</v>
      </c>
      <c r="I356" s="12">
        <f t="shared" si="82"/>
        <v>36.112616100000075</v>
      </c>
      <c r="J356" s="22">
        <f t="shared" si="83"/>
        <v>1024925.0594110802</v>
      </c>
      <c r="K356" s="22">
        <f t="shared" si="84"/>
        <v>983005.95421728014</v>
      </c>
      <c r="L356" s="22">
        <f t="shared" si="85"/>
        <v>41919.10519380006</v>
      </c>
      <c r="M356" s="22">
        <f t="shared" si="86"/>
        <v>1198208.8074959998</v>
      </c>
      <c r="N356" s="12">
        <f t="shared" si="87"/>
        <v>0.95910032171729054</v>
      </c>
      <c r="O356" s="12">
        <f t="shared" si="88"/>
        <v>0.5493309638867665</v>
      </c>
      <c r="P356" s="13">
        <f t="shared" si="89"/>
        <v>0.40976935783052404</v>
      </c>
      <c r="Q356" s="5">
        <v>0.35699999999999998</v>
      </c>
      <c r="U356" s="31">
        <f t="shared" si="75"/>
        <v>0.99482674999999987</v>
      </c>
    </row>
    <row r="357" spans="3:21" x14ac:dyDescent="0.2">
      <c r="C357" s="12">
        <f t="shared" si="76"/>
        <v>2674.3338911999999</v>
      </c>
      <c r="D357" s="13">
        <f t="shared" si="77"/>
        <v>36.420660000000034</v>
      </c>
      <c r="E357" s="12">
        <f t="shared" si="78"/>
        <v>-18.899599500000072</v>
      </c>
      <c r="F357" s="12">
        <f t="shared" si="79"/>
        <v>718.95063600000015</v>
      </c>
      <c r="G357" s="12">
        <f t="shared" si="80"/>
        <v>3230.8642679999998</v>
      </c>
      <c r="H357" s="12">
        <f t="shared" si="81"/>
        <v>7247.7113399999998</v>
      </c>
      <c r="I357" s="12">
        <f t="shared" si="82"/>
        <v>36.056453400000073</v>
      </c>
      <c r="J357" s="22">
        <f t="shared" si="83"/>
        <v>1027796.8907416199</v>
      </c>
      <c r="K357" s="22">
        <f t="shared" si="84"/>
        <v>985759.47229632002</v>
      </c>
      <c r="L357" s="22">
        <f t="shared" si="85"/>
        <v>42037.418445299845</v>
      </c>
      <c r="M357" s="22">
        <f t="shared" si="86"/>
        <v>1201680.8287247999</v>
      </c>
      <c r="N357" s="12">
        <f t="shared" si="87"/>
        <v>0.95909948860132543</v>
      </c>
      <c r="O357" s="12">
        <f t="shared" si="88"/>
        <v>0.54935479983789393</v>
      </c>
      <c r="P357" s="13">
        <f t="shared" si="89"/>
        <v>0.40974468876343151</v>
      </c>
      <c r="Q357" s="3">
        <v>0.35799999999999998</v>
      </c>
      <c r="U357" s="31">
        <f t="shared" si="75"/>
        <v>0.99482674999999987</v>
      </c>
    </row>
    <row r="358" spans="3:21" x14ac:dyDescent="0.2">
      <c r="C358" s="12">
        <f t="shared" si="76"/>
        <v>2681.8040975999997</v>
      </c>
      <c r="D358" s="13">
        <f t="shared" si="77"/>
        <v>36.363930000000032</v>
      </c>
      <c r="E358" s="12">
        <f t="shared" si="78"/>
        <v>-18.956329500000074</v>
      </c>
      <c r="F358" s="12">
        <f t="shared" si="79"/>
        <v>720.95887800000014</v>
      </c>
      <c r="G358" s="12">
        <f t="shared" si="80"/>
        <v>3240.2020259999995</v>
      </c>
      <c r="H358" s="12">
        <f t="shared" si="81"/>
        <v>7236.4220699999996</v>
      </c>
      <c r="I358" s="12">
        <f t="shared" si="82"/>
        <v>36.000290700000072</v>
      </c>
      <c r="J358" s="22">
        <f t="shared" si="83"/>
        <v>1030668.72207216</v>
      </c>
      <c r="K358" s="22">
        <f t="shared" si="84"/>
        <v>988512.99037536001</v>
      </c>
      <c r="L358" s="22">
        <f t="shared" si="85"/>
        <v>42155.73169679998</v>
      </c>
      <c r="M358" s="22">
        <f t="shared" si="86"/>
        <v>1205152.8499536</v>
      </c>
      <c r="N358" s="12">
        <f t="shared" si="87"/>
        <v>0.95909866012810996</v>
      </c>
      <c r="O358" s="12">
        <f t="shared" si="88"/>
        <v>0.54937850049799586</v>
      </c>
      <c r="P358" s="13">
        <f t="shared" si="89"/>
        <v>0.4097201596301141</v>
      </c>
      <c r="Q358" s="5">
        <v>0.35899999999999999</v>
      </c>
      <c r="U358" s="31">
        <f t="shared" si="75"/>
        <v>0.99482674999999987</v>
      </c>
    </row>
    <row r="359" spans="3:21" x14ac:dyDescent="0.2">
      <c r="C359" s="12">
        <f t="shared" si="76"/>
        <v>2689.274304</v>
      </c>
      <c r="D359" s="13">
        <f t="shared" si="77"/>
        <v>36.30720000000003</v>
      </c>
      <c r="E359" s="12">
        <f t="shared" si="78"/>
        <v>-19.013059500000068</v>
      </c>
      <c r="F359" s="12">
        <f t="shared" si="79"/>
        <v>722.96712000000014</v>
      </c>
      <c r="G359" s="12">
        <f t="shared" si="80"/>
        <v>3249.5397839999996</v>
      </c>
      <c r="H359" s="12">
        <f t="shared" si="81"/>
        <v>7225.1328000000003</v>
      </c>
      <c r="I359" s="12">
        <f t="shared" si="82"/>
        <v>35.944128000000077</v>
      </c>
      <c r="J359" s="22">
        <f t="shared" si="83"/>
        <v>1033540.5534027001</v>
      </c>
      <c r="K359" s="22">
        <f t="shared" si="84"/>
        <v>991266.50845440011</v>
      </c>
      <c r="L359" s="22">
        <f t="shared" si="85"/>
        <v>42274.044948299997</v>
      </c>
      <c r="M359" s="22">
        <f t="shared" si="86"/>
        <v>1208624.8711824</v>
      </c>
      <c r="N359" s="12">
        <f t="shared" si="87"/>
        <v>0.95909783625894296</v>
      </c>
      <c r="O359" s="12">
        <f t="shared" si="88"/>
        <v>0.54940206701566463</v>
      </c>
      <c r="P359" s="13">
        <f t="shared" si="89"/>
        <v>0.40969576924327833</v>
      </c>
      <c r="Q359" s="3">
        <v>0.36</v>
      </c>
      <c r="U359" s="31">
        <f t="shared" si="75"/>
        <v>0.99482674999999987</v>
      </c>
    </row>
    <row r="360" spans="3:21" x14ac:dyDescent="0.2">
      <c r="C360" s="12">
        <f t="shared" si="76"/>
        <v>2696.7445103999999</v>
      </c>
      <c r="D360" s="13">
        <f t="shared" si="77"/>
        <v>36.250470000000035</v>
      </c>
      <c r="E360" s="12">
        <f t="shared" si="78"/>
        <v>-19.06978950000007</v>
      </c>
      <c r="F360" s="12">
        <f t="shared" si="79"/>
        <v>724.97536200000013</v>
      </c>
      <c r="G360" s="12">
        <f t="shared" si="80"/>
        <v>3258.8775419999997</v>
      </c>
      <c r="H360" s="12">
        <f t="shared" si="81"/>
        <v>7213.843530000001</v>
      </c>
      <c r="I360" s="12">
        <f t="shared" si="82"/>
        <v>35.887965300000076</v>
      </c>
      <c r="J360" s="22">
        <f t="shared" si="83"/>
        <v>1036412.3847332399</v>
      </c>
      <c r="K360" s="22">
        <f t="shared" si="84"/>
        <v>994020.02653343999</v>
      </c>
      <c r="L360" s="22">
        <f t="shared" si="85"/>
        <v>42392.358199799899</v>
      </c>
      <c r="M360" s="22">
        <f t="shared" si="86"/>
        <v>1212096.8924111999</v>
      </c>
      <c r="N360" s="12">
        <f t="shared" si="87"/>
        <v>0.95909701695555172</v>
      </c>
      <c r="O360" s="12">
        <f t="shared" si="88"/>
        <v>0.54942550052652761</v>
      </c>
      <c r="P360" s="13">
        <f t="shared" si="89"/>
        <v>0.40967151642902411</v>
      </c>
      <c r="Q360" s="5">
        <v>0.36099999999999999</v>
      </c>
      <c r="U360" s="31">
        <f t="shared" si="75"/>
        <v>0.99482674999999987</v>
      </c>
    </row>
    <row r="361" spans="3:21" x14ac:dyDescent="0.2">
      <c r="C361" s="12">
        <f t="shared" si="76"/>
        <v>2704.2147167999997</v>
      </c>
      <c r="D361" s="13">
        <f t="shared" si="77"/>
        <v>36.193740000000034</v>
      </c>
      <c r="E361" s="12">
        <f t="shared" si="78"/>
        <v>-19.126519500000072</v>
      </c>
      <c r="F361" s="12">
        <f t="shared" si="79"/>
        <v>726.98360400000013</v>
      </c>
      <c r="G361" s="12">
        <f t="shared" si="80"/>
        <v>3268.2152999999994</v>
      </c>
      <c r="H361" s="12">
        <f t="shared" si="81"/>
        <v>7202.5542599999999</v>
      </c>
      <c r="I361" s="12">
        <f t="shared" si="82"/>
        <v>35.831802600000074</v>
      </c>
      <c r="J361" s="22">
        <f t="shared" si="83"/>
        <v>1039284.21606378</v>
      </c>
      <c r="K361" s="22">
        <f t="shared" si="84"/>
        <v>996773.54461247998</v>
      </c>
      <c r="L361" s="22">
        <f t="shared" si="85"/>
        <v>42510.671451300033</v>
      </c>
      <c r="M361" s="22">
        <f t="shared" si="86"/>
        <v>1215568.9136399997</v>
      </c>
      <c r="N361" s="12">
        <f t="shared" si="87"/>
        <v>0.95909620218008662</v>
      </c>
      <c r="O361" s="12">
        <f t="shared" si="88"/>
        <v>0.54944880215342995</v>
      </c>
      <c r="P361" s="13">
        <f t="shared" si="89"/>
        <v>0.40964740002665667</v>
      </c>
      <c r="Q361" s="3">
        <v>0.36199999999999999</v>
      </c>
      <c r="U361" s="31">
        <f t="shared" si="75"/>
        <v>0.99482674999999987</v>
      </c>
    </row>
    <row r="362" spans="3:21" x14ac:dyDescent="0.2">
      <c r="C362" s="12">
        <f t="shared" si="76"/>
        <v>2711.6849232</v>
      </c>
      <c r="D362" s="13">
        <f t="shared" si="77"/>
        <v>36.137010000000032</v>
      </c>
      <c r="E362" s="12">
        <f t="shared" si="78"/>
        <v>-19.183249500000073</v>
      </c>
      <c r="F362" s="12">
        <f t="shared" si="79"/>
        <v>728.99184600000024</v>
      </c>
      <c r="G362" s="12">
        <f t="shared" si="80"/>
        <v>3277.5530579999995</v>
      </c>
      <c r="H362" s="12">
        <f t="shared" si="81"/>
        <v>7191.2649900000006</v>
      </c>
      <c r="I362" s="12">
        <f t="shared" si="82"/>
        <v>35.775639900000073</v>
      </c>
      <c r="J362" s="22">
        <f t="shared" si="83"/>
        <v>1042156.04739432</v>
      </c>
      <c r="K362" s="22">
        <f t="shared" si="84"/>
        <v>999527.06269152008</v>
      </c>
      <c r="L362" s="22">
        <f t="shared" si="85"/>
        <v>42628.984702799935</v>
      </c>
      <c r="M362" s="22">
        <f t="shared" si="86"/>
        <v>1219040.9348688</v>
      </c>
      <c r="N362" s="12">
        <f t="shared" si="87"/>
        <v>0.95909539189511561</v>
      </c>
      <c r="O362" s="12">
        <f t="shared" si="88"/>
        <v>0.54947197300661321</v>
      </c>
      <c r="P362" s="13">
        <f t="shared" si="89"/>
        <v>0.4096234188885024</v>
      </c>
      <c r="Q362" s="5">
        <v>0.36299999999999999</v>
      </c>
      <c r="U362" s="31">
        <f t="shared" si="75"/>
        <v>0.99482674999999987</v>
      </c>
    </row>
    <row r="363" spans="3:21" x14ac:dyDescent="0.2">
      <c r="C363" s="12">
        <f t="shared" si="76"/>
        <v>2719.1551295999998</v>
      </c>
      <c r="D363" s="13">
        <f t="shared" si="77"/>
        <v>36.08028000000003</v>
      </c>
      <c r="E363" s="12">
        <f t="shared" si="78"/>
        <v>-19.239979500000068</v>
      </c>
      <c r="F363" s="12">
        <f t="shared" si="79"/>
        <v>731.00008800000012</v>
      </c>
      <c r="G363" s="12">
        <f t="shared" si="80"/>
        <v>3286.8908159999992</v>
      </c>
      <c r="H363" s="12">
        <f t="shared" si="81"/>
        <v>7179.9757200000004</v>
      </c>
      <c r="I363" s="12">
        <f t="shared" si="82"/>
        <v>35.719477200000078</v>
      </c>
      <c r="J363" s="22">
        <f t="shared" si="83"/>
        <v>1045027.8787248599</v>
      </c>
      <c r="K363" s="22">
        <f t="shared" si="84"/>
        <v>1002280.58077056</v>
      </c>
      <c r="L363" s="22">
        <f t="shared" si="85"/>
        <v>42747.297954299953</v>
      </c>
      <c r="M363" s="22">
        <f t="shared" si="86"/>
        <v>1222512.9560975998</v>
      </c>
      <c r="N363" s="12">
        <f t="shared" si="87"/>
        <v>0.95909458606361764</v>
      </c>
      <c r="O363" s="12">
        <f t="shared" si="88"/>
        <v>0.54949501418389168</v>
      </c>
      <c r="P363" s="13">
        <f t="shared" si="89"/>
        <v>0.40959957187972595</v>
      </c>
      <c r="Q363" s="3">
        <v>0.36399999999999999</v>
      </c>
      <c r="U363" s="31">
        <f t="shared" si="75"/>
        <v>0.99482674999999987</v>
      </c>
    </row>
    <row r="364" spans="3:21" x14ac:dyDescent="0.2">
      <c r="C364" s="12">
        <f t="shared" si="76"/>
        <v>2726.6253360000001</v>
      </c>
      <c r="D364" s="13">
        <f t="shared" si="77"/>
        <v>36.023550000000036</v>
      </c>
      <c r="E364" s="12">
        <f t="shared" si="78"/>
        <v>-19.29670950000007</v>
      </c>
      <c r="F364" s="12">
        <f t="shared" si="79"/>
        <v>733.00833000000023</v>
      </c>
      <c r="G364" s="12">
        <f t="shared" si="80"/>
        <v>3296.2285739999998</v>
      </c>
      <c r="H364" s="12">
        <f t="shared" si="81"/>
        <v>7168.6864499999992</v>
      </c>
      <c r="I364" s="12">
        <f t="shared" si="82"/>
        <v>35.663314500000077</v>
      </c>
      <c r="J364" s="22">
        <f t="shared" si="83"/>
        <v>1047899.7100554</v>
      </c>
      <c r="K364" s="22">
        <f t="shared" si="84"/>
        <v>1005034.0988496001</v>
      </c>
      <c r="L364" s="22">
        <f t="shared" si="85"/>
        <v>42865.611205799971</v>
      </c>
      <c r="M364" s="22">
        <f t="shared" si="86"/>
        <v>1225984.9773264001</v>
      </c>
      <c r="N364" s="12">
        <f t="shared" si="87"/>
        <v>0.95909378464897777</v>
      </c>
      <c r="O364" s="12">
        <f t="shared" si="88"/>
        <v>0.54951792677082645</v>
      </c>
      <c r="P364" s="13">
        <f t="shared" si="89"/>
        <v>0.40957585787815132</v>
      </c>
      <c r="Q364" s="5">
        <v>0.36499999999999999</v>
      </c>
      <c r="U364" s="31">
        <f t="shared" si="75"/>
        <v>0.99482674999999987</v>
      </c>
    </row>
    <row r="365" spans="3:21" x14ac:dyDescent="0.2">
      <c r="C365" s="12">
        <f t="shared" si="76"/>
        <v>2734.0955423999999</v>
      </c>
      <c r="D365" s="13">
        <f t="shared" si="77"/>
        <v>35.966820000000027</v>
      </c>
      <c r="E365" s="12">
        <f t="shared" si="78"/>
        <v>-19.353439500000071</v>
      </c>
      <c r="F365" s="12">
        <f t="shared" si="79"/>
        <v>735.01657200000011</v>
      </c>
      <c r="G365" s="12">
        <f t="shared" si="80"/>
        <v>3305.5663319999994</v>
      </c>
      <c r="H365" s="12">
        <f t="shared" si="81"/>
        <v>7157.3971799999999</v>
      </c>
      <c r="I365" s="12">
        <f t="shared" si="82"/>
        <v>35.607151800000068</v>
      </c>
      <c r="J365" s="22">
        <f t="shared" si="83"/>
        <v>1050771.54138594</v>
      </c>
      <c r="K365" s="22">
        <f t="shared" si="84"/>
        <v>1007787.6169286401</v>
      </c>
      <c r="L365" s="22">
        <f t="shared" si="85"/>
        <v>42983.924457299989</v>
      </c>
      <c r="M365" s="22">
        <f t="shared" si="86"/>
        <v>1229456.9985551997</v>
      </c>
      <c r="N365" s="12">
        <f t="shared" si="87"/>
        <v>0.95909298761498119</v>
      </c>
      <c r="O365" s="12">
        <f t="shared" si="88"/>
        <v>0.54954071184089537</v>
      </c>
      <c r="P365" s="13">
        <f t="shared" si="89"/>
        <v>0.40955227577408582</v>
      </c>
      <c r="Q365" s="3">
        <v>0.36599999999999999</v>
      </c>
      <c r="U365" s="31">
        <f t="shared" si="75"/>
        <v>0.99482674999999987</v>
      </c>
    </row>
    <row r="366" spans="3:21" x14ac:dyDescent="0.2">
      <c r="C366" s="12">
        <f t="shared" si="76"/>
        <v>2741.5657487999997</v>
      </c>
      <c r="D366" s="13">
        <f t="shared" si="77"/>
        <v>35.910090000000032</v>
      </c>
      <c r="E366" s="12">
        <f t="shared" si="78"/>
        <v>-19.410169500000073</v>
      </c>
      <c r="F366" s="12">
        <f t="shared" si="79"/>
        <v>737.02481400000022</v>
      </c>
      <c r="G366" s="12">
        <f t="shared" si="80"/>
        <v>3314.9040899999995</v>
      </c>
      <c r="H366" s="12">
        <f t="shared" si="81"/>
        <v>7146.1079100000006</v>
      </c>
      <c r="I366" s="12">
        <f t="shared" si="82"/>
        <v>35.550989100000074</v>
      </c>
      <c r="J366" s="22">
        <f t="shared" si="83"/>
        <v>1053643.3727164799</v>
      </c>
      <c r="K366" s="22">
        <f t="shared" si="84"/>
        <v>1010541.1350076799</v>
      </c>
      <c r="L366" s="22">
        <f t="shared" si="85"/>
        <v>43102.237708800007</v>
      </c>
      <c r="M366" s="22">
        <f t="shared" si="86"/>
        <v>1232929.0197839998</v>
      </c>
      <c r="N366" s="12">
        <f t="shared" si="87"/>
        <v>0.95909219492580799</v>
      </c>
      <c r="O366" s="12">
        <f t="shared" si="88"/>
        <v>0.54956337045566139</v>
      </c>
      <c r="P366" s="13">
        <f t="shared" si="89"/>
        <v>0.4095288244701466</v>
      </c>
      <c r="Q366" s="5">
        <v>0.36699999999999999</v>
      </c>
      <c r="U366" s="31">
        <f t="shared" si="75"/>
        <v>0.99482674999999987</v>
      </c>
    </row>
    <row r="367" spans="3:21" x14ac:dyDescent="0.2">
      <c r="C367" s="12">
        <f t="shared" si="76"/>
        <v>2749.0359551999995</v>
      </c>
      <c r="D367" s="13">
        <f t="shared" si="77"/>
        <v>35.853360000000031</v>
      </c>
      <c r="E367" s="12">
        <f t="shared" si="78"/>
        <v>-19.466899500000068</v>
      </c>
      <c r="F367" s="12">
        <f t="shared" si="79"/>
        <v>739.0330560000001</v>
      </c>
      <c r="G367" s="12">
        <f t="shared" si="80"/>
        <v>3324.2418479999992</v>
      </c>
      <c r="H367" s="12">
        <f t="shared" si="81"/>
        <v>7134.8186399999995</v>
      </c>
      <c r="I367" s="12">
        <f t="shared" si="82"/>
        <v>35.494826400000072</v>
      </c>
      <c r="J367" s="22">
        <f t="shared" si="83"/>
        <v>1056515.2040470201</v>
      </c>
      <c r="K367" s="22">
        <f t="shared" si="84"/>
        <v>1013294.6530867199</v>
      </c>
      <c r="L367" s="22">
        <f t="shared" si="85"/>
        <v>43220.550960300141</v>
      </c>
      <c r="M367" s="22">
        <f t="shared" si="86"/>
        <v>1236401.0410127998</v>
      </c>
      <c r="N367" s="12">
        <f t="shared" si="87"/>
        <v>0.95909140654602765</v>
      </c>
      <c r="O367" s="12">
        <f t="shared" si="88"/>
        <v>0.54958590366493587</v>
      </c>
      <c r="P367" s="13">
        <f t="shared" si="89"/>
        <v>0.40950550288109178</v>
      </c>
      <c r="Q367" s="3">
        <v>0.36799999999999999</v>
      </c>
      <c r="U367" s="31">
        <f t="shared" si="75"/>
        <v>0.99482674999999987</v>
      </c>
    </row>
    <row r="368" spans="3:21" x14ac:dyDescent="0.2">
      <c r="C368" s="12">
        <f t="shared" si="76"/>
        <v>2756.5061616000003</v>
      </c>
      <c r="D368" s="13">
        <f t="shared" si="77"/>
        <v>35.796630000000036</v>
      </c>
      <c r="E368" s="12">
        <f t="shared" si="78"/>
        <v>-19.523629500000077</v>
      </c>
      <c r="F368" s="12">
        <f t="shared" si="79"/>
        <v>741.04129800000021</v>
      </c>
      <c r="G368" s="12">
        <f t="shared" si="80"/>
        <v>3333.5796059999998</v>
      </c>
      <c r="H368" s="12">
        <f t="shared" si="81"/>
        <v>7123.5293700000002</v>
      </c>
      <c r="I368" s="12">
        <f t="shared" si="82"/>
        <v>35.43866370000007</v>
      </c>
      <c r="J368" s="22">
        <f t="shared" si="83"/>
        <v>1059387.0353775602</v>
      </c>
      <c r="K368" s="22">
        <f t="shared" si="84"/>
        <v>1016048.1711657601</v>
      </c>
      <c r="L368" s="22">
        <f t="shared" si="85"/>
        <v>43338.864211800043</v>
      </c>
      <c r="M368" s="22">
        <f t="shared" si="86"/>
        <v>1239873.0622416001</v>
      </c>
      <c r="N368" s="12">
        <f t="shared" si="87"/>
        <v>0.9590906224405944</v>
      </c>
      <c r="O368" s="12">
        <f t="shared" si="88"/>
        <v>0.54960831250694264</v>
      </c>
      <c r="P368" s="13">
        <f t="shared" si="89"/>
        <v>0.40948230993365176</v>
      </c>
      <c r="Q368" s="5">
        <v>0.36899999999999999</v>
      </c>
      <c r="U368" s="31">
        <f t="shared" si="75"/>
        <v>0.99482674999999987</v>
      </c>
    </row>
    <row r="369" spans="3:21" x14ac:dyDescent="0.2">
      <c r="C369" s="12">
        <f t="shared" si="76"/>
        <v>2763.9763679999996</v>
      </c>
      <c r="D369" s="13">
        <f t="shared" si="77"/>
        <v>35.739900000000027</v>
      </c>
      <c r="E369" s="12">
        <f t="shared" si="78"/>
        <v>-19.580359500000071</v>
      </c>
      <c r="F369" s="12">
        <f t="shared" si="79"/>
        <v>743.04954000000009</v>
      </c>
      <c r="G369" s="12">
        <f t="shared" si="80"/>
        <v>3342.9173639999995</v>
      </c>
      <c r="H369" s="12">
        <f t="shared" si="81"/>
        <v>7112.2401</v>
      </c>
      <c r="I369" s="12">
        <f t="shared" si="82"/>
        <v>35.382501000000076</v>
      </c>
      <c r="J369" s="22">
        <f t="shared" si="83"/>
        <v>1062258.8667080998</v>
      </c>
      <c r="K369" s="22">
        <f t="shared" si="84"/>
        <v>1018801.6892447999</v>
      </c>
      <c r="L369" s="22">
        <f t="shared" si="85"/>
        <v>43457.177463299944</v>
      </c>
      <c r="M369" s="22">
        <f t="shared" si="86"/>
        <v>1243345.0834704</v>
      </c>
      <c r="N369" s="12">
        <f t="shared" si="87"/>
        <v>0.95908984257484042</v>
      </c>
      <c r="O369" s="12">
        <f t="shared" si="88"/>
        <v>0.54963059800847636</v>
      </c>
      <c r="P369" s="13">
        <f t="shared" si="89"/>
        <v>0.40945924456636407</v>
      </c>
      <c r="Q369" s="3">
        <v>0.37</v>
      </c>
      <c r="U369" s="31">
        <f t="shared" si="75"/>
        <v>0.99482674999999987</v>
      </c>
    </row>
    <row r="370" spans="3:21" x14ac:dyDescent="0.2">
      <c r="C370" s="12">
        <f t="shared" si="76"/>
        <v>2771.4465743999999</v>
      </c>
      <c r="D370" s="13">
        <f t="shared" si="77"/>
        <v>35.683170000000032</v>
      </c>
      <c r="E370" s="12">
        <f t="shared" si="78"/>
        <v>-19.637089500000073</v>
      </c>
      <c r="F370" s="12">
        <f t="shared" si="79"/>
        <v>745.0577820000002</v>
      </c>
      <c r="G370" s="12">
        <f t="shared" si="80"/>
        <v>3352.2551219999996</v>
      </c>
      <c r="H370" s="12">
        <f t="shared" si="81"/>
        <v>7100.9508300000007</v>
      </c>
      <c r="I370" s="12">
        <f t="shared" si="82"/>
        <v>35.326338300000074</v>
      </c>
      <c r="J370" s="22">
        <f t="shared" si="83"/>
        <v>1065130.69803864</v>
      </c>
      <c r="K370" s="22">
        <f t="shared" si="84"/>
        <v>1021555.20732384</v>
      </c>
      <c r="L370" s="22">
        <f t="shared" si="85"/>
        <v>43575.490714799962</v>
      </c>
      <c r="M370" s="22">
        <f t="shared" si="86"/>
        <v>1246817.1046991998</v>
      </c>
      <c r="N370" s="12">
        <f t="shared" si="87"/>
        <v>0.95908906691447249</v>
      </c>
      <c r="O370" s="12">
        <f t="shared" si="88"/>
        <v>0.5496527611850589</v>
      </c>
      <c r="P370" s="13">
        <f t="shared" si="89"/>
        <v>0.40943630572941359</v>
      </c>
      <c r="Q370" s="5">
        <v>0.371</v>
      </c>
      <c r="U370" s="31">
        <f t="shared" si="75"/>
        <v>0.99482674999999987</v>
      </c>
    </row>
    <row r="371" spans="3:21" x14ac:dyDescent="0.2">
      <c r="C371" s="12">
        <f t="shared" si="76"/>
        <v>2778.9167807999997</v>
      </c>
      <c r="D371" s="13">
        <f t="shared" si="77"/>
        <v>35.626440000000031</v>
      </c>
      <c r="E371" s="12">
        <f t="shared" si="78"/>
        <v>-19.693819500000075</v>
      </c>
      <c r="F371" s="12">
        <f t="shared" si="79"/>
        <v>747.06602400000008</v>
      </c>
      <c r="G371" s="12">
        <f t="shared" si="80"/>
        <v>3361.5928799999992</v>
      </c>
      <c r="H371" s="12">
        <f t="shared" si="81"/>
        <v>7089.6615599999996</v>
      </c>
      <c r="I371" s="12">
        <f t="shared" si="82"/>
        <v>35.270175600000073</v>
      </c>
      <c r="J371" s="22">
        <f t="shared" si="83"/>
        <v>1068002.5293691801</v>
      </c>
      <c r="K371" s="22">
        <f t="shared" si="84"/>
        <v>1024308.72540288</v>
      </c>
      <c r="L371" s="22">
        <f t="shared" si="85"/>
        <v>43693.803966300096</v>
      </c>
      <c r="M371" s="22">
        <f t="shared" si="86"/>
        <v>1250289.1259279998</v>
      </c>
      <c r="N371" s="12">
        <f t="shared" si="87"/>
        <v>0.95908829542556606</v>
      </c>
      <c r="O371" s="12">
        <f t="shared" si="88"/>
        <v>0.54967480304109517</v>
      </c>
      <c r="P371" s="13">
        <f t="shared" si="89"/>
        <v>0.40941349238447089</v>
      </c>
      <c r="Q371" s="3">
        <v>0.372</v>
      </c>
      <c r="U371" s="31">
        <f t="shared" si="75"/>
        <v>0.99482674999999987</v>
      </c>
    </row>
    <row r="372" spans="3:21" x14ac:dyDescent="0.2">
      <c r="C372" s="12">
        <f t="shared" si="76"/>
        <v>2786.3869872</v>
      </c>
      <c r="D372" s="13">
        <f t="shared" si="77"/>
        <v>35.569710000000029</v>
      </c>
      <c r="E372" s="12">
        <f t="shared" si="78"/>
        <v>-19.750549500000076</v>
      </c>
      <c r="F372" s="12">
        <f t="shared" si="79"/>
        <v>749.07426600000019</v>
      </c>
      <c r="G372" s="12">
        <f t="shared" si="80"/>
        <v>3370.9306379999998</v>
      </c>
      <c r="H372" s="12">
        <f t="shared" si="81"/>
        <v>7078.3722900000002</v>
      </c>
      <c r="I372" s="12">
        <f t="shared" si="82"/>
        <v>35.214012900000064</v>
      </c>
      <c r="J372" s="22">
        <f t="shared" si="83"/>
        <v>1070874.36069972</v>
      </c>
      <c r="K372" s="22">
        <f t="shared" si="84"/>
        <v>1027062.2434819201</v>
      </c>
      <c r="L372" s="22">
        <f t="shared" si="85"/>
        <v>43812.117217799881</v>
      </c>
      <c r="M372" s="22">
        <f t="shared" si="86"/>
        <v>1253761.1471567999</v>
      </c>
      <c r="N372" s="12">
        <f t="shared" si="87"/>
        <v>0.95908752807456088</v>
      </c>
      <c r="O372" s="12">
        <f t="shared" si="88"/>
        <v>0.54969672457002361</v>
      </c>
      <c r="P372" s="13">
        <f t="shared" si="89"/>
        <v>0.40939080350453727</v>
      </c>
      <c r="Q372" s="5">
        <v>0.373</v>
      </c>
      <c r="U372" s="31">
        <f t="shared" si="75"/>
        <v>0.99482674999999987</v>
      </c>
    </row>
    <row r="373" spans="3:21" x14ac:dyDescent="0.2">
      <c r="C373" s="12">
        <f t="shared" si="76"/>
        <v>2793.8571935999998</v>
      </c>
      <c r="D373" s="13">
        <f t="shared" si="77"/>
        <v>35.512980000000027</v>
      </c>
      <c r="E373" s="12">
        <f t="shared" si="78"/>
        <v>-19.807279500000071</v>
      </c>
      <c r="F373" s="12">
        <f t="shared" si="79"/>
        <v>751.08250800000008</v>
      </c>
      <c r="G373" s="12">
        <f t="shared" si="80"/>
        <v>3380.2683959999995</v>
      </c>
      <c r="H373" s="12">
        <f t="shared" si="81"/>
        <v>7067.08302</v>
      </c>
      <c r="I373" s="12">
        <f t="shared" si="82"/>
        <v>35.157850200000077</v>
      </c>
      <c r="J373" s="22">
        <f t="shared" si="83"/>
        <v>1073746.1920302599</v>
      </c>
      <c r="K373" s="22">
        <f t="shared" si="84"/>
        <v>1029815.76156096</v>
      </c>
      <c r="L373" s="22">
        <f t="shared" si="85"/>
        <v>43930.430469299899</v>
      </c>
      <c r="M373" s="22">
        <f t="shared" si="86"/>
        <v>1257233.1683856</v>
      </c>
      <c r="N373" s="12">
        <f t="shared" si="87"/>
        <v>0.95908676482825483</v>
      </c>
      <c r="O373" s="12">
        <f t="shared" si="88"/>
        <v>0.54971852675446564</v>
      </c>
      <c r="P373" s="13">
        <f t="shared" si="89"/>
        <v>0.40936823807378919</v>
      </c>
      <c r="Q373" s="3">
        <v>0.374</v>
      </c>
      <c r="U373" s="31">
        <f t="shared" si="75"/>
        <v>0.99482674999999987</v>
      </c>
    </row>
    <row r="374" spans="3:21" x14ac:dyDescent="0.2">
      <c r="C374" s="12">
        <f t="shared" si="76"/>
        <v>2801.3274000000001</v>
      </c>
      <c r="D374" s="13">
        <f t="shared" si="77"/>
        <v>35.456250000000033</v>
      </c>
      <c r="E374" s="12">
        <f t="shared" si="78"/>
        <v>-19.864009500000073</v>
      </c>
      <c r="F374" s="12">
        <f t="shared" si="79"/>
        <v>753.09075000000018</v>
      </c>
      <c r="G374" s="12">
        <f t="shared" si="80"/>
        <v>3389.6061539999996</v>
      </c>
      <c r="H374" s="12">
        <f t="shared" si="81"/>
        <v>7055.7937499999998</v>
      </c>
      <c r="I374" s="12">
        <f t="shared" si="82"/>
        <v>35.101687500000068</v>
      </c>
      <c r="J374" s="22">
        <f t="shared" si="83"/>
        <v>1076618.0233608002</v>
      </c>
      <c r="K374" s="22">
        <f t="shared" si="84"/>
        <v>1032569.2796400001</v>
      </c>
      <c r="L374" s="22">
        <f t="shared" si="85"/>
        <v>44048.74372080015</v>
      </c>
      <c r="M374" s="22">
        <f t="shared" si="86"/>
        <v>1260705.1896144</v>
      </c>
      <c r="N374" s="12">
        <f t="shared" si="87"/>
        <v>0.95908600565380064</v>
      </c>
      <c r="O374" s="12">
        <f t="shared" si="88"/>
        <v>0.54974021056637246</v>
      </c>
      <c r="P374" s="13">
        <f t="shared" si="89"/>
        <v>0.40934579508742819</v>
      </c>
      <c r="Q374" s="5">
        <v>0.375</v>
      </c>
      <c r="U374" s="31">
        <f t="shared" si="75"/>
        <v>0.99482674999999987</v>
      </c>
    </row>
    <row r="375" spans="3:21" x14ac:dyDescent="0.2">
      <c r="C375" s="12">
        <f t="shared" si="76"/>
        <v>2808.7976064000004</v>
      </c>
      <c r="D375" s="13">
        <f t="shared" si="77"/>
        <v>35.399520000000031</v>
      </c>
      <c r="E375" s="12">
        <f t="shared" si="78"/>
        <v>-19.920739500000074</v>
      </c>
      <c r="F375" s="12">
        <f t="shared" si="79"/>
        <v>755.09899200000029</v>
      </c>
      <c r="G375" s="12">
        <f t="shared" si="80"/>
        <v>3398.9439120000002</v>
      </c>
      <c r="H375" s="12">
        <f t="shared" si="81"/>
        <v>7044.5044799999996</v>
      </c>
      <c r="I375" s="12">
        <f t="shared" si="82"/>
        <v>35.045524800000067</v>
      </c>
      <c r="J375" s="22">
        <f t="shared" si="83"/>
        <v>1079489.8546913401</v>
      </c>
      <c r="K375" s="22">
        <f t="shared" si="84"/>
        <v>1035322.7977190402</v>
      </c>
      <c r="L375" s="22">
        <f t="shared" si="85"/>
        <v>44167.056972299935</v>
      </c>
      <c r="M375" s="22">
        <f t="shared" si="86"/>
        <v>1264177.2108432003</v>
      </c>
      <c r="N375" s="12">
        <f t="shared" si="87"/>
        <v>0.95908525051870108</v>
      </c>
      <c r="O375" s="12">
        <f t="shared" si="88"/>
        <v>0.5497617769671701</v>
      </c>
      <c r="P375" s="13">
        <f t="shared" si="89"/>
        <v>0.40932347355153098</v>
      </c>
      <c r="Q375" s="3">
        <v>0.376</v>
      </c>
      <c r="U375" s="31">
        <f t="shared" si="75"/>
        <v>0.99482674999999987</v>
      </c>
    </row>
    <row r="376" spans="3:21" x14ac:dyDescent="0.2">
      <c r="C376" s="12">
        <f t="shared" si="76"/>
        <v>2816.2678128000002</v>
      </c>
      <c r="D376" s="13">
        <f t="shared" si="77"/>
        <v>35.342790000000029</v>
      </c>
      <c r="E376" s="12">
        <f t="shared" si="78"/>
        <v>-19.977469500000076</v>
      </c>
      <c r="F376" s="12">
        <f t="shared" si="79"/>
        <v>757.10723400000018</v>
      </c>
      <c r="G376" s="12">
        <f t="shared" si="80"/>
        <v>3408.2816699999998</v>
      </c>
      <c r="H376" s="12">
        <f t="shared" si="81"/>
        <v>7033.2152100000003</v>
      </c>
      <c r="I376" s="12">
        <f t="shared" si="82"/>
        <v>34.989362100000065</v>
      </c>
      <c r="J376" s="22">
        <f t="shared" si="83"/>
        <v>1082361.68602188</v>
      </c>
      <c r="K376" s="22">
        <f t="shared" si="84"/>
        <v>1038076.3157980802</v>
      </c>
      <c r="L376" s="22">
        <f t="shared" si="85"/>
        <v>44285.370223799837</v>
      </c>
      <c r="M376" s="22">
        <f t="shared" si="86"/>
        <v>1267649.2320719999</v>
      </c>
      <c r="N376" s="12">
        <f t="shared" si="87"/>
        <v>0.95908449939080287</v>
      </c>
      <c r="O376" s="12">
        <f t="shared" si="88"/>
        <v>0.54978322690790071</v>
      </c>
      <c r="P376" s="13">
        <f t="shared" si="89"/>
        <v>0.40930127248290216</v>
      </c>
      <c r="Q376" s="5">
        <v>0.377</v>
      </c>
      <c r="U376" s="31">
        <f t="shared" si="75"/>
        <v>0.99482674999999987</v>
      </c>
    </row>
    <row r="377" spans="3:21" x14ac:dyDescent="0.2">
      <c r="C377" s="12">
        <f t="shared" si="76"/>
        <v>2823.7380192000001</v>
      </c>
      <c r="D377" s="13">
        <f t="shared" si="77"/>
        <v>35.286060000000035</v>
      </c>
      <c r="E377" s="12">
        <f t="shared" si="78"/>
        <v>-20.034199500000078</v>
      </c>
      <c r="F377" s="12">
        <f t="shared" si="79"/>
        <v>759.11547600000029</v>
      </c>
      <c r="G377" s="12">
        <f t="shared" si="80"/>
        <v>3417.619428</v>
      </c>
      <c r="H377" s="12">
        <f t="shared" si="81"/>
        <v>7021.9259399999992</v>
      </c>
      <c r="I377" s="12">
        <f t="shared" si="82"/>
        <v>34.933199400000063</v>
      </c>
      <c r="J377" s="22">
        <f t="shared" si="83"/>
        <v>1085233.5173524201</v>
      </c>
      <c r="K377" s="22">
        <f t="shared" si="84"/>
        <v>1040829.8338771201</v>
      </c>
      <c r="L377" s="22">
        <f t="shared" si="85"/>
        <v>44403.683475300088</v>
      </c>
      <c r="M377" s="22">
        <f t="shared" si="86"/>
        <v>1271121.2533008</v>
      </c>
      <c r="N377" s="12">
        <f t="shared" si="87"/>
        <v>0.95908375223829323</v>
      </c>
      <c r="O377" s="12">
        <f t="shared" si="88"/>
        <v>0.54980456132936284</v>
      </c>
      <c r="P377" s="13">
        <f t="shared" si="89"/>
        <v>0.40927919090893039</v>
      </c>
      <c r="Q377" s="3">
        <v>0.378</v>
      </c>
      <c r="U377" s="31">
        <f t="shared" si="75"/>
        <v>0.99482674999999987</v>
      </c>
    </row>
    <row r="378" spans="3:21" x14ac:dyDescent="0.2">
      <c r="C378" s="12">
        <f t="shared" si="76"/>
        <v>2831.2082255999999</v>
      </c>
      <c r="D378" s="13">
        <f t="shared" si="77"/>
        <v>35.229330000000033</v>
      </c>
      <c r="E378" s="12">
        <f t="shared" si="78"/>
        <v>-20.090929500000072</v>
      </c>
      <c r="F378" s="12">
        <f t="shared" si="79"/>
        <v>761.12371800000017</v>
      </c>
      <c r="G378" s="12">
        <f t="shared" si="80"/>
        <v>3426.9571859999996</v>
      </c>
      <c r="H378" s="12">
        <f t="shared" si="81"/>
        <v>7010.6366699999999</v>
      </c>
      <c r="I378" s="12">
        <f t="shared" si="82"/>
        <v>34.877036700000069</v>
      </c>
      <c r="J378" s="22">
        <f t="shared" si="83"/>
        <v>1088105.3486829598</v>
      </c>
      <c r="K378" s="22">
        <f t="shared" si="84"/>
        <v>1043583.35195616</v>
      </c>
      <c r="L378" s="22">
        <f t="shared" si="85"/>
        <v>44521.996726799756</v>
      </c>
      <c r="M378" s="22">
        <f t="shared" si="86"/>
        <v>1274593.2745296001</v>
      </c>
      <c r="N378" s="12">
        <f t="shared" si="87"/>
        <v>0.95908300902969634</v>
      </c>
      <c r="O378" s="12">
        <f t="shared" si="88"/>
        <v>0.54982578116224889</v>
      </c>
      <c r="P378" s="13">
        <f t="shared" si="89"/>
        <v>0.40925722786744745</v>
      </c>
      <c r="Q378" s="5">
        <v>0.379</v>
      </c>
      <c r="U378" s="31">
        <f t="shared" si="75"/>
        <v>0.99482674999999987</v>
      </c>
    </row>
    <row r="379" spans="3:21" x14ac:dyDescent="0.2">
      <c r="C379" s="12">
        <f t="shared" si="76"/>
        <v>2838.6784320000006</v>
      </c>
      <c r="D379" s="13">
        <f t="shared" si="77"/>
        <v>35.172600000000031</v>
      </c>
      <c r="E379" s="12">
        <f t="shared" si="78"/>
        <v>-20.147659500000074</v>
      </c>
      <c r="F379" s="12">
        <f t="shared" si="79"/>
        <v>763.13196000000028</v>
      </c>
      <c r="G379" s="12">
        <f t="shared" si="80"/>
        <v>3436.2949440000002</v>
      </c>
      <c r="H379" s="12">
        <f t="shared" si="81"/>
        <v>6999.3473999999997</v>
      </c>
      <c r="I379" s="12">
        <f t="shared" si="82"/>
        <v>34.820874000000067</v>
      </c>
      <c r="J379" s="22">
        <f t="shared" si="83"/>
        <v>1090977.1800135002</v>
      </c>
      <c r="K379" s="22">
        <f t="shared" si="84"/>
        <v>1046336.8700352003</v>
      </c>
      <c r="L379" s="22">
        <f t="shared" si="85"/>
        <v>44640.309978299891</v>
      </c>
      <c r="M379" s="22">
        <f t="shared" si="86"/>
        <v>1278065.2957584001</v>
      </c>
      <c r="N379" s="12">
        <f t="shared" si="87"/>
        <v>0.95908226973386601</v>
      </c>
      <c r="O379" s="12">
        <f t="shared" si="88"/>
        <v>0.54984688732728026</v>
      </c>
      <c r="P379" s="13">
        <f t="shared" si="89"/>
        <v>0.40923538240658575</v>
      </c>
      <c r="Q379" s="3">
        <v>0.38</v>
      </c>
      <c r="U379" s="31">
        <f t="shared" si="75"/>
        <v>0.99482674999999987</v>
      </c>
    </row>
    <row r="380" spans="3:21" x14ac:dyDescent="0.2">
      <c r="C380" s="12">
        <f t="shared" si="76"/>
        <v>2846.1486384</v>
      </c>
      <c r="D380" s="13">
        <f t="shared" si="77"/>
        <v>35.115870000000029</v>
      </c>
      <c r="E380" s="12">
        <f t="shared" si="78"/>
        <v>-20.204389500000076</v>
      </c>
      <c r="F380" s="12">
        <f t="shared" si="79"/>
        <v>765.14020200000016</v>
      </c>
      <c r="G380" s="12">
        <f t="shared" si="80"/>
        <v>3445.6327019999999</v>
      </c>
      <c r="H380" s="12">
        <f t="shared" si="81"/>
        <v>6988.0581300000003</v>
      </c>
      <c r="I380" s="12">
        <f t="shared" si="82"/>
        <v>34.764711300000073</v>
      </c>
      <c r="J380" s="22">
        <f t="shared" si="83"/>
        <v>1093849.01134404</v>
      </c>
      <c r="K380" s="22">
        <f t="shared" si="84"/>
        <v>1049090.38811424</v>
      </c>
      <c r="L380" s="22">
        <f t="shared" si="85"/>
        <v>44758.623229800025</v>
      </c>
      <c r="M380" s="22">
        <f t="shared" si="86"/>
        <v>1281537.3169872002</v>
      </c>
      <c r="N380" s="12">
        <f t="shared" si="87"/>
        <v>0.95908153431998444</v>
      </c>
      <c r="O380" s="12">
        <f t="shared" si="88"/>
        <v>0.54986788073534099</v>
      </c>
      <c r="P380" s="13">
        <f t="shared" si="89"/>
        <v>0.40921365358464346</v>
      </c>
      <c r="Q380" s="5">
        <v>0.38100000000000001</v>
      </c>
      <c r="U380" s="31">
        <f t="shared" si="75"/>
        <v>0.99482674999999987</v>
      </c>
    </row>
    <row r="381" spans="3:21" x14ac:dyDescent="0.2">
      <c r="C381" s="12">
        <f t="shared" si="76"/>
        <v>2853.6188448000003</v>
      </c>
      <c r="D381" s="13">
        <f t="shared" si="77"/>
        <v>35.059140000000035</v>
      </c>
      <c r="E381" s="12">
        <f t="shared" si="78"/>
        <v>-20.261119500000078</v>
      </c>
      <c r="F381" s="12">
        <f t="shared" si="79"/>
        <v>767.14844400000027</v>
      </c>
      <c r="G381" s="12">
        <f t="shared" si="80"/>
        <v>3454.97046</v>
      </c>
      <c r="H381" s="12">
        <f t="shared" si="81"/>
        <v>6976.7688599999992</v>
      </c>
      <c r="I381" s="12">
        <f t="shared" si="82"/>
        <v>34.708548600000071</v>
      </c>
      <c r="J381" s="22">
        <f t="shared" si="83"/>
        <v>1096720.8426745799</v>
      </c>
      <c r="K381" s="22">
        <f t="shared" si="84"/>
        <v>1051843.9061932801</v>
      </c>
      <c r="L381" s="22">
        <f t="shared" si="85"/>
        <v>44876.93648129981</v>
      </c>
      <c r="M381" s="22">
        <f t="shared" si="86"/>
        <v>1285009.338216</v>
      </c>
      <c r="N381" s="12">
        <f t="shared" si="87"/>
        <v>0.95908080275755669</v>
      </c>
      <c r="O381" s="12">
        <f t="shared" si="88"/>
        <v>0.54988876228760797</v>
      </c>
      <c r="P381" s="13">
        <f t="shared" si="89"/>
        <v>0.40919204046994873</v>
      </c>
      <c r="Q381" s="3">
        <v>0.38200000000000001</v>
      </c>
      <c r="U381" s="31">
        <f t="shared" si="75"/>
        <v>0.99482674999999987</v>
      </c>
    </row>
    <row r="382" spans="3:21" x14ac:dyDescent="0.2">
      <c r="C382" s="12">
        <f t="shared" si="76"/>
        <v>2861.0890512000001</v>
      </c>
      <c r="D382" s="13">
        <f t="shared" si="77"/>
        <v>35.002410000000033</v>
      </c>
      <c r="E382" s="12">
        <f t="shared" si="78"/>
        <v>-20.317849500000072</v>
      </c>
      <c r="F382" s="12">
        <f t="shared" si="79"/>
        <v>769.15668600000015</v>
      </c>
      <c r="G382" s="12">
        <f t="shared" si="80"/>
        <v>3464.3082179999997</v>
      </c>
      <c r="H382" s="12">
        <f t="shared" si="81"/>
        <v>6965.4795899999999</v>
      </c>
      <c r="I382" s="12">
        <f t="shared" si="82"/>
        <v>34.652385900000077</v>
      </c>
      <c r="J382" s="22">
        <f t="shared" si="83"/>
        <v>1099592.6740051201</v>
      </c>
      <c r="K382" s="22">
        <f t="shared" si="84"/>
        <v>1054597.42427232</v>
      </c>
      <c r="L382" s="22">
        <f t="shared" si="85"/>
        <v>44995.249732800061</v>
      </c>
      <c r="M382" s="22">
        <f t="shared" si="86"/>
        <v>1288481.3594447998</v>
      </c>
      <c r="N382" s="12">
        <f t="shared" si="87"/>
        <v>0.95908007501640513</v>
      </c>
      <c r="O382" s="12">
        <f t="shared" si="88"/>
        <v>0.54990953287568078</v>
      </c>
      <c r="P382" s="13">
        <f t="shared" si="89"/>
        <v>0.40917054214072435</v>
      </c>
      <c r="Q382" s="5">
        <v>0.38300000000000001</v>
      </c>
      <c r="U382" s="31">
        <f t="shared" si="75"/>
        <v>0.99482674999999987</v>
      </c>
    </row>
    <row r="383" spans="3:21" x14ac:dyDescent="0.2">
      <c r="C383" s="12">
        <f t="shared" si="76"/>
        <v>2868.5592576000004</v>
      </c>
      <c r="D383" s="13">
        <f t="shared" si="77"/>
        <v>34.945680000000031</v>
      </c>
      <c r="E383" s="12">
        <f t="shared" si="78"/>
        <v>-20.374579500000074</v>
      </c>
      <c r="F383" s="12">
        <f t="shared" si="79"/>
        <v>771.16492800000026</v>
      </c>
      <c r="G383" s="12">
        <f t="shared" si="80"/>
        <v>3473.6459760000002</v>
      </c>
      <c r="H383" s="12">
        <f t="shared" si="81"/>
        <v>6954.1903200000006</v>
      </c>
      <c r="I383" s="12">
        <f t="shared" si="82"/>
        <v>34.596223200000068</v>
      </c>
      <c r="J383" s="22">
        <f t="shared" si="83"/>
        <v>1102464.5053356602</v>
      </c>
      <c r="K383" s="22">
        <f t="shared" si="84"/>
        <v>1057350.9423513601</v>
      </c>
      <c r="L383" s="22">
        <f t="shared" si="85"/>
        <v>45113.562984300079</v>
      </c>
      <c r="M383" s="22">
        <f t="shared" si="86"/>
        <v>1291953.3806736001</v>
      </c>
      <c r="N383" s="12">
        <f t="shared" si="87"/>
        <v>0.95907935106666797</v>
      </c>
      <c r="O383" s="12">
        <f t="shared" si="88"/>
        <v>0.54993019338170845</v>
      </c>
      <c r="P383" s="13">
        <f t="shared" si="89"/>
        <v>0.40914915768495952</v>
      </c>
      <c r="Q383" s="3">
        <v>0.38400000000000001</v>
      </c>
      <c r="U383" s="31">
        <f t="shared" si="75"/>
        <v>0.99482674999999987</v>
      </c>
    </row>
    <row r="384" spans="3:21" x14ac:dyDescent="0.2">
      <c r="C384" s="12">
        <f t="shared" si="76"/>
        <v>2876.0294640000002</v>
      </c>
      <c r="D384" s="13">
        <f t="shared" si="77"/>
        <v>34.88895000000003</v>
      </c>
      <c r="E384" s="12">
        <f t="shared" si="78"/>
        <v>-20.431309500000076</v>
      </c>
      <c r="F384" s="12">
        <f t="shared" si="79"/>
        <v>773.17317000000025</v>
      </c>
      <c r="G384" s="12">
        <f t="shared" si="80"/>
        <v>3482.9837339999999</v>
      </c>
      <c r="H384" s="12">
        <f t="shared" si="81"/>
        <v>6942.9010499999995</v>
      </c>
      <c r="I384" s="12">
        <f t="shared" si="82"/>
        <v>34.540060500000067</v>
      </c>
      <c r="J384" s="22">
        <f t="shared" si="83"/>
        <v>1105336.3366662001</v>
      </c>
      <c r="K384" s="22">
        <f t="shared" si="84"/>
        <v>1060104.4604304002</v>
      </c>
      <c r="L384" s="22">
        <f t="shared" si="85"/>
        <v>45231.876235799864</v>
      </c>
      <c r="M384" s="22">
        <f t="shared" si="86"/>
        <v>1295425.4019024002</v>
      </c>
      <c r="N384" s="12">
        <f t="shared" si="87"/>
        <v>0.95907863087879341</v>
      </c>
      <c r="O384" s="12">
        <f t="shared" si="88"/>
        <v>0.54995074467851357</v>
      </c>
      <c r="P384" s="13">
        <f t="shared" si="89"/>
        <v>0.40912788620027984</v>
      </c>
      <c r="Q384" s="5">
        <v>0.38500000000000001</v>
      </c>
      <c r="U384" s="31">
        <f t="shared" si="75"/>
        <v>0.99482674999999987</v>
      </c>
    </row>
    <row r="385" spans="3:21" x14ac:dyDescent="0.2">
      <c r="C385" s="12">
        <f t="shared" si="76"/>
        <v>2883.4996704000005</v>
      </c>
      <c r="D385" s="13">
        <f t="shared" si="77"/>
        <v>34.832220000000035</v>
      </c>
      <c r="E385" s="12">
        <f t="shared" si="78"/>
        <v>-20.488039500000077</v>
      </c>
      <c r="F385" s="12">
        <f t="shared" si="79"/>
        <v>775.18141200000025</v>
      </c>
      <c r="G385" s="12">
        <f t="shared" si="80"/>
        <v>3492.321492</v>
      </c>
      <c r="H385" s="12">
        <f t="shared" si="81"/>
        <v>6931.6117799999993</v>
      </c>
      <c r="I385" s="12">
        <f t="shared" si="82"/>
        <v>34.483897800000065</v>
      </c>
      <c r="J385" s="22">
        <f t="shared" si="83"/>
        <v>1108208.1679967402</v>
      </c>
      <c r="K385" s="22">
        <f t="shared" si="84"/>
        <v>1062857.9785094403</v>
      </c>
      <c r="L385" s="22">
        <f t="shared" si="85"/>
        <v>45350.189487299882</v>
      </c>
      <c r="M385" s="22">
        <f t="shared" si="86"/>
        <v>1298897.4231312003</v>
      </c>
      <c r="N385" s="12">
        <f t="shared" si="87"/>
        <v>0.95907791442353518</v>
      </c>
      <c r="O385" s="12">
        <f t="shared" si="88"/>
        <v>0.54997118762971609</v>
      </c>
      <c r="P385" s="13">
        <f t="shared" si="89"/>
        <v>0.4091067267938191</v>
      </c>
      <c r="Q385" s="3">
        <v>0.38600000000000001</v>
      </c>
      <c r="U385" s="31">
        <f t="shared" si="75"/>
        <v>0.99482674999999987</v>
      </c>
    </row>
    <row r="386" spans="3:21" x14ac:dyDescent="0.2">
      <c r="C386" s="12">
        <f t="shared" si="76"/>
        <v>2890.9698767999998</v>
      </c>
      <c r="D386" s="13">
        <f t="shared" si="77"/>
        <v>34.775490000000026</v>
      </c>
      <c r="E386" s="12">
        <f t="shared" si="78"/>
        <v>-20.544769500000072</v>
      </c>
      <c r="F386" s="12">
        <f t="shared" si="79"/>
        <v>777.18965400000025</v>
      </c>
      <c r="G386" s="12">
        <f t="shared" si="80"/>
        <v>3501.6592499999997</v>
      </c>
      <c r="H386" s="12">
        <f t="shared" si="81"/>
        <v>6920.32251</v>
      </c>
      <c r="I386" s="12">
        <f t="shared" si="82"/>
        <v>34.427735100000071</v>
      </c>
      <c r="J386" s="22">
        <f t="shared" si="83"/>
        <v>1111079.9993272799</v>
      </c>
      <c r="K386" s="22">
        <f t="shared" si="84"/>
        <v>1065611.49658848</v>
      </c>
      <c r="L386" s="22">
        <f t="shared" si="85"/>
        <v>45468.5027387999</v>
      </c>
      <c r="M386" s="22">
        <f t="shared" si="86"/>
        <v>1302369.4443599998</v>
      </c>
      <c r="N386" s="12">
        <f t="shared" si="87"/>
        <v>0.95907720167195032</v>
      </c>
      <c r="O386" s="12">
        <f t="shared" si="88"/>
        <v>0.54999152308985388</v>
      </c>
      <c r="P386" s="13">
        <f t="shared" si="89"/>
        <v>0.40908567858209643</v>
      </c>
      <c r="Q386" s="5">
        <v>0.38700000000000001</v>
      </c>
      <c r="U386" s="31">
        <f t="shared" si="75"/>
        <v>0.99482674999999987</v>
      </c>
    </row>
    <row r="387" spans="3:21" x14ac:dyDescent="0.2">
      <c r="C387" s="12">
        <f t="shared" si="76"/>
        <v>2898.4400832000006</v>
      </c>
      <c r="D387" s="13">
        <f t="shared" si="77"/>
        <v>34.718760000000032</v>
      </c>
      <c r="E387" s="12">
        <f t="shared" si="78"/>
        <v>-20.601499500000074</v>
      </c>
      <c r="F387" s="12">
        <f t="shared" si="79"/>
        <v>779.19789600000024</v>
      </c>
      <c r="G387" s="12">
        <f t="shared" si="80"/>
        <v>3510.9970080000003</v>
      </c>
      <c r="H387" s="12">
        <f t="shared" si="81"/>
        <v>6909.0332400000007</v>
      </c>
      <c r="I387" s="12">
        <f t="shared" si="82"/>
        <v>34.371572400000069</v>
      </c>
      <c r="J387" s="22">
        <f t="shared" si="83"/>
        <v>1113951.8306578202</v>
      </c>
      <c r="K387" s="22">
        <f t="shared" si="84"/>
        <v>1068365.0146675203</v>
      </c>
      <c r="L387" s="22">
        <f t="shared" si="85"/>
        <v>45586.815990299918</v>
      </c>
      <c r="M387" s="22">
        <f t="shared" si="86"/>
        <v>1305841.4655888001</v>
      </c>
      <c r="N387" s="12">
        <f t="shared" si="87"/>
        <v>0.95907649259539385</v>
      </c>
      <c r="O387" s="12">
        <f t="shared" si="88"/>
        <v>0.55001175190450191</v>
      </c>
      <c r="P387" s="13">
        <f t="shared" si="89"/>
        <v>0.40906474069089194</v>
      </c>
      <c r="Q387" s="3">
        <v>0.38800000000000001</v>
      </c>
      <c r="U387" s="31">
        <f t="shared" si="75"/>
        <v>0.99482674999999987</v>
      </c>
    </row>
    <row r="388" spans="3:21" x14ac:dyDescent="0.2">
      <c r="C388" s="12">
        <f t="shared" si="76"/>
        <v>2905.9102896000004</v>
      </c>
      <c r="D388" s="13">
        <f t="shared" si="77"/>
        <v>34.66203000000003</v>
      </c>
      <c r="E388" s="12">
        <f t="shared" si="78"/>
        <v>-20.658229500000076</v>
      </c>
      <c r="F388" s="12">
        <f t="shared" si="79"/>
        <v>781.20613800000024</v>
      </c>
      <c r="G388" s="12">
        <f t="shared" si="80"/>
        <v>3520.3347659999999</v>
      </c>
      <c r="H388" s="12">
        <f t="shared" si="81"/>
        <v>6897.7439699999995</v>
      </c>
      <c r="I388" s="12">
        <f t="shared" si="82"/>
        <v>34.315409700000068</v>
      </c>
      <c r="J388" s="22">
        <f t="shared" si="83"/>
        <v>1116823.6619883601</v>
      </c>
      <c r="K388" s="22">
        <f t="shared" si="84"/>
        <v>1071118.5327465602</v>
      </c>
      <c r="L388" s="22">
        <f t="shared" si="85"/>
        <v>45705.129241799936</v>
      </c>
      <c r="M388" s="22">
        <f t="shared" si="86"/>
        <v>1309313.4868176</v>
      </c>
      <c r="N388" s="12">
        <f t="shared" si="87"/>
        <v>0.95907578716551556</v>
      </c>
      <c r="O388" s="12">
        <f t="shared" si="88"/>
        <v>0.55003187491038952</v>
      </c>
      <c r="P388" s="13">
        <f t="shared" si="89"/>
        <v>0.40904391225512604</v>
      </c>
      <c r="Q388" s="5">
        <v>0.38900000000000001</v>
      </c>
      <c r="U388" s="31">
        <f t="shared" si="75"/>
        <v>0.99482674999999987</v>
      </c>
    </row>
    <row r="389" spans="3:21" x14ac:dyDescent="0.2">
      <c r="C389" s="12">
        <f t="shared" si="76"/>
        <v>2913.3804960000002</v>
      </c>
      <c r="D389" s="13">
        <f t="shared" si="77"/>
        <v>34.605300000000035</v>
      </c>
      <c r="E389" s="12">
        <f t="shared" si="78"/>
        <v>-20.714959500000077</v>
      </c>
      <c r="F389" s="12">
        <f t="shared" si="79"/>
        <v>783.21438000000035</v>
      </c>
      <c r="G389" s="12">
        <f t="shared" si="80"/>
        <v>3529.6725240000001</v>
      </c>
      <c r="H389" s="12">
        <f t="shared" si="81"/>
        <v>6886.4547000000002</v>
      </c>
      <c r="I389" s="12">
        <f t="shared" si="82"/>
        <v>34.259247000000066</v>
      </c>
      <c r="J389" s="22">
        <f t="shared" si="83"/>
        <v>1119695.4933189002</v>
      </c>
      <c r="K389" s="22">
        <f t="shared" si="84"/>
        <v>1073872.0508256</v>
      </c>
      <c r="L389" s="22">
        <f t="shared" si="85"/>
        <v>45823.442493300186</v>
      </c>
      <c r="M389" s="22">
        <f t="shared" si="86"/>
        <v>1312785.5080464003</v>
      </c>
      <c r="N389" s="12">
        <f t="shared" si="87"/>
        <v>0.95907508535425601</v>
      </c>
      <c r="O389" s="12">
        <f t="shared" si="88"/>
        <v>0.55005189293551549</v>
      </c>
      <c r="P389" s="13">
        <f t="shared" si="89"/>
        <v>0.40902319241874052</v>
      </c>
      <c r="Q389" s="3">
        <v>0.39</v>
      </c>
      <c r="U389" s="31">
        <f t="shared" si="75"/>
        <v>0.99482674999999987</v>
      </c>
    </row>
    <row r="390" spans="3:21" x14ac:dyDescent="0.2">
      <c r="C390" s="12">
        <f t="shared" si="76"/>
        <v>2920.8507024</v>
      </c>
      <c r="D390" s="13">
        <f t="shared" si="77"/>
        <v>34.548570000000026</v>
      </c>
      <c r="E390" s="12">
        <f t="shared" si="78"/>
        <v>-20.771689500000072</v>
      </c>
      <c r="F390" s="12">
        <f t="shared" si="79"/>
        <v>785.22262200000023</v>
      </c>
      <c r="G390" s="12">
        <f t="shared" si="80"/>
        <v>3539.0102819999997</v>
      </c>
      <c r="H390" s="12">
        <f t="shared" si="81"/>
        <v>6875.16543</v>
      </c>
      <c r="I390" s="12">
        <f t="shared" si="82"/>
        <v>34.203084300000071</v>
      </c>
      <c r="J390" s="22">
        <f t="shared" si="83"/>
        <v>1122567.3246494399</v>
      </c>
      <c r="K390" s="22">
        <f t="shared" si="84"/>
        <v>1076625.5689046402</v>
      </c>
      <c r="L390" s="22">
        <f t="shared" si="85"/>
        <v>45941.755744799739</v>
      </c>
      <c r="M390" s="22">
        <f t="shared" si="86"/>
        <v>1316257.5292752001</v>
      </c>
      <c r="N390" s="12">
        <f t="shared" si="87"/>
        <v>0.95907438713384374</v>
      </c>
      <c r="O390" s="12">
        <f t="shared" si="88"/>
        <v>0.55007180679926171</v>
      </c>
      <c r="P390" s="13">
        <f t="shared" si="89"/>
        <v>0.40900258033458203</v>
      </c>
      <c r="Q390" s="5">
        <v>0.39100000000000001</v>
      </c>
      <c r="U390" s="31">
        <f t="shared" si="75"/>
        <v>0.99482674999999987</v>
      </c>
    </row>
    <row r="391" spans="3:21" x14ac:dyDescent="0.2">
      <c r="C391" s="12">
        <f t="shared" si="76"/>
        <v>2928.3209088000003</v>
      </c>
      <c r="D391" s="13">
        <f t="shared" si="77"/>
        <v>34.491840000000032</v>
      </c>
      <c r="E391" s="12">
        <f t="shared" si="78"/>
        <v>-20.828419500000081</v>
      </c>
      <c r="F391" s="12">
        <f t="shared" si="79"/>
        <v>787.23086400000034</v>
      </c>
      <c r="G391" s="12">
        <f t="shared" si="80"/>
        <v>3548.3480400000003</v>
      </c>
      <c r="H391" s="12">
        <f t="shared" si="81"/>
        <v>6863.8761599999989</v>
      </c>
      <c r="I391" s="12">
        <f t="shared" si="82"/>
        <v>34.146921600000063</v>
      </c>
      <c r="J391" s="22">
        <f t="shared" si="83"/>
        <v>1125439.1559799802</v>
      </c>
      <c r="K391" s="22">
        <f t="shared" si="84"/>
        <v>1079379.0869836803</v>
      </c>
      <c r="L391" s="22">
        <f t="shared" si="85"/>
        <v>46060.06899629999</v>
      </c>
      <c r="M391" s="22">
        <f t="shared" si="86"/>
        <v>1319729.5505040002</v>
      </c>
      <c r="N391" s="12">
        <f t="shared" si="87"/>
        <v>0.95907369247678875</v>
      </c>
      <c r="O391" s="12">
        <f t="shared" si="88"/>
        <v>0.55009161731250567</v>
      </c>
      <c r="P391" s="13">
        <f t="shared" si="89"/>
        <v>0.40898207516428309</v>
      </c>
      <c r="Q391" s="3">
        <v>0.39200000000000002</v>
      </c>
      <c r="U391" s="31">
        <f t="shared" si="75"/>
        <v>0.99482674999999987</v>
      </c>
    </row>
    <row r="392" spans="3:21" x14ac:dyDescent="0.2">
      <c r="C392" s="12">
        <f t="shared" si="76"/>
        <v>2935.7911152000001</v>
      </c>
      <c r="D392" s="13">
        <f t="shared" si="77"/>
        <v>34.43511000000003</v>
      </c>
      <c r="E392" s="12">
        <f t="shared" si="78"/>
        <v>-20.885149500000075</v>
      </c>
      <c r="F392" s="12">
        <f t="shared" si="79"/>
        <v>789.23910600000022</v>
      </c>
      <c r="G392" s="12">
        <f t="shared" si="80"/>
        <v>3557.685798</v>
      </c>
      <c r="H392" s="12">
        <f t="shared" si="81"/>
        <v>6852.5868899999996</v>
      </c>
      <c r="I392" s="12">
        <f t="shared" si="82"/>
        <v>34.090758900000068</v>
      </c>
      <c r="J392" s="22">
        <f t="shared" si="83"/>
        <v>1128310.9873105201</v>
      </c>
      <c r="K392" s="22">
        <f t="shared" si="84"/>
        <v>1082132.6050627201</v>
      </c>
      <c r="L392" s="22">
        <f t="shared" si="85"/>
        <v>46178.382247800007</v>
      </c>
      <c r="M392" s="22">
        <f t="shared" si="86"/>
        <v>1323201.5717328</v>
      </c>
      <c r="N392" s="12">
        <f t="shared" si="87"/>
        <v>0.95907300135588291</v>
      </c>
      <c r="O392" s="12">
        <f t="shared" si="88"/>
        <v>0.55011132527772955</v>
      </c>
      <c r="P392" s="13">
        <f t="shared" si="89"/>
        <v>0.40896167607815337</v>
      </c>
      <c r="Q392" s="5">
        <v>0.39300000000000002</v>
      </c>
      <c r="U392" s="31">
        <f t="shared" si="75"/>
        <v>0.99482674999999987</v>
      </c>
    </row>
    <row r="393" spans="3:21" x14ac:dyDescent="0.2">
      <c r="C393" s="12">
        <f t="shared" si="76"/>
        <v>2943.2613216000004</v>
      </c>
      <c r="D393" s="13">
        <f t="shared" si="77"/>
        <v>34.378380000000028</v>
      </c>
      <c r="E393" s="12">
        <f t="shared" si="78"/>
        <v>-20.941879500000077</v>
      </c>
      <c r="F393" s="12">
        <f t="shared" si="79"/>
        <v>791.24734800000033</v>
      </c>
      <c r="G393" s="12">
        <f t="shared" si="80"/>
        <v>3567.0235560000001</v>
      </c>
      <c r="H393" s="12">
        <f t="shared" si="81"/>
        <v>6841.2976200000003</v>
      </c>
      <c r="I393" s="12">
        <f t="shared" si="82"/>
        <v>34.034596200000067</v>
      </c>
      <c r="J393" s="22">
        <f t="shared" si="83"/>
        <v>1131182.81864106</v>
      </c>
      <c r="K393" s="22">
        <f t="shared" si="84"/>
        <v>1084886.1231417602</v>
      </c>
      <c r="L393" s="22">
        <f t="shared" si="85"/>
        <v>46296.695499299793</v>
      </c>
      <c r="M393" s="22">
        <f t="shared" si="86"/>
        <v>1326673.5929616001</v>
      </c>
      <c r="N393" s="12">
        <f t="shared" si="87"/>
        <v>0.95907231374419388</v>
      </c>
      <c r="O393" s="12">
        <f t="shared" si="88"/>
        <v>0.55013093148912862</v>
      </c>
      <c r="P393" s="13">
        <f t="shared" si="89"/>
        <v>0.40894138225506527</v>
      </c>
      <c r="Q393" s="3">
        <v>0.39400000000000002</v>
      </c>
      <c r="U393" s="31">
        <f t="shared" si="75"/>
        <v>0.99482674999999987</v>
      </c>
    </row>
    <row r="394" spans="3:21" x14ac:dyDescent="0.2">
      <c r="C394" s="12">
        <f t="shared" si="76"/>
        <v>2950.7315280000003</v>
      </c>
      <c r="D394" s="13">
        <f t="shared" si="77"/>
        <v>34.321650000000027</v>
      </c>
      <c r="E394" s="12">
        <f t="shared" si="78"/>
        <v>-20.998609500000079</v>
      </c>
      <c r="F394" s="12">
        <f t="shared" si="79"/>
        <v>793.25559000000021</v>
      </c>
      <c r="G394" s="12">
        <f t="shared" si="80"/>
        <v>3576.3613139999998</v>
      </c>
      <c r="H394" s="12">
        <f t="shared" si="81"/>
        <v>6830.0083499999992</v>
      </c>
      <c r="I394" s="12">
        <f t="shared" si="82"/>
        <v>33.978433500000065</v>
      </c>
      <c r="J394" s="22">
        <f t="shared" si="83"/>
        <v>1134054.6499716002</v>
      </c>
      <c r="K394" s="22">
        <f t="shared" si="84"/>
        <v>1087639.6412208001</v>
      </c>
      <c r="L394" s="22">
        <f t="shared" si="85"/>
        <v>46415.008750800043</v>
      </c>
      <c r="M394" s="22">
        <f t="shared" si="86"/>
        <v>1330145.6141904001</v>
      </c>
      <c r="N394" s="12">
        <f t="shared" si="87"/>
        <v>0.95907162961506098</v>
      </c>
      <c r="O394" s="12">
        <f t="shared" si="88"/>
        <v>0.55015043673271891</v>
      </c>
      <c r="P394" s="13">
        <f t="shared" si="89"/>
        <v>0.40892119288234208</v>
      </c>
      <c r="Q394" s="5">
        <v>0.39500000000000002</v>
      </c>
      <c r="U394" s="31">
        <f t="shared" si="75"/>
        <v>0.99482674999999987</v>
      </c>
    </row>
    <row r="395" spans="3:21" x14ac:dyDescent="0.2">
      <c r="C395" s="12">
        <f t="shared" si="76"/>
        <v>2958.2017344000005</v>
      </c>
      <c r="D395" s="13">
        <f t="shared" si="77"/>
        <v>34.264920000000032</v>
      </c>
      <c r="E395" s="12">
        <f t="shared" si="78"/>
        <v>-21.05533950000008</v>
      </c>
      <c r="F395" s="12">
        <f t="shared" si="79"/>
        <v>795.26383200000032</v>
      </c>
      <c r="G395" s="12">
        <f t="shared" si="80"/>
        <v>3585.6990720000003</v>
      </c>
      <c r="H395" s="12">
        <f t="shared" si="81"/>
        <v>6818.7190799999998</v>
      </c>
      <c r="I395" s="12">
        <f t="shared" si="82"/>
        <v>33.922270800000064</v>
      </c>
      <c r="J395" s="22">
        <f t="shared" si="83"/>
        <v>1136926.4813021403</v>
      </c>
      <c r="K395" s="22">
        <f t="shared" si="84"/>
        <v>1090393.1592998402</v>
      </c>
      <c r="L395" s="22">
        <f t="shared" si="85"/>
        <v>46533.322002300061</v>
      </c>
      <c r="M395" s="22">
        <f t="shared" si="86"/>
        <v>1333617.6354192004</v>
      </c>
      <c r="N395" s="12">
        <f t="shared" si="87"/>
        <v>0.95907094894209455</v>
      </c>
      <c r="O395" s="12">
        <f t="shared" si="88"/>
        <v>0.55016984178644135</v>
      </c>
      <c r="P395" s="13">
        <f t="shared" si="89"/>
        <v>0.4089011071556532</v>
      </c>
      <c r="Q395" s="3">
        <v>0.39600000000000002</v>
      </c>
      <c r="U395" s="31">
        <f t="shared" si="75"/>
        <v>0.99482674999999987</v>
      </c>
    </row>
    <row r="396" spans="3:21" x14ac:dyDescent="0.2">
      <c r="C396" s="12">
        <f t="shared" si="76"/>
        <v>2965.6719407999999</v>
      </c>
      <c r="D396" s="13">
        <f t="shared" si="77"/>
        <v>34.20819000000003</v>
      </c>
      <c r="E396" s="12">
        <f t="shared" si="78"/>
        <v>-21.112069500000075</v>
      </c>
      <c r="F396" s="12">
        <f t="shared" si="79"/>
        <v>797.2720740000002</v>
      </c>
      <c r="G396" s="12">
        <f t="shared" si="80"/>
        <v>3595.0368299999996</v>
      </c>
      <c r="H396" s="12">
        <f t="shared" si="81"/>
        <v>6807.4298099999996</v>
      </c>
      <c r="I396" s="12">
        <f t="shared" si="82"/>
        <v>33.866108100000069</v>
      </c>
      <c r="J396" s="22">
        <f t="shared" si="83"/>
        <v>1139798.3126326802</v>
      </c>
      <c r="K396" s="22">
        <f t="shared" si="84"/>
        <v>1093146.6773788801</v>
      </c>
      <c r="L396" s="22">
        <f t="shared" si="85"/>
        <v>46651.635253800079</v>
      </c>
      <c r="M396" s="22">
        <f t="shared" si="86"/>
        <v>1337089.6566479998</v>
      </c>
      <c r="N396" s="12">
        <f t="shared" si="87"/>
        <v>0.95907027169917003</v>
      </c>
      <c r="O396" s="12">
        <f t="shared" si="88"/>
        <v>0.55018914742026526</v>
      </c>
      <c r="P396" s="13">
        <f t="shared" si="89"/>
        <v>0.40888112427890477</v>
      </c>
      <c r="Q396" s="5">
        <v>0.39700000000000002</v>
      </c>
      <c r="U396" s="31">
        <f t="shared" si="75"/>
        <v>0.99482674999999987</v>
      </c>
    </row>
    <row r="397" spans="3:21" x14ac:dyDescent="0.2">
      <c r="C397" s="12">
        <f t="shared" si="76"/>
        <v>2973.1421472000002</v>
      </c>
      <c r="D397" s="13">
        <f t="shared" si="77"/>
        <v>34.151460000000029</v>
      </c>
      <c r="E397" s="12">
        <f t="shared" si="78"/>
        <v>-21.168799500000077</v>
      </c>
      <c r="F397" s="12">
        <f t="shared" si="79"/>
        <v>799.28031600000031</v>
      </c>
      <c r="G397" s="12">
        <f t="shared" si="80"/>
        <v>3604.3745880000001</v>
      </c>
      <c r="H397" s="12">
        <f t="shared" si="81"/>
        <v>6796.1405400000003</v>
      </c>
      <c r="I397" s="12">
        <f t="shared" si="82"/>
        <v>33.809945400000068</v>
      </c>
      <c r="J397" s="22">
        <f t="shared" si="83"/>
        <v>1142670.1439632201</v>
      </c>
      <c r="K397" s="22">
        <f t="shared" si="84"/>
        <v>1095900.1954579202</v>
      </c>
      <c r="L397" s="22">
        <f t="shared" si="85"/>
        <v>46769.948505299864</v>
      </c>
      <c r="M397" s="22">
        <f t="shared" si="86"/>
        <v>1340561.6778768001</v>
      </c>
      <c r="N397" s="12">
        <f t="shared" si="87"/>
        <v>0.95906959786042567</v>
      </c>
      <c r="O397" s="12">
        <f t="shared" si="88"/>
        <v>0.55020835439629068</v>
      </c>
      <c r="P397" s="13">
        <f t="shared" si="89"/>
        <v>0.40886124346413499</v>
      </c>
      <c r="Q397" s="3">
        <v>0.39800000000000002</v>
      </c>
      <c r="U397" s="31">
        <f t="shared" si="75"/>
        <v>0.99482674999999987</v>
      </c>
    </row>
    <row r="398" spans="3:21" x14ac:dyDescent="0.2">
      <c r="C398" s="12">
        <f t="shared" si="76"/>
        <v>2980.6123536</v>
      </c>
      <c r="D398" s="13">
        <f t="shared" si="77"/>
        <v>34.094730000000027</v>
      </c>
      <c r="E398" s="12">
        <f t="shared" si="78"/>
        <v>-21.225529500000079</v>
      </c>
      <c r="F398" s="12">
        <f t="shared" si="79"/>
        <v>801.28855800000019</v>
      </c>
      <c r="G398" s="12">
        <f t="shared" si="80"/>
        <v>3613.7123459999998</v>
      </c>
      <c r="H398" s="12">
        <f t="shared" si="81"/>
        <v>6784.8512699999992</v>
      </c>
      <c r="I398" s="12">
        <f t="shared" si="82"/>
        <v>33.753782700000066</v>
      </c>
      <c r="J398" s="22">
        <f t="shared" si="83"/>
        <v>1145541.9752937602</v>
      </c>
      <c r="K398" s="22">
        <f t="shared" si="84"/>
        <v>1098653.7135369601</v>
      </c>
      <c r="L398" s="22">
        <f t="shared" si="85"/>
        <v>46888.261756800115</v>
      </c>
      <c r="M398" s="22">
        <f t="shared" si="86"/>
        <v>1344033.6991055999</v>
      </c>
      <c r="N398" s="12">
        <f t="shared" si="87"/>
        <v>0.95906892740025851</v>
      </c>
      <c r="O398" s="12">
        <f t="shared" si="88"/>
        <v>0.55022746346884832</v>
      </c>
      <c r="P398" s="13">
        <f t="shared" si="89"/>
        <v>0.40884146393141019</v>
      </c>
      <c r="Q398" s="5">
        <v>0.39900000000000002</v>
      </c>
      <c r="U398" s="31">
        <f t="shared" ref="U398:U461" si="90">(Prev*Total_SnSeq)+((1-Prev)*Total_SpSeq)</f>
        <v>0.99482674999999987</v>
      </c>
    </row>
    <row r="399" spans="3:21" x14ac:dyDescent="0.2">
      <c r="C399" s="12">
        <f t="shared" ref="C399:C462" si="91">cohort*Q399*SnTest1*((corr*(SQRT(SnTest1*(1-SnTest1)*SnTest2*(1-SnTest2)))+SnTest1*SnTest2)/SnTest1)</f>
        <v>2988.0825600000003</v>
      </c>
      <c r="D399" s="13">
        <f t="shared" ref="D399:D462" si="92">(1-Q399)*(1-SpTest1)*cohort</f>
        <v>34.038000000000032</v>
      </c>
      <c r="E399" s="12">
        <f t="shared" ref="E399:E462" si="93">(cohort*(1-Q399)*(1-SpTest1))-TNTest2</f>
        <v>-21.28225950000008</v>
      </c>
      <c r="F399" s="12">
        <f t="shared" ref="F399:F462" si="94">cohort*Q399*(1-SnTest1)</f>
        <v>803.2968000000003</v>
      </c>
      <c r="G399" s="12">
        <f t="shared" ref="G399:G462" si="95">(cohort*Q399*SnTest1)-TPSeq</f>
        <v>3623.0501039999999</v>
      </c>
      <c r="H399" s="12">
        <f t="shared" ref="H399:H462" si="96">(1-Q399)*SpTest1*cohort</f>
        <v>6773.5619999999999</v>
      </c>
      <c r="I399" s="12">
        <f t="shared" ref="I399:I462" si="97">cohort*(1-Q399)*(1-SpTest1)*(SpTest2-(corr*(SQRT(SpTest1*(1-SpTest1)*SpTest2*(1-SpTest2)))+SpTest2*SpTest1))/(1-SpTest1)</f>
        <v>33.697620000000065</v>
      </c>
      <c r="J399" s="22">
        <f t="shared" si="83"/>
        <v>1148413.8066243003</v>
      </c>
      <c r="K399" s="22">
        <f t="shared" si="84"/>
        <v>1101407.2316160002</v>
      </c>
      <c r="L399" s="22">
        <f t="shared" si="85"/>
        <v>47006.575008300133</v>
      </c>
      <c r="M399" s="22">
        <f t="shared" si="86"/>
        <v>1347505.7203344002</v>
      </c>
      <c r="N399" s="12">
        <f t="shared" si="87"/>
        <v>0.95906826029332282</v>
      </c>
      <c r="O399" s="12">
        <f t="shared" si="88"/>
        <v>0.55024647538459848</v>
      </c>
      <c r="P399" s="13">
        <f t="shared" si="89"/>
        <v>0.40882178490872434</v>
      </c>
      <c r="Q399" s="3">
        <v>0.4</v>
      </c>
      <c r="U399" s="31">
        <f t="shared" si="90"/>
        <v>0.99482674999999987</v>
      </c>
    </row>
    <row r="400" spans="3:21" x14ac:dyDescent="0.2">
      <c r="C400" s="12">
        <f t="shared" si="91"/>
        <v>2995.5527664000001</v>
      </c>
      <c r="D400" s="13">
        <f t="shared" si="92"/>
        <v>33.981270000000031</v>
      </c>
      <c r="E400" s="12">
        <f t="shared" si="93"/>
        <v>-21.338989500000075</v>
      </c>
      <c r="F400" s="12">
        <f t="shared" si="94"/>
        <v>805.30504200000018</v>
      </c>
      <c r="G400" s="12">
        <f t="shared" si="95"/>
        <v>3632.3878619999996</v>
      </c>
      <c r="H400" s="12">
        <f t="shared" si="96"/>
        <v>6762.2727299999997</v>
      </c>
      <c r="I400" s="12">
        <f t="shared" si="97"/>
        <v>33.64145730000007</v>
      </c>
      <c r="J400" s="22">
        <f t="shared" ref="J400:J463" si="98">(C400*$H$6)+(E400*$H$6)+(G400*$H$3)+(I400*$H$3)</f>
        <v>1151285.63795484</v>
      </c>
      <c r="K400" s="22">
        <f t="shared" ref="K400:K463" si="99">(C400*$H$6)</f>
        <v>1104160.7496950401</v>
      </c>
      <c r="L400" s="22">
        <f t="shared" ref="L400:L463" si="100">J400-K400</f>
        <v>47124.888259799918</v>
      </c>
      <c r="M400" s="22">
        <f t="shared" ref="M400:M463" si="101">(F400*$H$3)+(G400*$H$6)</f>
        <v>1350977.7415632</v>
      </c>
      <c r="N400" s="12">
        <f t="shared" ref="N400:N463" si="102">K400/J400</f>
        <v>0.95906759651452511</v>
      </c>
      <c r="O400" s="12">
        <f t="shared" ref="O400:O463" si="103">M400/(M400+K400)</f>
        <v>0.55026539088262749</v>
      </c>
      <c r="P400" s="13">
        <f t="shared" ref="P400:P463" si="104">N400-O400</f>
        <v>0.40880220563189762</v>
      </c>
      <c r="Q400" s="5">
        <v>0.40100000000000002</v>
      </c>
      <c r="U400" s="31">
        <f t="shared" si="90"/>
        <v>0.99482674999999987</v>
      </c>
    </row>
    <row r="401" spans="3:21" x14ac:dyDescent="0.2">
      <c r="C401" s="12">
        <f t="shared" si="91"/>
        <v>3003.0229728000004</v>
      </c>
      <c r="D401" s="13">
        <f t="shared" si="92"/>
        <v>33.924540000000029</v>
      </c>
      <c r="E401" s="12">
        <f t="shared" si="93"/>
        <v>-21.395719500000077</v>
      </c>
      <c r="F401" s="12">
        <f t="shared" si="94"/>
        <v>807.31328400000029</v>
      </c>
      <c r="G401" s="12">
        <f t="shared" si="95"/>
        <v>3641.7256200000002</v>
      </c>
      <c r="H401" s="12">
        <f t="shared" si="96"/>
        <v>6750.9834599999995</v>
      </c>
      <c r="I401" s="12">
        <f t="shared" si="97"/>
        <v>33.585294600000068</v>
      </c>
      <c r="J401" s="22">
        <f t="shared" si="98"/>
        <v>1154157.4692853801</v>
      </c>
      <c r="K401" s="22">
        <f t="shared" si="99"/>
        <v>1106914.2677740802</v>
      </c>
      <c r="L401" s="22">
        <f t="shared" si="100"/>
        <v>47243.201511299936</v>
      </c>
      <c r="M401" s="22">
        <f t="shared" si="101"/>
        <v>1354449.7627920001</v>
      </c>
      <c r="N401" s="12">
        <f t="shared" si="102"/>
        <v>0.95906693603902116</v>
      </c>
      <c r="O401" s="12">
        <f t="shared" si="103"/>
        <v>0.55028421069454525</v>
      </c>
      <c r="P401" s="13">
        <f t="shared" si="104"/>
        <v>0.40878272534447591</v>
      </c>
      <c r="Q401" s="3">
        <v>0.40200000000000002</v>
      </c>
      <c r="U401" s="31">
        <f t="shared" si="90"/>
        <v>0.99482674999999987</v>
      </c>
    </row>
    <row r="402" spans="3:21" x14ac:dyDescent="0.2">
      <c r="C402" s="12">
        <f t="shared" si="91"/>
        <v>3010.4931792000002</v>
      </c>
      <c r="D402" s="13">
        <f t="shared" si="92"/>
        <v>33.867810000000027</v>
      </c>
      <c r="E402" s="12">
        <f t="shared" si="93"/>
        <v>-21.452449500000078</v>
      </c>
      <c r="F402" s="12">
        <f t="shared" si="94"/>
        <v>809.32152600000018</v>
      </c>
      <c r="G402" s="12">
        <f t="shared" si="95"/>
        <v>3651.0633779999998</v>
      </c>
      <c r="H402" s="12">
        <f t="shared" si="96"/>
        <v>6739.6941899999993</v>
      </c>
      <c r="I402" s="12">
        <f t="shared" si="97"/>
        <v>33.52913190000006</v>
      </c>
      <c r="J402" s="22">
        <f t="shared" si="98"/>
        <v>1157029.30061592</v>
      </c>
      <c r="K402" s="22">
        <f t="shared" si="99"/>
        <v>1109667.78585312</v>
      </c>
      <c r="L402" s="22">
        <f t="shared" si="100"/>
        <v>47361.514762799954</v>
      </c>
      <c r="M402" s="22">
        <f t="shared" si="101"/>
        <v>1357921.7840207999</v>
      </c>
      <c r="N402" s="12">
        <f t="shared" si="102"/>
        <v>0.95906627884221418</v>
      </c>
      <c r="O402" s="12">
        <f t="shared" si="103"/>
        <v>0.55030293554457776</v>
      </c>
      <c r="P402" s="13">
        <f t="shared" si="104"/>
        <v>0.40876334329763642</v>
      </c>
      <c r="Q402" s="5">
        <v>0.40300000000000002</v>
      </c>
      <c r="U402" s="31">
        <f t="shared" si="90"/>
        <v>0.99482674999999987</v>
      </c>
    </row>
    <row r="403" spans="3:21" x14ac:dyDescent="0.2">
      <c r="C403" s="12">
        <f t="shared" si="91"/>
        <v>3017.9633856</v>
      </c>
      <c r="D403" s="13">
        <f t="shared" si="92"/>
        <v>33.811080000000032</v>
      </c>
      <c r="E403" s="12">
        <f t="shared" si="93"/>
        <v>-21.50917950000008</v>
      </c>
      <c r="F403" s="12">
        <f t="shared" si="94"/>
        <v>811.32976800000029</v>
      </c>
      <c r="G403" s="12">
        <f t="shared" si="95"/>
        <v>3660.401136</v>
      </c>
      <c r="H403" s="12">
        <f t="shared" si="96"/>
        <v>6728.4049199999999</v>
      </c>
      <c r="I403" s="12">
        <f t="shared" si="97"/>
        <v>33.472969200000058</v>
      </c>
      <c r="J403" s="22">
        <f t="shared" si="98"/>
        <v>1159901.1319464601</v>
      </c>
      <c r="K403" s="22">
        <f t="shared" si="99"/>
        <v>1112421.3039321601</v>
      </c>
      <c r="L403" s="22">
        <f t="shared" si="100"/>
        <v>47479.828014299972</v>
      </c>
      <c r="M403" s="22">
        <f t="shared" si="101"/>
        <v>1361393.8052496</v>
      </c>
      <c r="N403" s="12">
        <f t="shared" si="102"/>
        <v>0.95906562489975089</v>
      </c>
      <c r="O403" s="12">
        <f t="shared" si="103"/>
        <v>0.55032156614966066</v>
      </c>
      <c r="P403" s="13">
        <f t="shared" si="104"/>
        <v>0.40874405875009023</v>
      </c>
      <c r="Q403" s="3">
        <v>0.40400000000000003</v>
      </c>
      <c r="U403" s="31">
        <f t="shared" si="90"/>
        <v>0.99482674999999987</v>
      </c>
    </row>
    <row r="404" spans="3:21" x14ac:dyDescent="0.2">
      <c r="C404" s="12">
        <f t="shared" si="91"/>
        <v>3025.4335919999999</v>
      </c>
      <c r="D404" s="13">
        <f t="shared" si="92"/>
        <v>33.754350000000024</v>
      </c>
      <c r="E404" s="12">
        <f t="shared" si="93"/>
        <v>-21.565909500000075</v>
      </c>
      <c r="F404" s="12">
        <f t="shared" si="94"/>
        <v>813.33801000000028</v>
      </c>
      <c r="G404" s="12">
        <f t="shared" si="95"/>
        <v>3669.7388939999996</v>
      </c>
      <c r="H404" s="12">
        <f t="shared" si="96"/>
        <v>6717.1156500000006</v>
      </c>
      <c r="I404" s="12">
        <f t="shared" si="97"/>
        <v>33.416806500000064</v>
      </c>
      <c r="J404" s="22">
        <f t="shared" si="98"/>
        <v>1162772.963277</v>
      </c>
      <c r="K404" s="22">
        <f t="shared" si="99"/>
        <v>1115174.8220112</v>
      </c>
      <c r="L404" s="22">
        <f t="shared" si="100"/>
        <v>47598.14126579999</v>
      </c>
      <c r="M404" s="22">
        <f t="shared" si="101"/>
        <v>1364865.8264784</v>
      </c>
      <c r="N404" s="12">
        <f t="shared" si="102"/>
        <v>0.95906497418751813</v>
      </c>
      <c r="O404" s="12">
        <f t="shared" si="103"/>
        <v>0.55034010321953142</v>
      </c>
      <c r="P404" s="13">
        <f t="shared" si="104"/>
        <v>0.40872487096798671</v>
      </c>
      <c r="Q404" s="5">
        <v>0.40500000000000003</v>
      </c>
      <c r="U404" s="31">
        <f t="shared" si="90"/>
        <v>0.99482674999999987</v>
      </c>
    </row>
    <row r="405" spans="3:21" x14ac:dyDescent="0.2">
      <c r="C405" s="12">
        <f t="shared" si="91"/>
        <v>3032.9037984000006</v>
      </c>
      <c r="D405" s="13">
        <f t="shared" si="92"/>
        <v>33.697620000000029</v>
      </c>
      <c r="E405" s="12">
        <f t="shared" si="93"/>
        <v>-21.622639500000076</v>
      </c>
      <c r="F405" s="12">
        <f t="shared" si="94"/>
        <v>815.34625200000028</v>
      </c>
      <c r="G405" s="12">
        <f t="shared" si="95"/>
        <v>3679.0766520000002</v>
      </c>
      <c r="H405" s="12">
        <f t="shared" si="96"/>
        <v>6705.8263799999995</v>
      </c>
      <c r="I405" s="12">
        <f t="shared" si="97"/>
        <v>33.360643800000062</v>
      </c>
      <c r="J405" s="22">
        <f t="shared" si="98"/>
        <v>1165644.7946075406</v>
      </c>
      <c r="K405" s="22">
        <f t="shared" si="99"/>
        <v>1117928.3400902404</v>
      </c>
      <c r="L405" s="22">
        <f t="shared" si="100"/>
        <v>47716.454517300241</v>
      </c>
      <c r="M405" s="22">
        <f t="shared" si="101"/>
        <v>1368337.8477072003</v>
      </c>
      <c r="N405" s="12">
        <f t="shared" si="102"/>
        <v>0.95906432668164077</v>
      </c>
      <c r="O405" s="12">
        <f t="shared" si="103"/>
        <v>0.55035854745681823</v>
      </c>
      <c r="P405" s="13">
        <f t="shared" si="104"/>
        <v>0.40870577922482254</v>
      </c>
      <c r="Q405" s="3">
        <v>0.40600000000000003</v>
      </c>
      <c r="U405" s="31">
        <f t="shared" si="90"/>
        <v>0.99482674999999987</v>
      </c>
    </row>
    <row r="406" spans="3:21" x14ac:dyDescent="0.2">
      <c r="C406" s="12">
        <f t="shared" si="91"/>
        <v>3040.3740048</v>
      </c>
      <c r="D406" s="13">
        <f t="shared" si="92"/>
        <v>33.640890000000027</v>
      </c>
      <c r="E406" s="12">
        <f t="shared" si="93"/>
        <v>-21.679369500000078</v>
      </c>
      <c r="F406" s="12">
        <f t="shared" si="94"/>
        <v>817.35449400000027</v>
      </c>
      <c r="G406" s="12">
        <f t="shared" si="95"/>
        <v>3688.4144099999999</v>
      </c>
      <c r="H406" s="12">
        <f t="shared" si="96"/>
        <v>6694.5371099999993</v>
      </c>
      <c r="I406" s="12">
        <f t="shared" si="97"/>
        <v>33.304481100000068</v>
      </c>
      <c r="J406" s="22">
        <f t="shared" si="98"/>
        <v>1168516.6259380798</v>
      </c>
      <c r="K406" s="22">
        <f t="shared" si="99"/>
        <v>1120681.85816928</v>
      </c>
      <c r="L406" s="22">
        <f t="shared" si="100"/>
        <v>47834.767768799793</v>
      </c>
      <c r="M406" s="22">
        <f t="shared" si="101"/>
        <v>1371809.8689359999</v>
      </c>
      <c r="N406" s="12">
        <f t="shared" si="102"/>
        <v>0.95906368235847883</v>
      </c>
      <c r="O406" s="12">
        <f t="shared" si="103"/>
        <v>0.55037689955712987</v>
      </c>
      <c r="P406" s="13">
        <f t="shared" si="104"/>
        <v>0.40868678280134896</v>
      </c>
      <c r="Q406" s="5">
        <v>0.40699999999999997</v>
      </c>
      <c r="U406" s="31">
        <f t="shared" si="90"/>
        <v>0.99482674999999987</v>
      </c>
    </row>
    <row r="407" spans="3:21" x14ac:dyDescent="0.2">
      <c r="C407" s="12">
        <f t="shared" si="91"/>
        <v>3047.8442111999998</v>
      </c>
      <c r="D407" s="13">
        <f t="shared" si="92"/>
        <v>33.584160000000033</v>
      </c>
      <c r="E407" s="12">
        <f t="shared" si="93"/>
        <v>-21.736099500000073</v>
      </c>
      <c r="F407" s="12">
        <f t="shared" si="94"/>
        <v>819.36273600000015</v>
      </c>
      <c r="G407" s="12">
        <f t="shared" si="95"/>
        <v>3697.7521679999995</v>
      </c>
      <c r="H407" s="12">
        <f t="shared" si="96"/>
        <v>6683.2478400000009</v>
      </c>
      <c r="I407" s="12">
        <f t="shared" si="97"/>
        <v>33.248318400000066</v>
      </c>
      <c r="J407" s="22">
        <f t="shared" si="98"/>
        <v>1171388.4572686199</v>
      </c>
      <c r="K407" s="22">
        <f t="shared" si="99"/>
        <v>1123435.3762483201</v>
      </c>
      <c r="L407" s="22">
        <f t="shared" si="100"/>
        <v>47953.081020299811</v>
      </c>
      <c r="M407" s="22">
        <f t="shared" si="101"/>
        <v>1375281.8901647998</v>
      </c>
      <c r="N407" s="12">
        <f t="shared" si="102"/>
        <v>0.95906304119462282</v>
      </c>
      <c r="O407" s="12">
        <f t="shared" si="103"/>
        <v>0.55039516020914259</v>
      </c>
      <c r="P407" s="13">
        <f t="shared" si="104"/>
        <v>0.40866788098548024</v>
      </c>
      <c r="Q407" s="3">
        <v>0.40799999999999997</v>
      </c>
      <c r="U407" s="31">
        <f t="shared" si="90"/>
        <v>0.99482674999999987</v>
      </c>
    </row>
    <row r="408" spans="3:21" x14ac:dyDescent="0.2">
      <c r="C408" s="12">
        <f t="shared" si="91"/>
        <v>3055.3144176000001</v>
      </c>
      <c r="D408" s="13">
        <f t="shared" si="92"/>
        <v>33.527430000000024</v>
      </c>
      <c r="E408" s="12">
        <f t="shared" si="93"/>
        <v>-21.792829500000074</v>
      </c>
      <c r="F408" s="12">
        <f t="shared" si="94"/>
        <v>821.37097800000026</v>
      </c>
      <c r="G408" s="12">
        <f t="shared" si="95"/>
        <v>3707.0899259999997</v>
      </c>
      <c r="H408" s="12">
        <f t="shared" si="96"/>
        <v>6671.9585699999989</v>
      </c>
      <c r="I408" s="12">
        <f t="shared" si="97"/>
        <v>33.192155700000072</v>
      </c>
      <c r="J408" s="22">
        <f t="shared" si="98"/>
        <v>1174260.2885991603</v>
      </c>
      <c r="K408" s="22">
        <f t="shared" si="99"/>
        <v>1126188.8943273602</v>
      </c>
      <c r="L408" s="22">
        <f t="shared" si="100"/>
        <v>48071.394271800062</v>
      </c>
      <c r="M408" s="22">
        <f t="shared" si="101"/>
        <v>1378753.9113936001</v>
      </c>
      <c r="N408" s="12">
        <f t="shared" si="102"/>
        <v>0.95906240316689317</v>
      </c>
      <c r="O408" s="12">
        <f t="shared" si="103"/>
        <v>0.55041333009468607</v>
      </c>
      <c r="P408" s="13">
        <f t="shared" si="104"/>
        <v>0.4086490730722071</v>
      </c>
      <c r="Q408" s="5">
        <v>0.40899999999999997</v>
      </c>
      <c r="U408" s="31">
        <f t="shared" si="90"/>
        <v>0.99482674999999987</v>
      </c>
    </row>
    <row r="409" spans="3:21" x14ac:dyDescent="0.2">
      <c r="C409" s="12">
        <f t="shared" si="91"/>
        <v>3062.7846239999999</v>
      </c>
      <c r="D409" s="13">
        <f t="shared" si="92"/>
        <v>33.470700000000036</v>
      </c>
      <c r="E409" s="12">
        <f t="shared" si="93"/>
        <v>-21.849559500000069</v>
      </c>
      <c r="F409" s="12">
        <f t="shared" si="94"/>
        <v>823.37922000000015</v>
      </c>
      <c r="G409" s="12">
        <f t="shared" si="95"/>
        <v>3716.4276839999993</v>
      </c>
      <c r="H409" s="12">
        <f t="shared" si="96"/>
        <v>6660.6693000000005</v>
      </c>
      <c r="I409" s="12">
        <f t="shared" si="97"/>
        <v>33.13599300000007</v>
      </c>
      <c r="J409" s="22">
        <f t="shared" si="98"/>
        <v>1177132.1199296999</v>
      </c>
      <c r="K409" s="22">
        <f t="shared" si="99"/>
        <v>1128942.4124064001</v>
      </c>
      <c r="L409" s="22">
        <f t="shared" si="100"/>
        <v>48189.707523299847</v>
      </c>
      <c r="M409" s="22">
        <f t="shared" si="101"/>
        <v>1382225.9326223999</v>
      </c>
      <c r="N409" s="12">
        <f t="shared" si="102"/>
        <v>0.95906176825233702</v>
      </c>
      <c r="O409" s="12">
        <f t="shared" si="103"/>
        <v>0.5504314098888291</v>
      </c>
      <c r="P409" s="13">
        <f t="shared" si="104"/>
        <v>0.40863035836350792</v>
      </c>
      <c r="Q409" s="3">
        <v>0.41</v>
      </c>
      <c r="U409" s="31">
        <f t="shared" si="90"/>
        <v>0.99482674999999987</v>
      </c>
    </row>
    <row r="410" spans="3:21" x14ac:dyDescent="0.2">
      <c r="C410" s="12">
        <f t="shared" si="91"/>
        <v>3070.2548304000002</v>
      </c>
      <c r="D410" s="13">
        <f t="shared" si="92"/>
        <v>33.413970000000027</v>
      </c>
      <c r="E410" s="12">
        <f t="shared" si="93"/>
        <v>-21.906289500000078</v>
      </c>
      <c r="F410" s="12">
        <f t="shared" si="94"/>
        <v>825.38746200000026</v>
      </c>
      <c r="G410" s="12">
        <f t="shared" si="95"/>
        <v>3725.7654419999999</v>
      </c>
      <c r="H410" s="12">
        <f t="shared" si="96"/>
        <v>6649.3800300000003</v>
      </c>
      <c r="I410" s="12">
        <f t="shared" si="97"/>
        <v>33.079830300000069</v>
      </c>
      <c r="J410" s="22">
        <f t="shared" si="98"/>
        <v>1180003.9512602403</v>
      </c>
      <c r="K410" s="22">
        <f t="shared" si="99"/>
        <v>1131695.9304854402</v>
      </c>
      <c r="L410" s="22">
        <f t="shared" si="100"/>
        <v>48308.020774800098</v>
      </c>
      <c r="M410" s="22">
        <f t="shared" si="101"/>
        <v>1385697.9538512002</v>
      </c>
      <c r="N410" s="12">
        <f t="shared" si="102"/>
        <v>0.95906113642822355</v>
      </c>
      <c r="O410" s="12">
        <f t="shared" si="103"/>
        <v>0.55044940025996214</v>
      </c>
      <c r="P410" s="13">
        <f t="shared" si="104"/>
        <v>0.40861173616826141</v>
      </c>
      <c r="Q410" s="5">
        <v>0.41099999999999998</v>
      </c>
      <c r="U410" s="31">
        <f t="shared" si="90"/>
        <v>0.99482674999999987</v>
      </c>
    </row>
    <row r="411" spans="3:21" x14ac:dyDescent="0.2">
      <c r="C411" s="12">
        <f t="shared" si="91"/>
        <v>3077.7250368</v>
      </c>
      <c r="D411" s="13">
        <f t="shared" si="92"/>
        <v>33.357240000000033</v>
      </c>
      <c r="E411" s="12">
        <f t="shared" si="93"/>
        <v>-21.963019500000073</v>
      </c>
      <c r="F411" s="12">
        <f t="shared" si="94"/>
        <v>827.39570400000014</v>
      </c>
      <c r="G411" s="12">
        <f t="shared" si="95"/>
        <v>3735.1031999999996</v>
      </c>
      <c r="H411" s="12">
        <f t="shared" si="96"/>
        <v>6638.09076</v>
      </c>
      <c r="I411" s="12">
        <f t="shared" si="97"/>
        <v>33.023667600000074</v>
      </c>
      <c r="J411" s="22">
        <f t="shared" si="98"/>
        <v>1182875.7825907802</v>
      </c>
      <c r="K411" s="22">
        <f t="shared" si="99"/>
        <v>1134449.4485644801</v>
      </c>
      <c r="L411" s="22">
        <f t="shared" si="100"/>
        <v>48426.334026300116</v>
      </c>
      <c r="M411" s="22">
        <f t="shared" si="101"/>
        <v>1389169.9750799998</v>
      </c>
      <c r="N411" s="12">
        <f t="shared" si="102"/>
        <v>0.95906050767204409</v>
      </c>
      <c r="O411" s="12">
        <f t="shared" si="103"/>
        <v>0.55046730186988047</v>
      </c>
      <c r="P411" s="13">
        <f t="shared" si="104"/>
        <v>0.40859320580216363</v>
      </c>
      <c r="Q411" s="3">
        <v>0.41199999999999998</v>
      </c>
      <c r="U411" s="31">
        <f t="shared" si="90"/>
        <v>0.99482674999999987</v>
      </c>
    </row>
    <row r="412" spans="3:21" x14ac:dyDescent="0.2">
      <c r="C412" s="12">
        <f t="shared" si="91"/>
        <v>3085.1952431999998</v>
      </c>
      <c r="D412" s="13">
        <f t="shared" si="92"/>
        <v>33.300510000000024</v>
      </c>
      <c r="E412" s="12">
        <f t="shared" si="93"/>
        <v>-22.019749500000074</v>
      </c>
      <c r="F412" s="12">
        <f t="shared" si="94"/>
        <v>829.40394600000025</v>
      </c>
      <c r="G412" s="12">
        <f t="shared" si="95"/>
        <v>3744.4409579999997</v>
      </c>
      <c r="H412" s="12">
        <f t="shared" si="96"/>
        <v>6626.8014899999998</v>
      </c>
      <c r="I412" s="12">
        <f t="shared" si="97"/>
        <v>32.967504900000073</v>
      </c>
      <c r="J412" s="22">
        <f t="shared" si="98"/>
        <v>1185747.6139213198</v>
      </c>
      <c r="K412" s="22">
        <f t="shared" si="99"/>
        <v>1137202.9666435199</v>
      </c>
      <c r="L412" s="22">
        <f t="shared" si="100"/>
        <v>48544.647277799901</v>
      </c>
      <c r="M412" s="22">
        <f t="shared" si="101"/>
        <v>1392641.9963087998</v>
      </c>
      <c r="N412" s="12">
        <f t="shared" si="102"/>
        <v>0.95905988196150727</v>
      </c>
      <c r="O412" s="12">
        <f t="shared" si="103"/>
        <v>0.55048511537386535</v>
      </c>
      <c r="P412" s="13">
        <f t="shared" si="104"/>
        <v>0.40857476658764191</v>
      </c>
      <c r="Q412" s="5">
        <v>0.41299999999999998</v>
      </c>
      <c r="U412" s="31">
        <f t="shared" si="90"/>
        <v>0.99482674999999987</v>
      </c>
    </row>
    <row r="413" spans="3:21" x14ac:dyDescent="0.2">
      <c r="C413" s="12">
        <f t="shared" si="91"/>
        <v>3092.6654495999996</v>
      </c>
      <c r="D413" s="13">
        <f t="shared" si="92"/>
        <v>33.243780000000037</v>
      </c>
      <c r="E413" s="12">
        <f t="shared" si="93"/>
        <v>-22.076479500000069</v>
      </c>
      <c r="F413" s="12">
        <f t="shared" si="94"/>
        <v>831.41218800000013</v>
      </c>
      <c r="G413" s="12">
        <f t="shared" si="95"/>
        <v>3753.7787159999993</v>
      </c>
      <c r="H413" s="12">
        <f t="shared" si="96"/>
        <v>6615.5122200000014</v>
      </c>
      <c r="I413" s="12">
        <f t="shared" si="97"/>
        <v>32.911342200000078</v>
      </c>
      <c r="J413" s="22">
        <f t="shared" si="98"/>
        <v>1188619.44525186</v>
      </c>
      <c r="K413" s="22">
        <f t="shared" si="99"/>
        <v>1139956.48472256</v>
      </c>
      <c r="L413" s="22">
        <f t="shared" si="100"/>
        <v>48662.960529299919</v>
      </c>
      <c r="M413" s="22">
        <f t="shared" si="101"/>
        <v>1396114.0175375999</v>
      </c>
      <c r="N413" s="12">
        <f t="shared" si="102"/>
        <v>0.95905925927453717</v>
      </c>
      <c r="O413" s="12">
        <f t="shared" si="103"/>
        <v>0.55050284142076322</v>
      </c>
      <c r="P413" s="13">
        <f t="shared" si="104"/>
        <v>0.40855641785377395</v>
      </c>
      <c r="Q413" s="3">
        <v>0.41399999999999998</v>
      </c>
      <c r="U413" s="31">
        <f t="shared" si="90"/>
        <v>0.99482674999999987</v>
      </c>
    </row>
    <row r="414" spans="3:21" x14ac:dyDescent="0.2">
      <c r="C414" s="12">
        <f t="shared" si="91"/>
        <v>3100.1356560000004</v>
      </c>
      <c r="D414" s="13">
        <f t="shared" si="92"/>
        <v>33.187050000000028</v>
      </c>
      <c r="E414" s="12">
        <f t="shared" si="93"/>
        <v>-22.133209500000078</v>
      </c>
      <c r="F414" s="12">
        <f t="shared" si="94"/>
        <v>833.42043000000024</v>
      </c>
      <c r="G414" s="12">
        <f t="shared" si="95"/>
        <v>3763.1164739999999</v>
      </c>
      <c r="H414" s="12">
        <f t="shared" si="96"/>
        <v>6604.2229500000003</v>
      </c>
      <c r="I414" s="12">
        <f t="shared" si="97"/>
        <v>32.855179500000062</v>
      </c>
      <c r="J414" s="22">
        <f t="shared" si="98"/>
        <v>1191491.2765824001</v>
      </c>
      <c r="K414" s="22">
        <f t="shared" si="99"/>
        <v>1142710.0028016001</v>
      </c>
      <c r="L414" s="22">
        <f t="shared" si="100"/>
        <v>48781.273780799937</v>
      </c>
      <c r="M414" s="22">
        <f t="shared" si="101"/>
        <v>1399586.0387664002</v>
      </c>
      <c r="N414" s="12">
        <f t="shared" si="102"/>
        <v>0.95905863958927073</v>
      </c>
      <c r="O414" s="12">
        <f t="shared" si="103"/>
        <v>0.55052048065306503</v>
      </c>
      <c r="P414" s="13">
        <f t="shared" si="104"/>
        <v>0.40853815893620571</v>
      </c>
      <c r="Q414" s="5">
        <v>0.41499999999999998</v>
      </c>
      <c r="U414" s="31">
        <f t="shared" si="90"/>
        <v>0.99482674999999987</v>
      </c>
    </row>
    <row r="415" spans="3:21" x14ac:dyDescent="0.2">
      <c r="C415" s="12">
        <f t="shared" si="91"/>
        <v>3107.6058623999998</v>
      </c>
      <c r="D415" s="13">
        <f t="shared" si="92"/>
        <v>33.130320000000033</v>
      </c>
      <c r="E415" s="12">
        <f t="shared" si="93"/>
        <v>-22.189939500000072</v>
      </c>
      <c r="F415" s="12">
        <f t="shared" si="94"/>
        <v>835.42867200000012</v>
      </c>
      <c r="G415" s="12">
        <f t="shared" si="95"/>
        <v>3772.4542319999996</v>
      </c>
      <c r="H415" s="12">
        <f t="shared" si="96"/>
        <v>6592.9336800000001</v>
      </c>
      <c r="I415" s="12">
        <f t="shared" si="97"/>
        <v>32.799016800000068</v>
      </c>
      <c r="J415" s="22">
        <f t="shared" si="98"/>
        <v>1194363.10791294</v>
      </c>
      <c r="K415" s="22">
        <f t="shared" si="99"/>
        <v>1145463.52088064</v>
      </c>
      <c r="L415" s="22">
        <f t="shared" si="100"/>
        <v>48899.587032299954</v>
      </c>
      <c r="M415" s="22">
        <f t="shared" si="101"/>
        <v>1403058.0599952</v>
      </c>
      <c r="N415" s="12">
        <f t="shared" si="102"/>
        <v>0.95905802288405551</v>
      </c>
      <c r="O415" s="12">
        <f t="shared" si="103"/>
        <v>0.55053803370698429</v>
      </c>
      <c r="P415" s="13">
        <f t="shared" si="104"/>
        <v>0.40851998917707122</v>
      </c>
      <c r="Q415" s="3">
        <v>0.41599999999999998</v>
      </c>
      <c r="U415" s="31">
        <f t="shared" si="90"/>
        <v>0.99482674999999987</v>
      </c>
    </row>
    <row r="416" spans="3:21" x14ac:dyDescent="0.2">
      <c r="C416" s="12">
        <f t="shared" si="91"/>
        <v>3115.0760688</v>
      </c>
      <c r="D416" s="13">
        <f t="shared" si="92"/>
        <v>33.073590000000024</v>
      </c>
      <c r="E416" s="12">
        <f t="shared" si="93"/>
        <v>-22.246669500000074</v>
      </c>
      <c r="F416" s="12">
        <f t="shared" si="94"/>
        <v>837.43691400000023</v>
      </c>
      <c r="G416" s="12">
        <f t="shared" si="95"/>
        <v>3781.7919899999997</v>
      </c>
      <c r="H416" s="12">
        <f t="shared" si="96"/>
        <v>6581.6444099999999</v>
      </c>
      <c r="I416" s="12">
        <f t="shared" si="97"/>
        <v>32.742854100000066</v>
      </c>
      <c r="J416" s="22">
        <f t="shared" si="98"/>
        <v>1197234.9392434801</v>
      </c>
      <c r="K416" s="22">
        <f t="shared" si="99"/>
        <v>1148217.0389596801</v>
      </c>
      <c r="L416" s="22">
        <f t="shared" si="100"/>
        <v>49017.900283799972</v>
      </c>
      <c r="M416" s="22">
        <f t="shared" si="101"/>
        <v>1406530.0812239998</v>
      </c>
      <c r="N416" s="12">
        <f t="shared" si="102"/>
        <v>0.95905740913744641</v>
      </c>
      <c r="O416" s="12">
        <f t="shared" si="103"/>
        <v>0.55055550121253238</v>
      </c>
      <c r="P416" s="13">
        <f t="shared" si="104"/>
        <v>0.40850190792491403</v>
      </c>
      <c r="Q416" s="5">
        <v>0.41699999999999998</v>
      </c>
      <c r="U416" s="31">
        <f t="shared" si="90"/>
        <v>0.99482674999999987</v>
      </c>
    </row>
    <row r="417" spans="3:21" x14ac:dyDescent="0.2">
      <c r="C417" s="12">
        <f t="shared" si="91"/>
        <v>3122.5462751999999</v>
      </c>
      <c r="D417" s="13">
        <f t="shared" si="92"/>
        <v>33.01686000000003</v>
      </c>
      <c r="E417" s="12">
        <f t="shared" si="93"/>
        <v>-22.303399500000069</v>
      </c>
      <c r="F417" s="12">
        <f t="shared" si="94"/>
        <v>839.44515600000011</v>
      </c>
      <c r="G417" s="12">
        <f t="shared" si="95"/>
        <v>3791.1297479999994</v>
      </c>
      <c r="H417" s="12">
        <f t="shared" si="96"/>
        <v>6570.3551400000015</v>
      </c>
      <c r="I417" s="12">
        <f t="shared" si="97"/>
        <v>32.686691400000072</v>
      </c>
      <c r="J417" s="22">
        <f t="shared" si="98"/>
        <v>1200106.77057402</v>
      </c>
      <c r="K417" s="22">
        <f t="shared" si="99"/>
        <v>1150970.55703872</v>
      </c>
      <c r="L417" s="22">
        <f t="shared" si="100"/>
        <v>49136.21353529999</v>
      </c>
      <c r="M417" s="22">
        <f t="shared" si="101"/>
        <v>1410002.1024527999</v>
      </c>
      <c r="N417" s="12">
        <f t="shared" si="102"/>
        <v>0.9590567983282039</v>
      </c>
      <c r="O417" s="12">
        <f t="shared" si="103"/>
        <v>0.55057288379359559</v>
      </c>
      <c r="P417" s="13">
        <f t="shared" si="104"/>
        <v>0.40848391453460831</v>
      </c>
      <c r="Q417" s="3">
        <v>0.41799999999999998</v>
      </c>
      <c r="U417" s="31">
        <f t="shared" si="90"/>
        <v>0.99482674999999987</v>
      </c>
    </row>
    <row r="418" spans="3:21" x14ac:dyDescent="0.2">
      <c r="C418" s="12">
        <f t="shared" si="91"/>
        <v>3130.0164816000001</v>
      </c>
      <c r="D418" s="13">
        <f t="shared" si="92"/>
        <v>32.960130000000028</v>
      </c>
      <c r="E418" s="12">
        <f t="shared" si="93"/>
        <v>-22.360129500000077</v>
      </c>
      <c r="F418" s="12">
        <f t="shared" si="94"/>
        <v>841.45339800000022</v>
      </c>
      <c r="G418" s="12">
        <f t="shared" si="95"/>
        <v>3800.467506</v>
      </c>
      <c r="H418" s="12">
        <f t="shared" si="96"/>
        <v>6559.0658699999994</v>
      </c>
      <c r="I418" s="12">
        <f t="shared" si="97"/>
        <v>32.630528700000063</v>
      </c>
      <c r="J418" s="22">
        <f t="shared" si="98"/>
        <v>1202978.6019045599</v>
      </c>
      <c r="K418" s="22">
        <f t="shared" si="99"/>
        <v>1153724.0751177601</v>
      </c>
      <c r="L418" s="22">
        <f t="shared" si="100"/>
        <v>49254.526786799775</v>
      </c>
      <c r="M418" s="22">
        <f t="shared" si="101"/>
        <v>1413474.1236816</v>
      </c>
      <c r="N418" s="12">
        <f t="shared" si="102"/>
        <v>0.95905619043529133</v>
      </c>
      <c r="O418" s="12">
        <f t="shared" si="103"/>
        <v>0.55059018206800725</v>
      </c>
      <c r="P418" s="13">
        <f t="shared" si="104"/>
        <v>0.40846600836728408</v>
      </c>
      <c r="Q418" s="5">
        <v>0.41899999999999998</v>
      </c>
      <c r="U418" s="31">
        <f t="shared" si="90"/>
        <v>0.99482674999999987</v>
      </c>
    </row>
    <row r="419" spans="3:21" x14ac:dyDescent="0.2">
      <c r="C419" s="12">
        <f t="shared" si="91"/>
        <v>3137.486688</v>
      </c>
      <c r="D419" s="13">
        <f t="shared" si="92"/>
        <v>32.903400000000033</v>
      </c>
      <c r="E419" s="12">
        <f t="shared" si="93"/>
        <v>-22.416859500000072</v>
      </c>
      <c r="F419" s="12">
        <f t="shared" si="94"/>
        <v>843.46164000000022</v>
      </c>
      <c r="G419" s="12">
        <f t="shared" si="95"/>
        <v>3809.8052639999996</v>
      </c>
      <c r="H419" s="12">
        <f t="shared" si="96"/>
        <v>6547.7766000000011</v>
      </c>
      <c r="I419" s="12">
        <f t="shared" si="97"/>
        <v>32.574366000000069</v>
      </c>
      <c r="J419" s="22">
        <f t="shared" si="98"/>
        <v>1205850.4332351</v>
      </c>
      <c r="K419" s="22">
        <f t="shared" si="99"/>
        <v>1156477.5931968</v>
      </c>
      <c r="L419" s="22">
        <f t="shared" si="100"/>
        <v>49372.840038300026</v>
      </c>
      <c r="M419" s="22">
        <f t="shared" si="101"/>
        <v>1416946.1449104</v>
      </c>
      <c r="N419" s="12">
        <f t="shared" si="102"/>
        <v>0.95905558543787162</v>
      </c>
      <c r="O419" s="12">
        <f t="shared" si="103"/>
        <v>0.55060739664762315</v>
      </c>
      <c r="P419" s="13">
        <f t="shared" si="104"/>
        <v>0.40844818879024847</v>
      </c>
      <c r="Q419" s="3">
        <v>0.42</v>
      </c>
      <c r="U419" s="31">
        <f t="shared" si="90"/>
        <v>0.99482674999999987</v>
      </c>
    </row>
    <row r="420" spans="3:21" x14ac:dyDescent="0.2">
      <c r="C420" s="12">
        <f t="shared" si="91"/>
        <v>3144.9568944000002</v>
      </c>
      <c r="D420" s="13">
        <f t="shared" si="92"/>
        <v>32.846670000000024</v>
      </c>
      <c r="E420" s="12">
        <f t="shared" si="93"/>
        <v>-22.473589500000074</v>
      </c>
      <c r="F420" s="12">
        <f t="shared" si="94"/>
        <v>845.46988200000021</v>
      </c>
      <c r="G420" s="12">
        <f t="shared" si="95"/>
        <v>3819.1430219999997</v>
      </c>
      <c r="H420" s="12">
        <f t="shared" si="96"/>
        <v>6536.4873299999999</v>
      </c>
      <c r="I420" s="12">
        <f t="shared" si="97"/>
        <v>32.518203300000067</v>
      </c>
      <c r="J420" s="22">
        <f t="shared" si="98"/>
        <v>1208722.2645656401</v>
      </c>
      <c r="K420" s="22">
        <f t="shared" si="99"/>
        <v>1159231.1112758401</v>
      </c>
      <c r="L420" s="22">
        <f t="shared" si="100"/>
        <v>49491.153289800044</v>
      </c>
      <c r="M420" s="22">
        <f t="shared" si="101"/>
        <v>1420418.1661392001</v>
      </c>
      <c r="N420" s="12">
        <f t="shared" si="102"/>
        <v>0.95905498331530703</v>
      </c>
      <c r="O420" s="12">
        <f t="shared" si="103"/>
        <v>0.55062452813839191</v>
      </c>
      <c r="P420" s="13">
        <f t="shared" si="104"/>
        <v>0.40843045517691512</v>
      </c>
      <c r="Q420" s="5">
        <v>0.42099999999999999</v>
      </c>
      <c r="U420" s="31">
        <f t="shared" si="90"/>
        <v>0.99482674999999987</v>
      </c>
    </row>
    <row r="421" spans="3:21" x14ac:dyDescent="0.2">
      <c r="C421" s="12">
        <f t="shared" si="91"/>
        <v>3152.4271007999996</v>
      </c>
      <c r="D421" s="13">
        <f t="shared" si="92"/>
        <v>32.78994000000003</v>
      </c>
      <c r="E421" s="12">
        <f t="shared" si="93"/>
        <v>-22.530319500000068</v>
      </c>
      <c r="F421" s="12">
        <f t="shared" si="94"/>
        <v>847.47812400000021</v>
      </c>
      <c r="G421" s="12">
        <f t="shared" si="95"/>
        <v>3828.4807799999994</v>
      </c>
      <c r="H421" s="12">
        <f t="shared" si="96"/>
        <v>6525.1980600000015</v>
      </c>
      <c r="I421" s="12">
        <f t="shared" si="97"/>
        <v>32.462040600000073</v>
      </c>
      <c r="J421" s="22">
        <f t="shared" si="98"/>
        <v>1211594.09589618</v>
      </c>
      <c r="K421" s="22">
        <f t="shared" si="99"/>
        <v>1161984.62935488</v>
      </c>
      <c r="L421" s="22">
        <f t="shared" si="100"/>
        <v>49609.466541300062</v>
      </c>
      <c r="M421" s="22">
        <f t="shared" si="101"/>
        <v>1423890.1873679999</v>
      </c>
      <c r="N421" s="12">
        <f t="shared" si="102"/>
        <v>0.95905438404715448</v>
      </c>
      <c r="O421" s="12">
        <f t="shared" si="103"/>
        <v>0.55064157714042727</v>
      </c>
      <c r="P421" s="13">
        <f t="shared" si="104"/>
        <v>0.40841280690672721</v>
      </c>
      <c r="Q421" s="3">
        <v>0.42199999999999999</v>
      </c>
      <c r="U421" s="31">
        <f t="shared" si="90"/>
        <v>0.99482674999999987</v>
      </c>
    </row>
    <row r="422" spans="3:21" x14ac:dyDescent="0.2">
      <c r="C422" s="12">
        <f t="shared" si="91"/>
        <v>3159.8973072000003</v>
      </c>
      <c r="D422" s="13">
        <f t="shared" si="92"/>
        <v>32.733210000000021</v>
      </c>
      <c r="E422" s="12">
        <f t="shared" si="93"/>
        <v>-22.587049500000077</v>
      </c>
      <c r="F422" s="12">
        <f t="shared" si="94"/>
        <v>849.4863660000002</v>
      </c>
      <c r="G422" s="12">
        <f t="shared" si="95"/>
        <v>3837.818538</v>
      </c>
      <c r="H422" s="12">
        <f t="shared" si="96"/>
        <v>6513.9087899999995</v>
      </c>
      <c r="I422" s="12">
        <f t="shared" si="97"/>
        <v>32.405877900000064</v>
      </c>
      <c r="J422" s="22">
        <f t="shared" si="98"/>
        <v>1214465.9272267201</v>
      </c>
      <c r="K422" s="22">
        <f t="shared" si="99"/>
        <v>1164738.1474339203</v>
      </c>
      <c r="L422" s="22">
        <f t="shared" si="100"/>
        <v>49727.779792799847</v>
      </c>
      <c r="M422" s="22">
        <f t="shared" si="101"/>
        <v>1427362.2085968</v>
      </c>
      <c r="N422" s="12">
        <f t="shared" si="102"/>
        <v>0.95905378761316495</v>
      </c>
      <c r="O422" s="12">
        <f t="shared" si="103"/>
        <v>0.55065854424807759</v>
      </c>
      <c r="P422" s="13">
        <f t="shared" si="104"/>
        <v>0.40839524336508737</v>
      </c>
      <c r="Q422" s="5">
        <v>0.42299999999999999</v>
      </c>
      <c r="U422" s="31">
        <f t="shared" si="90"/>
        <v>0.99482674999999987</v>
      </c>
    </row>
    <row r="423" spans="3:21" x14ac:dyDescent="0.2">
      <c r="C423" s="12">
        <f t="shared" si="91"/>
        <v>3167.3675136000002</v>
      </c>
      <c r="D423" s="13">
        <f t="shared" si="92"/>
        <v>32.676480000000033</v>
      </c>
      <c r="E423" s="12">
        <f t="shared" si="93"/>
        <v>-22.643779500000072</v>
      </c>
      <c r="F423" s="12">
        <f t="shared" si="94"/>
        <v>851.4946080000002</v>
      </c>
      <c r="G423" s="12">
        <f t="shared" si="95"/>
        <v>3847.1562959999997</v>
      </c>
      <c r="H423" s="12">
        <f t="shared" si="96"/>
        <v>6502.6195200000011</v>
      </c>
      <c r="I423" s="12">
        <f t="shared" si="97"/>
        <v>32.34971520000007</v>
      </c>
      <c r="J423" s="22">
        <f t="shared" si="98"/>
        <v>1217337.75855726</v>
      </c>
      <c r="K423" s="22">
        <f t="shared" si="99"/>
        <v>1167491.6655129602</v>
      </c>
      <c r="L423" s="22">
        <f t="shared" si="100"/>
        <v>49846.093044299865</v>
      </c>
      <c r="M423" s="22">
        <f t="shared" si="101"/>
        <v>1430834.2298256001</v>
      </c>
      <c r="N423" s="12">
        <f t="shared" si="102"/>
        <v>0.95905319399327971</v>
      </c>
      <c r="O423" s="12">
        <f t="shared" si="103"/>
        <v>0.55067543004999497</v>
      </c>
      <c r="P423" s="13">
        <f t="shared" si="104"/>
        <v>0.40837776394328473</v>
      </c>
      <c r="Q423" s="3">
        <v>0.42399999999999999</v>
      </c>
      <c r="U423" s="31">
        <f t="shared" si="90"/>
        <v>0.99482674999999987</v>
      </c>
    </row>
    <row r="424" spans="3:21" x14ac:dyDescent="0.2">
      <c r="C424" s="12">
        <f t="shared" si="91"/>
        <v>3174.83772</v>
      </c>
      <c r="D424" s="13">
        <f t="shared" si="92"/>
        <v>32.619750000000025</v>
      </c>
      <c r="E424" s="12">
        <f t="shared" si="93"/>
        <v>-22.700509500000081</v>
      </c>
      <c r="F424" s="12">
        <f t="shared" si="94"/>
        <v>853.50285000000031</v>
      </c>
      <c r="G424" s="12">
        <f t="shared" si="95"/>
        <v>3856.4940539999998</v>
      </c>
      <c r="H424" s="12">
        <f t="shared" si="96"/>
        <v>6491.33025</v>
      </c>
      <c r="I424" s="12">
        <f t="shared" si="97"/>
        <v>32.293552500000061</v>
      </c>
      <c r="J424" s="22">
        <f t="shared" si="98"/>
        <v>1220209.5898877999</v>
      </c>
      <c r="K424" s="22">
        <f t="shared" si="99"/>
        <v>1170245.183592</v>
      </c>
      <c r="L424" s="22">
        <f t="shared" si="100"/>
        <v>49964.406295799883</v>
      </c>
      <c r="M424" s="22">
        <f t="shared" si="101"/>
        <v>1434306.2510544001</v>
      </c>
      <c r="N424" s="12">
        <f t="shared" si="102"/>
        <v>0.95905260316762941</v>
      </c>
      <c r="O424" s="12">
        <f t="shared" si="103"/>
        <v>0.55069223512920362</v>
      </c>
      <c r="P424" s="13">
        <f t="shared" si="104"/>
        <v>0.40836036803842579</v>
      </c>
      <c r="Q424" s="5">
        <v>0.42499999999999999</v>
      </c>
      <c r="U424" s="31">
        <f t="shared" si="90"/>
        <v>0.99482674999999987</v>
      </c>
    </row>
    <row r="425" spans="3:21" x14ac:dyDescent="0.2">
      <c r="C425" s="12">
        <f t="shared" si="91"/>
        <v>3182.3079263999998</v>
      </c>
      <c r="D425" s="13">
        <f t="shared" si="92"/>
        <v>32.56302000000003</v>
      </c>
      <c r="E425" s="12">
        <f t="shared" si="93"/>
        <v>-22.757239500000068</v>
      </c>
      <c r="F425" s="12">
        <f t="shared" si="94"/>
        <v>855.51109200000019</v>
      </c>
      <c r="G425" s="12">
        <f t="shared" si="95"/>
        <v>3865.8318119999994</v>
      </c>
      <c r="H425" s="12">
        <f t="shared" si="96"/>
        <v>6480.0409800000007</v>
      </c>
      <c r="I425" s="12">
        <f t="shared" si="97"/>
        <v>32.237389800000074</v>
      </c>
      <c r="J425" s="22">
        <f t="shared" si="98"/>
        <v>1223081.4212183398</v>
      </c>
      <c r="K425" s="22">
        <f t="shared" si="99"/>
        <v>1172998.7016710399</v>
      </c>
      <c r="L425" s="22">
        <f t="shared" si="100"/>
        <v>50082.719547299901</v>
      </c>
      <c r="M425" s="22">
        <f t="shared" si="101"/>
        <v>1437778.2722831999</v>
      </c>
      <c r="N425" s="12">
        <f t="shared" si="102"/>
        <v>0.95905201511653138</v>
      </c>
      <c r="O425" s="12">
        <f t="shared" si="103"/>
        <v>0.55070896006316639</v>
      </c>
      <c r="P425" s="13">
        <f t="shared" si="104"/>
        <v>0.40834305505336499</v>
      </c>
      <c r="Q425" s="3">
        <v>0.42599999999999999</v>
      </c>
      <c r="U425" s="31">
        <f t="shared" si="90"/>
        <v>0.99482674999999987</v>
      </c>
    </row>
    <row r="426" spans="3:21" x14ac:dyDescent="0.2">
      <c r="C426" s="12">
        <f t="shared" si="91"/>
        <v>3189.7781328000001</v>
      </c>
      <c r="D426" s="13">
        <f t="shared" si="92"/>
        <v>32.506290000000028</v>
      </c>
      <c r="E426" s="12">
        <f t="shared" si="93"/>
        <v>-22.813969500000077</v>
      </c>
      <c r="F426" s="12">
        <f t="shared" si="94"/>
        <v>857.5193340000003</v>
      </c>
      <c r="G426" s="12">
        <f t="shared" si="95"/>
        <v>3875.16957</v>
      </c>
      <c r="H426" s="12">
        <f t="shared" si="96"/>
        <v>6468.7517099999995</v>
      </c>
      <c r="I426" s="12">
        <f t="shared" si="97"/>
        <v>32.181227100000065</v>
      </c>
      <c r="J426" s="22">
        <f t="shared" si="98"/>
        <v>1225953.2525488802</v>
      </c>
      <c r="K426" s="22">
        <f t="shared" si="99"/>
        <v>1175752.21975008</v>
      </c>
      <c r="L426" s="22">
        <f t="shared" si="100"/>
        <v>50201.032798800152</v>
      </c>
      <c r="M426" s="22">
        <f t="shared" si="101"/>
        <v>1441250.2935120002</v>
      </c>
      <c r="N426" s="12">
        <f t="shared" si="102"/>
        <v>0.95905142982048697</v>
      </c>
      <c r="O426" s="12">
        <f t="shared" si="103"/>
        <v>0.55072560542385163</v>
      </c>
      <c r="P426" s="13">
        <f t="shared" si="104"/>
        <v>0.40832582439663534</v>
      </c>
      <c r="Q426" s="5">
        <v>0.42699999999999999</v>
      </c>
      <c r="U426" s="31">
        <f t="shared" si="90"/>
        <v>0.99482674999999987</v>
      </c>
    </row>
    <row r="427" spans="3:21" x14ac:dyDescent="0.2">
      <c r="C427" s="12">
        <f t="shared" si="91"/>
        <v>3197.2483391999999</v>
      </c>
      <c r="D427" s="13">
        <f t="shared" si="92"/>
        <v>32.449560000000034</v>
      </c>
      <c r="E427" s="12">
        <f t="shared" si="93"/>
        <v>-22.870699500000072</v>
      </c>
      <c r="F427" s="12">
        <f t="shared" si="94"/>
        <v>859.52757600000018</v>
      </c>
      <c r="G427" s="12">
        <f t="shared" si="95"/>
        <v>3884.5073279999997</v>
      </c>
      <c r="H427" s="12">
        <f t="shared" si="96"/>
        <v>6457.4624400000012</v>
      </c>
      <c r="I427" s="12">
        <f t="shared" si="97"/>
        <v>32.12506440000007</v>
      </c>
      <c r="J427" s="22">
        <f t="shared" si="98"/>
        <v>1228825.0838794201</v>
      </c>
      <c r="K427" s="22">
        <f t="shared" si="99"/>
        <v>1178505.7378291201</v>
      </c>
      <c r="L427" s="22">
        <f t="shared" si="100"/>
        <v>50319.346050299937</v>
      </c>
      <c r="M427" s="22">
        <f t="shared" si="101"/>
        <v>1444722.3147407998</v>
      </c>
      <c r="N427" s="12">
        <f t="shared" si="102"/>
        <v>0.95905084726018042</v>
      </c>
      <c r="O427" s="12">
        <f t="shared" si="103"/>
        <v>0.55074217177779738</v>
      </c>
      <c r="P427" s="13">
        <f t="shared" si="104"/>
        <v>0.40830867548238303</v>
      </c>
      <c r="Q427" s="3">
        <v>0.42799999999999999</v>
      </c>
      <c r="U427" s="31">
        <f t="shared" si="90"/>
        <v>0.99482674999999987</v>
      </c>
    </row>
    <row r="428" spans="3:21" x14ac:dyDescent="0.2">
      <c r="C428" s="12">
        <f t="shared" si="91"/>
        <v>3204.7185456000002</v>
      </c>
      <c r="D428" s="13">
        <f t="shared" si="92"/>
        <v>32.392830000000025</v>
      </c>
      <c r="E428" s="12">
        <f t="shared" si="93"/>
        <v>-22.927429500000081</v>
      </c>
      <c r="F428" s="12">
        <f t="shared" si="94"/>
        <v>861.53581800000029</v>
      </c>
      <c r="G428" s="12">
        <f t="shared" si="95"/>
        <v>3893.8450859999998</v>
      </c>
      <c r="H428" s="12">
        <f t="shared" si="96"/>
        <v>6446.1731699999991</v>
      </c>
      <c r="I428" s="12">
        <f t="shared" si="97"/>
        <v>32.068901700000062</v>
      </c>
      <c r="J428" s="22">
        <f t="shared" si="98"/>
        <v>1231696.9152099602</v>
      </c>
      <c r="K428" s="22">
        <f t="shared" si="99"/>
        <v>1181259.2559081602</v>
      </c>
      <c r="L428" s="22">
        <f t="shared" si="100"/>
        <v>50437.659301799955</v>
      </c>
      <c r="M428" s="22">
        <f t="shared" si="101"/>
        <v>1448194.3359695999</v>
      </c>
      <c r="N428" s="12">
        <f t="shared" si="102"/>
        <v>0.95905026741647548</v>
      </c>
      <c r="O428" s="12">
        <f t="shared" si="103"/>
        <v>0.55075865968617732</v>
      </c>
      <c r="P428" s="13">
        <f t="shared" si="104"/>
        <v>0.40829160773029816</v>
      </c>
      <c r="Q428" s="5">
        <v>0.42899999999999999</v>
      </c>
      <c r="U428" s="31">
        <f t="shared" si="90"/>
        <v>0.99482674999999987</v>
      </c>
    </row>
    <row r="429" spans="3:21" x14ac:dyDescent="0.2">
      <c r="C429" s="12">
        <f t="shared" si="91"/>
        <v>3212.188752</v>
      </c>
      <c r="D429" s="13">
        <f t="shared" si="92"/>
        <v>32.33610000000003</v>
      </c>
      <c r="E429" s="12">
        <f t="shared" si="93"/>
        <v>-22.984159500000075</v>
      </c>
      <c r="F429" s="12">
        <f t="shared" si="94"/>
        <v>863.54406000000017</v>
      </c>
      <c r="G429" s="12">
        <f t="shared" si="95"/>
        <v>3903.1828439999995</v>
      </c>
      <c r="H429" s="12">
        <f t="shared" si="96"/>
        <v>6434.8839000000007</v>
      </c>
      <c r="I429" s="12">
        <f t="shared" si="97"/>
        <v>32.012739000000067</v>
      </c>
      <c r="J429" s="22">
        <f t="shared" si="98"/>
        <v>1234568.7465405001</v>
      </c>
      <c r="K429" s="22">
        <f t="shared" si="99"/>
        <v>1184012.7739872001</v>
      </c>
      <c r="L429" s="22">
        <f t="shared" si="100"/>
        <v>50555.972553299973</v>
      </c>
      <c r="M429" s="22">
        <f t="shared" si="101"/>
        <v>1451666.3571984</v>
      </c>
      <c r="N429" s="12">
        <f t="shared" si="102"/>
        <v>0.9590496902704142</v>
      </c>
      <c r="O429" s="12">
        <f t="shared" si="103"/>
        <v>0.55077506970486234</v>
      </c>
      <c r="P429" s="13">
        <f t="shared" si="104"/>
        <v>0.40827462056555186</v>
      </c>
      <c r="Q429" s="3">
        <v>0.43</v>
      </c>
      <c r="U429" s="31">
        <f t="shared" si="90"/>
        <v>0.99482674999999987</v>
      </c>
    </row>
    <row r="430" spans="3:21" x14ac:dyDescent="0.2">
      <c r="C430" s="12">
        <f t="shared" si="91"/>
        <v>3219.6589584000003</v>
      </c>
      <c r="D430" s="13">
        <f t="shared" si="92"/>
        <v>32.279370000000029</v>
      </c>
      <c r="E430" s="12">
        <f t="shared" si="93"/>
        <v>-23.040889500000077</v>
      </c>
      <c r="F430" s="12">
        <f t="shared" si="94"/>
        <v>865.55230200000028</v>
      </c>
      <c r="G430" s="12">
        <f t="shared" si="95"/>
        <v>3912.5206020000001</v>
      </c>
      <c r="H430" s="12">
        <f t="shared" si="96"/>
        <v>6423.5946299999996</v>
      </c>
      <c r="I430" s="12">
        <f t="shared" si="97"/>
        <v>31.956576300000066</v>
      </c>
      <c r="J430" s="22">
        <f t="shared" si="98"/>
        <v>1237440.5778710402</v>
      </c>
      <c r="K430" s="22">
        <f t="shared" si="99"/>
        <v>1186766.2920662402</v>
      </c>
      <c r="L430" s="22">
        <f t="shared" si="100"/>
        <v>50674.285804799991</v>
      </c>
      <c r="M430" s="22">
        <f t="shared" si="101"/>
        <v>1455138.3784272003</v>
      </c>
      <c r="N430" s="12">
        <f t="shared" si="102"/>
        <v>0.95904911580321472</v>
      </c>
      <c r="O430" s="12">
        <f t="shared" si="103"/>
        <v>0.55079140238448399</v>
      </c>
      <c r="P430" s="13">
        <f t="shared" si="104"/>
        <v>0.40825771341873074</v>
      </c>
      <c r="Q430" s="5">
        <v>0.43099999999999999</v>
      </c>
      <c r="U430" s="31">
        <f t="shared" si="90"/>
        <v>0.99482674999999987</v>
      </c>
    </row>
    <row r="431" spans="3:21" x14ac:dyDescent="0.2">
      <c r="C431" s="12">
        <f t="shared" si="91"/>
        <v>3227.1291647999997</v>
      </c>
      <c r="D431" s="13">
        <f t="shared" si="92"/>
        <v>32.222640000000034</v>
      </c>
      <c r="E431" s="12">
        <f t="shared" si="93"/>
        <v>-23.097619500000079</v>
      </c>
      <c r="F431" s="12">
        <f t="shared" si="94"/>
        <v>867.56054400000016</v>
      </c>
      <c r="G431" s="12">
        <f t="shared" si="95"/>
        <v>3921.8583599999993</v>
      </c>
      <c r="H431" s="12">
        <f t="shared" si="96"/>
        <v>6412.3053600000012</v>
      </c>
      <c r="I431" s="12">
        <f t="shared" si="97"/>
        <v>31.900413600000061</v>
      </c>
      <c r="J431" s="22">
        <f t="shared" si="98"/>
        <v>1240312.4092015799</v>
      </c>
      <c r="K431" s="22">
        <f t="shared" si="99"/>
        <v>1189519.8101452799</v>
      </c>
      <c r="L431" s="22">
        <f t="shared" si="100"/>
        <v>50792.599056300009</v>
      </c>
      <c r="M431" s="22">
        <f t="shared" si="101"/>
        <v>1458610.3996559998</v>
      </c>
      <c r="N431" s="12">
        <f t="shared" si="102"/>
        <v>0.95904854399626904</v>
      </c>
      <c r="O431" s="12">
        <f t="shared" si="103"/>
        <v>0.55080765827049583</v>
      </c>
      <c r="P431" s="13">
        <f t="shared" si="104"/>
        <v>0.40824088572577322</v>
      </c>
      <c r="Q431" s="3">
        <v>0.432</v>
      </c>
      <c r="U431" s="31">
        <f t="shared" si="90"/>
        <v>0.99482674999999987</v>
      </c>
    </row>
    <row r="432" spans="3:21" x14ac:dyDescent="0.2">
      <c r="C432" s="12">
        <f t="shared" si="91"/>
        <v>3234.5993712</v>
      </c>
      <c r="D432" s="13">
        <f t="shared" si="92"/>
        <v>32.165910000000025</v>
      </c>
      <c r="E432" s="12">
        <f t="shared" si="93"/>
        <v>-23.15434950000008</v>
      </c>
      <c r="F432" s="12">
        <f t="shared" si="94"/>
        <v>869.56878600000027</v>
      </c>
      <c r="G432" s="12">
        <f t="shared" si="95"/>
        <v>3931.1961179999998</v>
      </c>
      <c r="H432" s="12">
        <f t="shared" si="96"/>
        <v>6401.0160899999992</v>
      </c>
      <c r="I432" s="12">
        <f t="shared" si="97"/>
        <v>31.844250900000059</v>
      </c>
      <c r="J432" s="22">
        <f t="shared" si="98"/>
        <v>1243184.24053212</v>
      </c>
      <c r="K432" s="22">
        <f t="shared" si="99"/>
        <v>1192273.32822432</v>
      </c>
      <c r="L432" s="22">
        <f t="shared" si="100"/>
        <v>50910.912307800027</v>
      </c>
      <c r="M432" s="22">
        <f t="shared" si="101"/>
        <v>1462082.4208847999</v>
      </c>
      <c r="N432" s="12">
        <f t="shared" si="102"/>
        <v>0.95904797483114113</v>
      </c>
      <c r="O432" s="12">
        <f t="shared" si="103"/>
        <v>0.5508238379032343</v>
      </c>
      <c r="P432" s="13">
        <f t="shared" si="104"/>
        <v>0.40822413692790682</v>
      </c>
      <c r="Q432" s="5">
        <v>0.433</v>
      </c>
      <c r="U432" s="31">
        <f t="shared" si="90"/>
        <v>0.99482674999999987</v>
      </c>
    </row>
    <row r="433" spans="3:21" x14ac:dyDescent="0.2">
      <c r="C433" s="12">
        <f t="shared" si="91"/>
        <v>3242.0695775999998</v>
      </c>
      <c r="D433" s="13">
        <f t="shared" si="92"/>
        <v>32.10918000000003</v>
      </c>
      <c r="E433" s="12">
        <f t="shared" si="93"/>
        <v>-23.211079500000075</v>
      </c>
      <c r="F433" s="12">
        <f t="shared" si="94"/>
        <v>871.57702800000015</v>
      </c>
      <c r="G433" s="12">
        <f t="shared" si="95"/>
        <v>3940.5338759999995</v>
      </c>
      <c r="H433" s="12">
        <f t="shared" si="96"/>
        <v>6389.7268200000008</v>
      </c>
      <c r="I433" s="12">
        <f t="shared" si="97"/>
        <v>31.788088200000065</v>
      </c>
      <c r="J433" s="22">
        <f t="shared" si="98"/>
        <v>1246056.0718626599</v>
      </c>
      <c r="K433" s="22">
        <f t="shared" si="99"/>
        <v>1195026.8463033601</v>
      </c>
      <c r="L433" s="22">
        <f t="shared" si="100"/>
        <v>51029.225559299812</v>
      </c>
      <c r="M433" s="22">
        <f t="shared" si="101"/>
        <v>1465554.4421136</v>
      </c>
      <c r="N433" s="12">
        <f t="shared" si="102"/>
        <v>0.95904740828956514</v>
      </c>
      <c r="O433" s="12">
        <f t="shared" si="103"/>
        <v>0.55083994181797824</v>
      </c>
      <c r="P433" s="13">
        <f t="shared" si="104"/>
        <v>0.4082074664715869</v>
      </c>
      <c r="Q433" s="3">
        <v>0.434</v>
      </c>
      <c r="U433" s="31">
        <f t="shared" si="90"/>
        <v>0.99482674999999987</v>
      </c>
    </row>
    <row r="434" spans="3:21" x14ac:dyDescent="0.2">
      <c r="C434" s="12">
        <f t="shared" si="91"/>
        <v>3249.5397840000001</v>
      </c>
      <c r="D434" s="13">
        <f t="shared" si="92"/>
        <v>32.052450000000029</v>
      </c>
      <c r="E434" s="12">
        <f t="shared" si="93"/>
        <v>-23.267809500000077</v>
      </c>
      <c r="F434" s="12">
        <f t="shared" si="94"/>
        <v>873.58527000000026</v>
      </c>
      <c r="G434" s="12">
        <f t="shared" si="95"/>
        <v>3949.8716339999996</v>
      </c>
      <c r="H434" s="12">
        <f t="shared" si="96"/>
        <v>6378.4375499999996</v>
      </c>
      <c r="I434" s="12">
        <f t="shared" si="97"/>
        <v>31.731925500000063</v>
      </c>
      <c r="J434" s="22">
        <f t="shared" si="98"/>
        <v>1248927.9031932</v>
      </c>
      <c r="K434" s="22">
        <f t="shared" si="99"/>
        <v>1197780.3643824002</v>
      </c>
      <c r="L434" s="22">
        <f t="shared" si="100"/>
        <v>51147.53881079983</v>
      </c>
      <c r="M434" s="22">
        <f t="shared" si="101"/>
        <v>1469026.4633424</v>
      </c>
      <c r="N434" s="12">
        <f t="shared" si="102"/>
        <v>0.95904684435344245</v>
      </c>
      <c r="O434" s="12">
        <f t="shared" si="103"/>
        <v>0.55085597054500846</v>
      </c>
      <c r="P434" s="13">
        <f t="shared" si="104"/>
        <v>0.408190873808434</v>
      </c>
      <c r="Q434" s="5">
        <v>0.435</v>
      </c>
      <c r="U434" s="31">
        <f t="shared" si="90"/>
        <v>0.99482674999999987</v>
      </c>
    </row>
    <row r="435" spans="3:21" x14ac:dyDescent="0.2">
      <c r="C435" s="12">
        <f t="shared" si="91"/>
        <v>3257.0099903999999</v>
      </c>
      <c r="D435" s="13">
        <f t="shared" si="92"/>
        <v>31.995720000000031</v>
      </c>
      <c r="E435" s="12">
        <f t="shared" si="93"/>
        <v>-23.324539500000075</v>
      </c>
      <c r="F435" s="12">
        <f t="shared" si="94"/>
        <v>875.59351200000015</v>
      </c>
      <c r="G435" s="12">
        <f t="shared" si="95"/>
        <v>3959.2093919999993</v>
      </c>
      <c r="H435" s="12">
        <f t="shared" si="96"/>
        <v>6367.1482800000003</v>
      </c>
      <c r="I435" s="12">
        <f t="shared" si="97"/>
        <v>31.675762800000069</v>
      </c>
      <c r="J435" s="22">
        <f t="shared" si="98"/>
        <v>1251799.7345237401</v>
      </c>
      <c r="K435" s="22">
        <f t="shared" si="99"/>
        <v>1200533.8824614401</v>
      </c>
      <c r="L435" s="22">
        <f t="shared" si="100"/>
        <v>51265.85206230008</v>
      </c>
      <c r="M435" s="22">
        <f t="shared" si="101"/>
        <v>1472498.4845711999</v>
      </c>
      <c r="N435" s="12">
        <f t="shared" si="102"/>
        <v>0.95904628300484129</v>
      </c>
      <c r="O435" s="12">
        <f t="shared" si="103"/>
        <v>0.5508719246096655</v>
      </c>
      <c r="P435" s="13">
        <f t="shared" si="104"/>
        <v>0.4081743583951758</v>
      </c>
      <c r="Q435" s="3">
        <v>0.436</v>
      </c>
      <c r="U435" s="31">
        <f t="shared" si="90"/>
        <v>0.99482674999999987</v>
      </c>
    </row>
    <row r="436" spans="3:21" x14ac:dyDescent="0.2">
      <c r="C436" s="12">
        <f t="shared" si="91"/>
        <v>3264.4801968000002</v>
      </c>
      <c r="D436" s="13">
        <f t="shared" si="92"/>
        <v>31.938990000000029</v>
      </c>
      <c r="E436" s="12">
        <f t="shared" si="93"/>
        <v>-23.381269500000077</v>
      </c>
      <c r="F436" s="12">
        <f t="shared" si="94"/>
        <v>877.60175400000026</v>
      </c>
      <c r="G436" s="12">
        <f t="shared" si="95"/>
        <v>3968.5471499999999</v>
      </c>
      <c r="H436" s="12">
        <f t="shared" si="96"/>
        <v>6355.8590099999992</v>
      </c>
      <c r="I436" s="12">
        <f t="shared" si="97"/>
        <v>31.619600100000067</v>
      </c>
      <c r="J436" s="22">
        <f t="shared" si="98"/>
        <v>1254671.56585428</v>
      </c>
      <c r="K436" s="22">
        <f t="shared" si="99"/>
        <v>1203287.4005404802</v>
      </c>
      <c r="L436" s="22">
        <f t="shared" si="100"/>
        <v>51384.165313799866</v>
      </c>
      <c r="M436" s="22">
        <f t="shared" si="101"/>
        <v>1475970.5058000002</v>
      </c>
      <c r="N436" s="12">
        <f t="shared" si="102"/>
        <v>0.95904572422599421</v>
      </c>
      <c r="O436" s="12">
        <f t="shared" si="103"/>
        <v>0.55088780453240682</v>
      </c>
      <c r="P436" s="13">
        <f t="shared" si="104"/>
        <v>0.40815791969358739</v>
      </c>
      <c r="Q436" s="5">
        <v>0.437</v>
      </c>
      <c r="U436" s="31">
        <f t="shared" si="90"/>
        <v>0.99482674999999987</v>
      </c>
    </row>
    <row r="437" spans="3:21" x14ac:dyDescent="0.2">
      <c r="C437" s="12">
        <f t="shared" si="91"/>
        <v>3271.9504032</v>
      </c>
      <c r="D437" s="13">
        <f t="shared" si="92"/>
        <v>31.882260000000031</v>
      </c>
      <c r="E437" s="12">
        <f t="shared" si="93"/>
        <v>-23.437999500000075</v>
      </c>
      <c r="F437" s="12">
        <f t="shared" si="94"/>
        <v>879.60999600000014</v>
      </c>
      <c r="G437" s="12">
        <f t="shared" si="95"/>
        <v>3977.8849079999995</v>
      </c>
      <c r="H437" s="12">
        <f t="shared" si="96"/>
        <v>6344.5697400000008</v>
      </c>
      <c r="I437" s="12">
        <f t="shared" si="97"/>
        <v>31.563437400000065</v>
      </c>
      <c r="J437" s="22">
        <f t="shared" si="98"/>
        <v>1257543.3971848201</v>
      </c>
      <c r="K437" s="22">
        <f t="shared" si="99"/>
        <v>1206040.91861952</v>
      </c>
      <c r="L437" s="22">
        <f t="shared" si="100"/>
        <v>51502.478565300116</v>
      </c>
      <c r="M437" s="22">
        <f t="shared" si="101"/>
        <v>1479442.5270287998</v>
      </c>
      <c r="N437" s="12">
        <f t="shared" si="102"/>
        <v>0.95904516799929507</v>
      </c>
      <c r="O437" s="12">
        <f t="shared" si="103"/>
        <v>0.5509036108288643</v>
      </c>
      <c r="P437" s="13">
        <f t="shared" si="104"/>
        <v>0.40814155717043077</v>
      </c>
      <c r="Q437" s="3">
        <v>0.438</v>
      </c>
      <c r="U437" s="31">
        <f t="shared" si="90"/>
        <v>0.99482674999999987</v>
      </c>
    </row>
    <row r="438" spans="3:21" x14ac:dyDescent="0.2">
      <c r="C438" s="12">
        <f t="shared" si="91"/>
        <v>3279.4206096000003</v>
      </c>
      <c r="D438" s="13">
        <f t="shared" si="92"/>
        <v>31.825530000000025</v>
      </c>
      <c r="E438" s="12">
        <f t="shared" si="93"/>
        <v>-23.49472950000008</v>
      </c>
      <c r="F438" s="12">
        <f t="shared" si="94"/>
        <v>881.61823800000025</v>
      </c>
      <c r="G438" s="12">
        <f t="shared" si="95"/>
        <v>3987.2226660000001</v>
      </c>
      <c r="H438" s="12">
        <f t="shared" si="96"/>
        <v>6333.2804699999988</v>
      </c>
      <c r="I438" s="12">
        <f t="shared" si="97"/>
        <v>31.50727470000006</v>
      </c>
      <c r="J438" s="22">
        <f t="shared" si="98"/>
        <v>1260415.2285153603</v>
      </c>
      <c r="K438" s="22">
        <f t="shared" si="99"/>
        <v>1208794.4366985601</v>
      </c>
      <c r="L438" s="22">
        <f t="shared" si="100"/>
        <v>51620.791816800134</v>
      </c>
      <c r="M438" s="22">
        <f t="shared" si="101"/>
        <v>1482914.5482576001</v>
      </c>
      <c r="N438" s="12">
        <f t="shared" si="102"/>
        <v>0.95904461430729926</v>
      </c>
      <c r="O438" s="12">
        <f t="shared" si="103"/>
        <v>0.55091934400989939</v>
      </c>
      <c r="P438" s="13">
        <f t="shared" si="104"/>
        <v>0.40812527029739987</v>
      </c>
      <c r="Q438" s="5">
        <v>0.439</v>
      </c>
      <c r="U438" s="31">
        <f t="shared" si="90"/>
        <v>0.99482674999999987</v>
      </c>
    </row>
    <row r="439" spans="3:21" x14ac:dyDescent="0.2">
      <c r="C439" s="12">
        <f t="shared" si="91"/>
        <v>3286.8908160000001</v>
      </c>
      <c r="D439" s="13">
        <f t="shared" si="92"/>
        <v>31.768800000000031</v>
      </c>
      <c r="E439" s="12">
        <f t="shared" si="93"/>
        <v>-23.551459500000075</v>
      </c>
      <c r="F439" s="12">
        <f t="shared" si="94"/>
        <v>883.62648000000024</v>
      </c>
      <c r="G439" s="12">
        <f t="shared" si="95"/>
        <v>3996.5604239999998</v>
      </c>
      <c r="H439" s="12">
        <f t="shared" si="96"/>
        <v>6321.9912000000004</v>
      </c>
      <c r="I439" s="12">
        <f t="shared" si="97"/>
        <v>31.451112000000066</v>
      </c>
      <c r="J439" s="22">
        <f t="shared" si="98"/>
        <v>1263287.0598458999</v>
      </c>
      <c r="K439" s="22">
        <f t="shared" si="99"/>
        <v>1211547.9547776</v>
      </c>
      <c r="L439" s="22">
        <f t="shared" si="100"/>
        <v>51739.105068299919</v>
      </c>
      <c r="M439" s="22">
        <f t="shared" si="101"/>
        <v>1486386.5694864001</v>
      </c>
      <c r="N439" s="12">
        <f t="shared" si="102"/>
        <v>0.95904406313272039</v>
      </c>
      <c r="O439" s="12">
        <f t="shared" si="103"/>
        <v>0.55093500458165789</v>
      </c>
      <c r="P439" s="13">
        <f t="shared" si="104"/>
        <v>0.4081090585510625</v>
      </c>
      <c r="Q439" s="3">
        <v>0.44</v>
      </c>
      <c r="U439" s="31">
        <f t="shared" si="90"/>
        <v>0.99482674999999987</v>
      </c>
    </row>
    <row r="440" spans="3:21" x14ac:dyDescent="0.2">
      <c r="C440" s="12">
        <f t="shared" si="91"/>
        <v>3294.3610223999999</v>
      </c>
      <c r="D440" s="13">
        <f t="shared" si="92"/>
        <v>31.712070000000026</v>
      </c>
      <c r="E440" s="12">
        <f t="shared" si="93"/>
        <v>-23.60818950000008</v>
      </c>
      <c r="F440" s="12">
        <f t="shared" si="94"/>
        <v>885.63472200000024</v>
      </c>
      <c r="G440" s="12">
        <f t="shared" si="95"/>
        <v>4005.8981819999995</v>
      </c>
      <c r="H440" s="12">
        <f t="shared" si="96"/>
        <v>6310.7019299999993</v>
      </c>
      <c r="I440" s="12">
        <f t="shared" si="97"/>
        <v>31.394949300000057</v>
      </c>
      <c r="J440" s="22">
        <f t="shared" si="98"/>
        <v>1266158.8911764401</v>
      </c>
      <c r="K440" s="22">
        <f t="shared" si="99"/>
        <v>1214301.4728566401</v>
      </c>
      <c r="L440" s="22">
        <f t="shared" si="100"/>
        <v>51857.418319799937</v>
      </c>
      <c r="M440" s="22">
        <f t="shared" si="101"/>
        <v>1489858.5907151999</v>
      </c>
      <c r="N440" s="12">
        <f t="shared" si="102"/>
        <v>0.95904351445842861</v>
      </c>
      <c r="O440" s="12">
        <f t="shared" si="103"/>
        <v>0.55095059304562488</v>
      </c>
      <c r="P440" s="13">
        <f t="shared" si="104"/>
        <v>0.40809292141280373</v>
      </c>
      <c r="Q440" s="5">
        <v>0.441</v>
      </c>
      <c r="U440" s="31">
        <f t="shared" si="90"/>
        <v>0.99482674999999987</v>
      </c>
    </row>
    <row r="441" spans="3:21" x14ac:dyDescent="0.2">
      <c r="C441" s="12">
        <f t="shared" si="91"/>
        <v>3301.8312287999997</v>
      </c>
      <c r="D441" s="13">
        <f t="shared" si="92"/>
        <v>31.655340000000027</v>
      </c>
      <c r="E441" s="12">
        <f t="shared" si="93"/>
        <v>-23.664919500000074</v>
      </c>
      <c r="F441" s="12">
        <f t="shared" si="94"/>
        <v>887.64296400000023</v>
      </c>
      <c r="G441" s="12">
        <f t="shared" si="95"/>
        <v>4015.2359399999991</v>
      </c>
      <c r="H441" s="12">
        <f t="shared" si="96"/>
        <v>6299.4126600000009</v>
      </c>
      <c r="I441" s="12">
        <f t="shared" si="97"/>
        <v>31.338786600000066</v>
      </c>
      <c r="J441" s="22">
        <f t="shared" si="98"/>
        <v>1269030.7225069799</v>
      </c>
      <c r="K441" s="22">
        <f t="shared" si="99"/>
        <v>1217054.99093568</v>
      </c>
      <c r="L441" s="22">
        <f t="shared" si="100"/>
        <v>51975.731571299955</v>
      </c>
      <c r="M441" s="22">
        <f t="shared" si="101"/>
        <v>1493330.6119439998</v>
      </c>
      <c r="N441" s="12">
        <f t="shared" si="102"/>
        <v>0.95904296826744939</v>
      </c>
      <c r="O441" s="12">
        <f t="shared" si="103"/>
        <v>0.55096610989867778</v>
      </c>
      <c r="P441" s="13">
        <f t="shared" si="104"/>
        <v>0.40807685836877161</v>
      </c>
      <c r="Q441" s="3">
        <v>0.442</v>
      </c>
      <c r="U441" s="31">
        <f t="shared" si="90"/>
        <v>0.99482674999999987</v>
      </c>
    </row>
    <row r="442" spans="3:21" x14ac:dyDescent="0.2">
      <c r="C442" s="12">
        <f t="shared" si="91"/>
        <v>3309.3014352</v>
      </c>
      <c r="D442" s="13">
        <f t="shared" si="92"/>
        <v>31.598610000000026</v>
      </c>
      <c r="E442" s="12">
        <f t="shared" si="93"/>
        <v>-23.72164950000008</v>
      </c>
      <c r="F442" s="12">
        <f t="shared" si="94"/>
        <v>889.65120600000023</v>
      </c>
      <c r="G442" s="12">
        <f t="shared" si="95"/>
        <v>4024.5736979999997</v>
      </c>
      <c r="H442" s="12">
        <f t="shared" si="96"/>
        <v>6288.1233899999988</v>
      </c>
      <c r="I442" s="12">
        <f t="shared" si="97"/>
        <v>31.282623900000061</v>
      </c>
      <c r="J442" s="22">
        <f t="shared" si="98"/>
        <v>1271902.5538375203</v>
      </c>
      <c r="K442" s="22">
        <f t="shared" si="99"/>
        <v>1219808.5090147201</v>
      </c>
      <c r="L442" s="22">
        <f t="shared" si="100"/>
        <v>52094.044822800206</v>
      </c>
      <c r="M442" s="22">
        <f t="shared" si="101"/>
        <v>1496802.6331727998</v>
      </c>
      <c r="N442" s="12">
        <f t="shared" si="102"/>
        <v>0.95904242454296151</v>
      </c>
      <c r="O442" s="12">
        <f t="shared" si="103"/>
        <v>0.55098155563313955</v>
      </c>
      <c r="P442" s="13">
        <f t="shared" si="104"/>
        <v>0.40806086890982196</v>
      </c>
      <c r="Q442" s="5">
        <v>0.443</v>
      </c>
      <c r="U442" s="31">
        <f t="shared" si="90"/>
        <v>0.99482674999999987</v>
      </c>
    </row>
    <row r="443" spans="3:21" x14ac:dyDescent="0.2">
      <c r="C443" s="12">
        <f t="shared" si="91"/>
        <v>3316.7716415999998</v>
      </c>
      <c r="D443" s="13">
        <f t="shared" si="92"/>
        <v>31.541880000000027</v>
      </c>
      <c r="E443" s="12">
        <f t="shared" si="93"/>
        <v>-23.778379500000078</v>
      </c>
      <c r="F443" s="12">
        <f t="shared" si="94"/>
        <v>891.65944800000022</v>
      </c>
      <c r="G443" s="12">
        <f t="shared" si="95"/>
        <v>4033.9114559999994</v>
      </c>
      <c r="H443" s="12">
        <f t="shared" si="96"/>
        <v>6276.8341200000004</v>
      </c>
      <c r="I443" s="12">
        <f t="shared" si="97"/>
        <v>31.22646120000006</v>
      </c>
      <c r="J443" s="22">
        <f t="shared" si="98"/>
        <v>1274774.38516806</v>
      </c>
      <c r="K443" s="22">
        <f t="shared" si="99"/>
        <v>1222562.02709376</v>
      </c>
      <c r="L443" s="22">
        <f t="shared" si="100"/>
        <v>52212.358074299991</v>
      </c>
      <c r="M443" s="22">
        <f t="shared" si="101"/>
        <v>1500274.6544015999</v>
      </c>
      <c r="N443" s="12">
        <f t="shared" si="102"/>
        <v>0.95904188326829565</v>
      </c>
      <c r="O443" s="12">
        <f t="shared" si="103"/>
        <v>0.55099693073683031</v>
      </c>
      <c r="P443" s="13">
        <f t="shared" si="104"/>
        <v>0.40804495253146533</v>
      </c>
      <c r="Q443" s="3">
        <v>0.44400000000000001</v>
      </c>
      <c r="U443" s="31">
        <f t="shared" si="90"/>
        <v>0.99482674999999987</v>
      </c>
    </row>
    <row r="444" spans="3:21" x14ac:dyDescent="0.2">
      <c r="C444" s="12">
        <f t="shared" si="91"/>
        <v>3324.2418480000001</v>
      </c>
      <c r="D444" s="13">
        <f t="shared" si="92"/>
        <v>31.485150000000026</v>
      </c>
      <c r="E444" s="12">
        <f t="shared" si="93"/>
        <v>-23.83510950000008</v>
      </c>
      <c r="F444" s="12">
        <f t="shared" si="94"/>
        <v>893.66769000000033</v>
      </c>
      <c r="G444" s="12">
        <f t="shared" si="95"/>
        <v>4043.2492139999999</v>
      </c>
      <c r="H444" s="12">
        <f t="shared" si="96"/>
        <v>6265.5448499999993</v>
      </c>
      <c r="I444" s="12">
        <f t="shared" si="97"/>
        <v>31.170298500000062</v>
      </c>
      <c r="J444" s="22">
        <f t="shared" si="98"/>
        <v>1277646.2164986001</v>
      </c>
      <c r="K444" s="22">
        <f t="shared" si="99"/>
        <v>1225315.5451728001</v>
      </c>
      <c r="L444" s="22">
        <f t="shared" si="100"/>
        <v>52330.671325800009</v>
      </c>
      <c r="M444" s="22">
        <f t="shared" si="101"/>
        <v>1503746.6756304</v>
      </c>
      <c r="N444" s="12">
        <f t="shared" si="102"/>
        <v>0.95904134442693167</v>
      </c>
      <c r="O444" s="12">
        <f t="shared" si="103"/>
        <v>0.55101223569311908</v>
      </c>
      <c r="P444" s="13">
        <f t="shared" si="104"/>
        <v>0.4080291087338126</v>
      </c>
      <c r="Q444" s="5">
        <v>0.44500000000000001</v>
      </c>
      <c r="U444" s="31">
        <f t="shared" si="90"/>
        <v>0.99482674999999987</v>
      </c>
    </row>
    <row r="445" spans="3:21" x14ac:dyDescent="0.2">
      <c r="C445" s="12">
        <f t="shared" si="91"/>
        <v>3331.7120543999999</v>
      </c>
      <c r="D445" s="13">
        <f t="shared" si="92"/>
        <v>31.428420000000028</v>
      </c>
      <c r="E445" s="12">
        <f t="shared" si="93"/>
        <v>-23.891839500000078</v>
      </c>
      <c r="F445" s="12">
        <f t="shared" si="94"/>
        <v>895.67593200000022</v>
      </c>
      <c r="G445" s="12">
        <f t="shared" si="95"/>
        <v>4052.5869719999996</v>
      </c>
      <c r="H445" s="12">
        <f t="shared" si="96"/>
        <v>6254.25558</v>
      </c>
      <c r="I445" s="12">
        <f t="shared" si="97"/>
        <v>31.114135800000064</v>
      </c>
      <c r="J445" s="22">
        <f t="shared" si="98"/>
        <v>1280518.04782914</v>
      </c>
      <c r="K445" s="22">
        <f t="shared" si="99"/>
        <v>1228069.06325184</v>
      </c>
      <c r="L445" s="22">
        <f t="shared" si="100"/>
        <v>52448.984577300027</v>
      </c>
      <c r="M445" s="22">
        <f t="shared" si="101"/>
        <v>1507218.6968592</v>
      </c>
      <c r="N445" s="12">
        <f t="shared" si="102"/>
        <v>0.95904080800249814</v>
      </c>
      <c r="O445" s="12">
        <f t="shared" si="103"/>
        <v>0.55102747098097415</v>
      </c>
      <c r="P445" s="13">
        <f t="shared" si="104"/>
        <v>0.40801333702152398</v>
      </c>
      <c r="Q445" s="3">
        <v>0.44600000000000001</v>
      </c>
      <c r="U445" s="31">
        <f t="shared" si="90"/>
        <v>0.99482674999999987</v>
      </c>
    </row>
    <row r="446" spans="3:21" x14ac:dyDescent="0.2">
      <c r="C446" s="12">
        <f t="shared" si="91"/>
        <v>3339.1822608000002</v>
      </c>
      <c r="D446" s="13">
        <f t="shared" si="92"/>
        <v>31.371690000000026</v>
      </c>
      <c r="E446" s="12">
        <f t="shared" si="93"/>
        <v>-23.948569500000083</v>
      </c>
      <c r="F446" s="12">
        <f t="shared" si="94"/>
        <v>897.68417400000033</v>
      </c>
      <c r="G446" s="12">
        <f t="shared" si="95"/>
        <v>4061.9247300000002</v>
      </c>
      <c r="H446" s="12">
        <f t="shared" si="96"/>
        <v>6242.9663099999989</v>
      </c>
      <c r="I446" s="12">
        <f t="shared" si="97"/>
        <v>31.057973100000059</v>
      </c>
      <c r="J446" s="22">
        <f t="shared" si="98"/>
        <v>1283389.8791596799</v>
      </c>
      <c r="K446" s="22">
        <f t="shared" si="99"/>
        <v>1230822.5813308801</v>
      </c>
      <c r="L446" s="22">
        <f t="shared" si="100"/>
        <v>52567.297828799812</v>
      </c>
      <c r="M446" s="22">
        <f t="shared" si="101"/>
        <v>1510690.7180880003</v>
      </c>
      <c r="N446" s="12">
        <f t="shared" si="102"/>
        <v>0.95904027397877012</v>
      </c>
      <c r="O446" s="12">
        <f t="shared" si="103"/>
        <v>0.55104263707501322</v>
      </c>
      <c r="P446" s="13">
        <f t="shared" si="104"/>
        <v>0.4079976369037569</v>
      </c>
      <c r="Q446" s="5">
        <v>0.44700000000000001</v>
      </c>
      <c r="U446" s="31">
        <f t="shared" si="90"/>
        <v>0.99482674999999987</v>
      </c>
    </row>
    <row r="447" spans="3:21" x14ac:dyDescent="0.2">
      <c r="C447" s="12">
        <f t="shared" si="91"/>
        <v>3346.6524672</v>
      </c>
      <c r="D447" s="13">
        <f t="shared" si="92"/>
        <v>31.314960000000028</v>
      </c>
      <c r="E447" s="12">
        <f t="shared" si="93"/>
        <v>-24.005299500000078</v>
      </c>
      <c r="F447" s="12">
        <f t="shared" si="94"/>
        <v>899.69241600000021</v>
      </c>
      <c r="G447" s="12">
        <f t="shared" si="95"/>
        <v>4071.2624879999998</v>
      </c>
      <c r="H447" s="12">
        <f t="shared" si="96"/>
        <v>6231.6770400000005</v>
      </c>
      <c r="I447" s="12">
        <f t="shared" si="97"/>
        <v>31.001810400000064</v>
      </c>
      <c r="J447" s="22">
        <f t="shared" si="98"/>
        <v>1286261.7104902202</v>
      </c>
      <c r="K447" s="22">
        <f t="shared" si="99"/>
        <v>1233576.0994099202</v>
      </c>
      <c r="L447" s="22">
        <f t="shared" si="100"/>
        <v>52685.611080300063</v>
      </c>
      <c r="M447" s="22">
        <f t="shared" si="101"/>
        <v>1514162.7393167999</v>
      </c>
      <c r="N447" s="12">
        <f t="shared" si="102"/>
        <v>0.95903974233966705</v>
      </c>
      <c r="O447" s="12">
        <f t="shared" si="103"/>
        <v>0.55105773444555262</v>
      </c>
      <c r="P447" s="13">
        <f t="shared" si="104"/>
        <v>0.40798200789411443</v>
      </c>
      <c r="Q447" s="3">
        <v>0.44800000000000001</v>
      </c>
      <c r="U447" s="31">
        <f t="shared" si="90"/>
        <v>0.99482674999999987</v>
      </c>
    </row>
    <row r="448" spans="3:21" x14ac:dyDescent="0.2">
      <c r="C448" s="12">
        <f t="shared" si="91"/>
        <v>3354.1226735999999</v>
      </c>
      <c r="D448" s="13">
        <f t="shared" si="92"/>
        <v>31.258230000000026</v>
      </c>
      <c r="E448" s="12">
        <f t="shared" si="93"/>
        <v>-24.062029500000083</v>
      </c>
      <c r="F448" s="12">
        <f t="shared" si="94"/>
        <v>901.70065800000032</v>
      </c>
      <c r="G448" s="12">
        <f t="shared" si="95"/>
        <v>4080.6002459999995</v>
      </c>
      <c r="H448" s="12">
        <f t="shared" si="96"/>
        <v>6220.3877699999994</v>
      </c>
      <c r="I448" s="12">
        <f t="shared" si="97"/>
        <v>30.945647700000055</v>
      </c>
      <c r="J448" s="22">
        <f t="shared" si="98"/>
        <v>1289133.5418207601</v>
      </c>
      <c r="K448" s="22">
        <f t="shared" si="99"/>
        <v>1236329.61748896</v>
      </c>
      <c r="L448" s="22">
        <f t="shared" si="100"/>
        <v>52803.924331800081</v>
      </c>
      <c r="M448" s="22">
        <f t="shared" si="101"/>
        <v>1517634.7605456</v>
      </c>
      <c r="N448" s="12">
        <f t="shared" si="102"/>
        <v>0.95903921306925244</v>
      </c>
      <c r="O448" s="12">
        <f t="shared" si="103"/>
        <v>0.55107276355865586</v>
      </c>
      <c r="P448" s="13">
        <f t="shared" si="104"/>
        <v>0.40796644951059657</v>
      </c>
      <c r="Q448" s="5">
        <v>0.44900000000000001</v>
      </c>
      <c r="U448" s="31">
        <f t="shared" si="90"/>
        <v>0.99482674999999987</v>
      </c>
    </row>
    <row r="449" spans="3:21" x14ac:dyDescent="0.2">
      <c r="C449" s="12">
        <f t="shared" si="91"/>
        <v>3361.5928799999997</v>
      </c>
      <c r="D449" s="13">
        <f t="shared" si="92"/>
        <v>31.201500000000031</v>
      </c>
      <c r="E449" s="12">
        <f t="shared" si="93"/>
        <v>-24.118759500000078</v>
      </c>
      <c r="F449" s="12">
        <f t="shared" si="94"/>
        <v>903.7089000000002</v>
      </c>
      <c r="G449" s="12">
        <f t="shared" si="95"/>
        <v>4089.9380039999992</v>
      </c>
      <c r="H449" s="12">
        <f t="shared" si="96"/>
        <v>6209.0985000000001</v>
      </c>
      <c r="I449" s="12">
        <f t="shared" si="97"/>
        <v>30.889485000000061</v>
      </c>
      <c r="J449" s="22">
        <f t="shared" si="98"/>
        <v>1292005.3731512998</v>
      </c>
      <c r="K449" s="22">
        <f t="shared" si="99"/>
        <v>1239083.1355679999</v>
      </c>
      <c r="L449" s="22">
        <f t="shared" si="100"/>
        <v>52922.237583299866</v>
      </c>
      <c r="M449" s="22">
        <f t="shared" si="101"/>
        <v>1521106.7817743998</v>
      </c>
      <c r="N449" s="12">
        <f t="shared" si="102"/>
        <v>0.95903868615173138</v>
      </c>
      <c r="O449" s="12">
        <f t="shared" si="103"/>
        <v>0.55108772487618196</v>
      </c>
      <c r="P449" s="13">
        <f t="shared" si="104"/>
        <v>0.40795096127554942</v>
      </c>
      <c r="Q449" s="3">
        <v>0.45</v>
      </c>
      <c r="U449" s="31">
        <f t="shared" si="90"/>
        <v>0.99482674999999987</v>
      </c>
    </row>
    <row r="450" spans="3:21" x14ac:dyDescent="0.2">
      <c r="C450" s="12">
        <f t="shared" si="91"/>
        <v>3369.0630864</v>
      </c>
      <c r="D450" s="13">
        <f t="shared" si="92"/>
        <v>31.144770000000026</v>
      </c>
      <c r="E450" s="12">
        <f t="shared" si="93"/>
        <v>-24.175489500000083</v>
      </c>
      <c r="F450" s="12">
        <f t="shared" si="94"/>
        <v>905.71714200000031</v>
      </c>
      <c r="G450" s="12">
        <f t="shared" si="95"/>
        <v>4099.2757620000002</v>
      </c>
      <c r="H450" s="12">
        <f t="shared" si="96"/>
        <v>6197.8092299999989</v>
      </c>
      <c r="I450" s="12">
        <f t="shared" si="97"/>
        <v>30.833322300000056</v>
      </c>
      <c r="J450" s="22">
        <f t="shared" si="98"/>
        <v>1294877.2044818399</v>
      </c>
      <c r="K450" s="22">
        <f t="shared" si="99"/>
        <v>1241836.65364704</v>
      </c>
      <c r="L450" s="22">
        <f t="shared" si="100"/>
        <v>53040.550834799884</v>
      </c>
      <c r="M450" s="22">
        <f t="shared" si="101"/>
        <v>1524578.8030032003</v>
      </c>
      <c r="N450" s="12">
        <f t="shared" si="102"/>
        <v>0.95903816157144828</v>
      </c>
      <c r="O450" s="12">
        <f t="shared" si="103"/>
        <v>0.55110261885583223</v>
      </c>
      <c r="P450" s="13">
        <f t="shared" si="104"/>
        <v>0.40793554271561605</v>
      </c>
      <c r="Q450" s="5">
        <v>0.45100000000000001</v>
      </c>
      <c r="U450" s="31">
        <f t="shared" si="90"/>
        <v>0.99482674999999987</v>
      </c>
    </row>
    <row r="451" spans="3:21" x14ac:dyDescent="0.2">
      <c r="C451" s="12">
        <f t="shared" si="91"/>
        <v>3376.5332927999998</v>
      </c>
      <c r="D451" s="13">
        <f t="shared" si="92"/>
        <v>31.088040000000031</v>
      </c>
      <c r="E451" s="12">
        <f t="shared" si="93"/>
        <v>-24.232219500000078</v>
      </c>
      <c r="F451" s="12">
        <f t="shared" si="94"/>
        <v>907.72538400000019</v>
      </c>
      <c r="G451" s="12">
        <f t="shared" si="95"/>
        <v>4108.6135199999999</v>
      </c>
      <c r="H451" s="12">
        <f t="shared" si="96"/>
        <v>6186.5199600000005</v>
      </c>
      <c r="I451" s="12">
        <f t="shared" si="97"/>
        <v>30.777159600000058</v>
      </c>
      <c r="J451" s="22">
        <f t="shared" si="98"/>
        <v>1297749.03581238</v>
      </c>
      <c r="K451" s="22">
        <f t="shared" si="99"/>
        <v>1244590.1717260799</v>
      </c>
      <c r="L451" s="22">
        <f t="shared" si="100"/>
        <v>53158.864086300135</v>
      </c>
      <c r="M451" s="22">
        <f t="shared" si="101"/>
        <v>1528050.8242320002</v>
      </c>
      <c r="N451" s="12">
        <f t="shared" si="102"/>
        <v>0.95903763931288677</v>
      </c>
      <c r="O451" s="12">
        <f t="shared" si="103"/>
        <v>0.55111744595119694</v>
      </c>
      <c r="P451" s="13">
        <f t="shared" si="104"/>
        <v>0.40792019336168983</v>
      </c>
      <c r="Q451" s="3">
        <v>0.45200000000000001</v>
      </c>
      <c r="U451" s="31">
        <f t="shared" si="90"/>
        <v>0.99482674999999987</v>
      </c>
    </row>
    <row r="452" spans="3:21" x14ac:dyDescent="0.2">
      <c r="C452" s="12">
        <f t="shared" si="91"/>
        <v>3384.0034992000001</v>
      </c>
      <c r="D452" s="13">
        <f t="shared" si="92"/>
        <v>31.031310000000026</v>
      </c>
      <c r="E452" s="12">
        <f t="shared" si="93"/>
        <v>-24.288949500000083</v>
      </c>
      <c r="F452" s="12">
        <f t="shared" si="94"/>
        <v>909.7336260000003</v>
      </c>
      <c r="G452" s="12">
        <f t="shared" si="95"/>
        <v>4117.9512780000005</v>
      </c>
      <c r="H452" s="12">
        <f t="shared" si="96"/>
        <v>6175.2306899999985</v>
      </c>
      <c r="I452" s="12">
        <f t="shared" si="97"/>
        <v>30.72099690000006</v>
      </c>
      <c r="J452" s="22">
        <f t="shared" si="98"/>
        <v>1300620.8671429199</v>
      </c>
      <c r="K452" s="22">
        <f t="shared" si="99"/>
        <v>1247343.68980512</v>
      </c>
      <c r="L452" s="22">
        <f t="shared" si="100"/>
        <v>53277.17733779992</v>
      </c>
      <c r="M452" s="22">
        <f t="shared" si="101"/>
        <v>1531522.8454608002</v>
      </c>
      <c r="N452" s="12">
        <f t="shared" si="102"/>
        <v>0.95903711936066804</v>
      </c>
      <c r="O452" s="12">
        <f t="shared" si="103"/>
        <v>0.55113220661180229</v>
      </c>
      <c r="P452" s="13">
        <f t="shared" si="104"/>
        <v>0.40790491274886576</v>
      </c>
      <c r="Q452" s="5">
        <v>0.45300000000000001</v>
      </c>
      <c r="U452" s="31">
        <f t="shared" si="90"/>
        <v>0.99482674999999987</v>
      </c>
    </row>
    <row r="453" spans="3:21" x14ac:dyDescent="0.2">
      <c r="C453" s="12">
        <f t="shared" si="91"/>
        <v>3391.4737055999999</v>
      </c>
      <c r="D453" s="13">
        <f t="shared" si="92"/>
        <v>30.974580000000032</v>
      </c>
      <c r="E453" s="12">
        <f t="shared" si="93"/>
        <v>-24.345679500000077</v>
      </c>
      <c r="F453" s="12">
        <f t="shared" si="94"/>
        <v>911.74186800000018</v>
      </c>
      <c r="G453" s="12">
        <f t="shared" si="95"/>
        <v>4127.2890360000001</v>
      </c>
      <c r="H453" s="12">
        <f t="shared" si="96"/>
        <v>6163.9414200000001</v>
      </c>
      <c r="I453" s="12">
        <f t="shared" si="97"/>
        <v>30.664834200000062</v>
      </c>
      <c r="J453" s="22">
        <f t="shared" si="98"/>
        <v>1303492.69847346</v>
      </c>
      <c r="K453" s="22">
        <f t="shared" si="99"/>
        <v>1250097.2078841601</v>
      </c>
      <c r="L453" s="22">
        <f t="shared" si="100"/>
        <v>53395.490589299938</v>
      </c>
      <c r="M453" s="22">
        <f t="shared" si="101"/>
        <v>1534994.8666896001</v>
      </c>
      <c r="N453" s="12">
        <f t="shared" si="102"/>
        <v>0.95903660169954752</v>
      </c>
      <c r="O453" s="12">
        <f t="shared" si="103"/>
        <v>0.55114690128315447</v>
      </c>
      <c r="P453" s="13">
        <f t="shared" si="104"/>
        <v>0.40788970041639305</v>
      </c>
      <c r="Q453" s="3">
        <v>0.45400000000000001</v>
      </c>
      <c r="U453" s="31">
        <f t="shared" si="90"/>
        <v>0.99482674999999987</v>
      </c>
    </row>
    <row r="454" spans="3:21" x14ac:dyDescent="0.2">
      <c r="C454" s="12">
        <f t="shared" si="91"/>
        <v>3398.9439120000006</v>
      </c>
      <c r="D454" s="13">
        <f t="shared" si="92"/>
        <v>30.917850000000026</v>
      </c>
      <c r="E454" s="12">
        <f t="shared" si="93"/>
        <v>-24.402409500000083</v>
      </c>
      <c r="F454" s="12">
        <f t="shared" si="94"/>
        <v>913.75011000000029</v>
      </c>
      <c r="G454" s="12">
        <f t="shared" si="95"/>
        <v>4136.6267940000007</v>
      </c>
      <c r="H454" s="12">
        <f t="shared" si="96"/>
        <v>6152.6521499999999</v>
      </c>
      <c r="I454" s="12">
        <f t="shared" si="97"/>
        <v>30.608671500000057</v>
      </c>
      <c r="J454" s="22">
        <f t="shared" si="98"/>
        <v>1306364.5298040004</v>
      </c>
      <c r="K454" s="22">
        <f t="shared" si="99"/>
        <v>1252850.7259632002</v>
      </c>
      <c r="L454" s="22">
        <f t="shared" si="100"/>
        <v>53513.803840800188</v>
      </c>
      <c r="M454" s="22">
        <f t="shared" si="101"/>
        <v>1538466.8879184003</v>
      </c>
      <c r="N454" s="12">
        <f t="shared" si="102"/>
        <v>0.9590360863144155</v>
      </c>
      <c r="O454" s="12">
        <f t="shared" si="103"/>
        <v>0.55116153040678573</v>
      </c>
      <c r="P454" s="13">
        <f t="shared" si="104"/>
        <v>0.40787455590762978</v>
      </c>
      <c r="Q454" s="5">
        <v>0.45500000000000002</v>
      </c>
      <c r="U454" s="31">
        <f t="shared" si="90"/>
        <v>0.99482674999999987</v>
      </c>
    </row>
    <row r="455" spans="3:21" x14ac:dyDescent="0.2">
      <c r="C455" s="12">
        <f t="shared" si="91"/>
        <v>3406.4141184</v>
      </c>
      <c r="D455" s="13">
        <f t="shared" si="92"/>
        <v>30.861120000000032</v>
      </c>
      <c r="E455" s="12">
        <f t="shared" si="93"/>
        <v>-24.459139500000077</v>
      </c>
      <c r="F455" s="12">
        <f t="shared" si="94"/>
        <v>915.75835200000017</v>
      </c>
      <c r="G455" s="12">
        <f t="shared" si="95"/>
        <v>4145.9645520000004</v>
      </c>
      <c r="H455" s="12">
        <f t="shared" si="96"/>
        <v>6141.3628799999997</v>
      </c>
      <c r="I455" s="12">
        <f t="shared" si="97"/>
        <v>30.552508800000062</v>
      </c>
      <c r="J455" s="22">
        <f t="shared" si="98"/>
        <v>1309236.3611345398</v>
      </c>
      <c r="K455" s="22">
        <f t="shared" si="99"/>
        <v>1255604.2440422401</v>
      </c>
      <c r="L455" s="22">
        <f t="shared" si="100"/>
        <v>53632.117092299741</v>
      </c>
      <c r="M455" s="22">
        <f t="shared" si="101"/>
        <v>1541938.9091472002</v>
      </c>
      <c r="N455" s="12">
        <f t="shared" si="102"/>
        <v>0.95903557319029542</v>
      </c>
      <c r="O455" s="12">
        <f t="shared" si="103"/>
        <v>0.55117609442029769</v>
      </c>
      <c r="P455" s="13">
        <f t="shared" si="104"/>
        <v>0.40785947876999773</v>
      </c>
      <c r="Q455" s="3">
        <v>0.45600000000000002</v>
      </c>
      <c r="U455" s="31">
        <f t="shared" si="90"/>
        <v>0.99482674999999987</v>
      </c>
    </row>
    <row r="456" spans="3:21" x14ac:dyDescent="0.2">
      <c r="C456" s="12">
        <f t="shared" si="91"/>
        <v>3413.8843247999998</v>
      </c>
      <c r="D456" s="13">
        <f t="shared" si="92"/>
        <v>30.804390000000023</v>
      </c>
      <c r="E456" s="12">
        <f t="shared" si="93"/>
        <v>-24.515869500000083</v>
      </c>
      <c r="F456" s="12">
        <f t="shared" si="94"/>
        <v>917.76659400000028</v>
      </c>
      <c r="G456" s="12">
        <f t="shared" si="95"/>
        <v>4155.30231</v>
      </c>
      <c r="H456" s="12">
        <f t="shared" si="96"/>
        <v>6130.0736099999986</v>
      </c>
      <c r="I456" s="12">
        <f t="shared" si="97"/>
        <v>30.496346100000057</v>
      </c>
      <c r="J456" s="22">
        <f t="shared" si="98"/>
        <v>1312108.1924650799</v>
      </c>
      <c r="K456" s="22">
        <f t="shared" si="99"/>
        <v>1258357.76212128</v>
      </c>
      <c r="L456" s="22">
        <f t="shared" si="100"/>
        <v>53750.430343799992</v>
      </c>
      <c r="M456" s="22">
        <f t="shared" si="101"/>
        <v>1545410.9303760002</v>
      </c>
      <c r="N456" s="12">
        <f t="shared" si="102"/>
        <v>0.95903506231234015</v>
      </c>
      <c r="O456" s="12">
        <f t="shared" si="103"/>
        <v>0.55119059375740542</v>
      </c>
      <c r="P456" s="13">
        <f t="shared" si="104"/>
        <v>0.40784446855493472</v>
      </c>
      <c r="Q456" s="5">
        <v>0.45700000000000002</v>
      </c>
      <c r="U456" s="31">
        <f t="shared" si="90"/>
        <v>0.99482674999999987</v>
      </c>
    </row>
    <row r="457" spans="3:21" x14ac:dyDescent="0.2">
      <c r="C457" s="12">
        <f t="shared" si="91"/>
        <v>3421.3545311999997</v>
      </c>
      <c r="D457" s="13">
        <f t="shared" si="92"/>
        <v>30.747660000000032</v>
      </c>
      <c r="E457" s="12">
        <f t="shared" si="93"/>
        <v>-24.572599500000077</v>
      </c>
      <c r="F457" s="12">
        <f t="shared" si="94"/>
        <v>919.77483600000016</v>
      </c>
      <c r="G457" s="12">
        <f t="shared" si="95"/>
        <v>4164.6400679999997</v>
      </c>
      <c r="H457" s="12">
        <f t="shared" si="96"/>
        <v>6118.7843400000002</v>
      </c>
      <c r="I457" s="12">
        <f t="shared" si="97"/>
        <v>30.440183400000059</v>
      </c>
      <c r="J457" s="22">
        <f t="shared" si="98"/>
        <v>1314980.0237956201</v>
      </c>
      <c r="K457" s="22">
        <f t="shared" si="99"/>
        <v>1261111.2802003201</v>
      </c>
      <c r="L457" s="22">
        <f t="shared" si="100"/>
        <v>53868.743595300009</v>
      </c>
      <c r="M457" s="22">
        <f t="shared" si="101"/>
        <v>1548882.9516047998</v>
      </c>
      <c r="N457" s="12">
        <f t="shared" si="102"/>
        <v>0.95903455366583379</v>
      </c>
      <c r="O457" s="12">
        <f t="shared" si="103"/>
        <v>0.5512050288479805</v>
      </c>
      <c r="P457" s="13">
        <f t="shared" si="104"/>
        <v>0.40782952481785328</v>
      </c>
      <c r="Q457" s="3">
        <v>0.45800000000000002</v>
      </c>
      <c r="U457" s="31">
        <f t="shared" si="90"/>
        <v>0.99482674999999987</v>
      </c>
    </row>
    <row r="458" spans="3:21" x14ac:dyDescent="0.2">
      <c r="C458" s="12">
        <f t="shared" si="91"/>
        <v>3428.8247375999999</v>
      </c>
      <c r="D458" s="13">
        <f t="shared" si="92"/>
        <v>30.690930000000023</v>
      </c>
      <c r="E458" s="12">
        <f t="shared" si="93"/>
        <v>-24.629329500000082</v>
      </c>
      <c r="F458" s="12">
        <f t="shared" si="94"/>
        <v>921.78307800000027</v>
      </c>
      <c r="G458" s="12">
        <f t="shared" si="95"/>
        <v>4173.9778260000003</v>
      </c>
      <c r="H458" s="12">
        <f t="shared" si="96"/>
        <v>6107.4950699999999</v>
      </c>
      <c r="I458" s="12">
        <f t="shared" si="97"/>
        <v>30.384020700000058</v>
      </c>
      <c r="J458" s="22">
        <f t="shared" si="98"/>
        <v>1317851.8551261602</v>
      </c>
      <c r="K458" s="22">
        <f t="shared" si="99"/>
        <v>1263864.7982793602</v>
      </c>
      <c r="L458" s="22">
        <f t="shared" si="100"/>
        <v>53987.056846800027</v>
      </c>
      <c r="M458" s="22">
        <f t="shared" si="101"/>
        <v>1552354.9728336001</v>
      </c>
      <c r="N458" s="12">
        <f t="shared" si="102"/>
        <v>0.95903404723618824</v>
      </c>
      <c r="O458" s="12">
        <f t="shared" si="103"/>
        <v>0.55121940011809334</v>
      </c>
      <c r="P458" s="13">
        <f t="shared" si="104"/>
        <v>0.4078146471180949</v>
      </c>
      <c r="Q458" s="5">
        <v>0.45900000000000002</v>
      </c>
      <c r="U458" s="31">
        <f t="shared" si="90"/>
        <v>0.99482674999999987</v>
      </c>
    </row>
    <row r="459" spans="3:21" x14ac:dyDescent="0.2">
      <c r="C459" s="12">
        <f t="shared" si="91"/>
        <v>3436.2949439999998</v>
      </c>
      <c r="D459" s="13">
        <f t="shared" si="92"/>
        <v>30.634200000000032</v>
      </c>
      <c r="E459" s="12">
        <f t="shared" si="93"/>
        <v>-24.686059500000077</v>
      </c>
      <c r="F459" s="12">
        <f t="shared" si="94"/>
        <v>923.79132000000027</v>
      </c>
      <c r="G459" s="12">
        <f t="shared" si="95"/>
        <v>4183.3155839999999</v>
      </c>
      <c r="H459" s="12">
        <f t="shared" si="96"/>
        <v>6096.2057999999997</v>
      </c>
      <c r="I459" s="12">
        <f t="shared" si="97"/>
        <v>30.327858000000063</v>
      </c>
      <c r="J459" s="22">
        <f t="shared" si="98"/>
        <v>1320723.6864567001</v>
      </c>
      <c r="K459" s="22">
        <f t="shared" si="99"/>
        <v>1266618.3163584</v>
      </c>
      <c r="L459" s="22">
        <f t="shared" si="100"/>
        <v>54105.370098300045</v>
      </c>
      <c r="M459" s="22">
        <f t="shared" si="101"/>
        <v>1555826.9940624</v>
      </c>
      <c r="N459" s="12">
        <f t="shared" si="102"/>
        <v>0.95903354300894195</v>
      </c>
      <c r="O459" s="12">
        <f t="shared" si="103"/>
        <v>0.55123370799005522</v>
      </c>
      <c r="P459" s="13">
        <f t="shared" si="104"/>
        <v>0.40779983501888672</v>
      </c>
      <c r="Q459" s="3">
        <v>0.46</v>
      </c>
      <c r="U459" s="31">
        <f t="shared" si="90"/>
        <v>0.99482674999999987</v>
      </c>
    </row>
    <row r="460" spans="3:21" x14ac:dyDescent="0.2">
      <c r="C460" s="12">
        <f t="shared" si="91"/>
        <v>3443.7651504000005</v>
      </c>
      <c r="D460" s="13">
        <f t="shared" si="92"/>
        <v>30.577470000000023</v>
      </c>
      <c r="E460" s="12">
        <f t="shared" si="93"/>
        <v>-24.742789500000086</v>
      </c>
      <c r="F460" s="12">
        <f t="shared" si="94"/>
        <v>925.79956200000026</v>
      </c>
      <c r="G460" s="12">
        <f t="shared" si="95"/>
        <v>4192.6533420000005</v>
      </c>
      <c r="H460" s="12">
        <f t="shared" si="96"/>
        <v>6084.9165299999995</v>
      </c>
      <c r="I460" s="12">
        <f t="shared" si="97"/>
        <v>30.271695300000051</v>
      </c>
      <c r="J460" s="22">
        <f t="shared" si="98"/>
        <v>1323595.5177872402</v>
      </c>
      <c r="K460" s="22">
        <f t="shared" si="99"/>
        <v>1269371.8344374401</v>
      </c>
      <c r="L460" s="22">
        <f t="shared" si="100"/>
        <v>54223.683349800063</v>
      </c>
      <c r="M460" s="22">
        <f t="shared" si="101"/>
        <v>1559299.0152912003</v>
      </c>
      <c r="N460" s="12">
        <f t="shared" si="102"/>
        <v>0.95903304096975928</v>
      </c>
      <c r="O460" s="12">
        <f t="shared" si="103"/>
        <v>0.55124795288245954</v>
      </c>
      <c r="P460" s="13">
        <f t="shared" si="104"/>
        <v>0.40778508808729974</v>
      </c>
      <c r="Q460" s="5">
        <v>0.46100000000000002</v>
      </c>
      <c r="U460" s="31">
        <f t="shared" si="90"/>
        <v>0.99482674999999987</v>
      </c>
    </row>
    <row r="461" spans="3:21" x14ac:dyDescent="0.2">
      <c r="C461" s="12">
        <f t="shared" si="91"/>
        <v>3451.2353567999999</v>
      </c>
      <c r="D461" s="13">
        <f t="shared" si="92"/>
        <v>30.520740000000032</v>
      </c>
      <c r="E461" s="12">
        <f t="shared" si="93"/>
        <v>-24.799519500000077</v>
      </c>
      <c r="F461" s="12">
        <f t="shared" si="94"/>
        <v>927.80780400000026</v>
      </c>
      <c r="G461" s="12">
        <f t="shared" si="95"/>
        <v>4201.9911000000002</v>
      </c>
      <c r="H461" s="12">
        <f t="shared" si="96"/>
        <v>6073.6272600000011</v>
      </c>
      <c r="I461" s="12">
        <f t="shared" si="97"/>
        <v>30.215532600000063</v>
      </c>
      <c r="J461" s="22">
        <f t="shared" si="98"/>
        <v>1326467.3491177799</v>
      </c>
      <c r="K461" s="22">
        <f t="shared" si="99"/>
        <v>1272125.35251648</v>
      </c>
      <c r="L461" s="22">
        <f t="shared" si="100"/>
        <v>54341.996601299848</v>
      </c>
      <c r="M461" s="22">
        <f t="shared" si="101"/>
        <v>1562771.0365200003</v>
      </c>
      <c r="N461" s="12">
        <f t="shared" si="102"/>
        <v>0.95903254110442882</v>
      </c>
      <c r="O461" s="12">
        <f t="shared" si="103"/>
        <v>0.55126213521022271</v>
      </c>
      <c r="P461" s="13">
        <f t="shared" si="104"/>
        <v>0.4077704058942061</v>
      </c>
      <c r="Q461" s="3">
        <v>0.46200000000000002</v>
      </c>
      <c r="U461" s="31">
        <f t="shared" si="90"/>
        <v>0.99482674999999987</v>
      </c>
    </row>
    <row r="462" spans="3:21" x14ac:dyDescent="0.2">
      <c r="C462" s="12">
        <f t="shared" si="91"/>
        <v>3458.7055632000006</v>
      </c>
      <c r="D462" s="13">
        <f t="shared" si="92"/>
        <v>30.464010000000023</v>
      </c>
      <c r="E462" s="12">
        <f t="shared" si="93"/>
        <v>-24.856249500000086</v>
      </c>
      <c r="F462" s="12">
        <f t="shared" si="94"/>
        <v>929.81604600000026</v>
      </c>
      <c r="G462" s="12">
        <f t="shared" si="95"/>
        <v>4211.3288580000008</v>
      </c>
      <c r="H462" s="12">
        <f t="shared" si="96"/>
        <v>6062.3379899999982</v>
      </c>
      <c r="I462" s="12">
        <f t="shared" si="97"/>
        <v>30.159369900000055</v>
      </c>
      <c r="J462" s="22">
        <f t="shared" si="98"/>
        <v>1329339.1804483202</v>
      </c>
      <c r="K462" s="22">
        <f t="shared" si="99"/>
        <v>1274878.8705955204</v>
      </c>
      <c r="L462" s="22">
        <f t="shared" si="100"/>
        <v>54460.309852799866</v>
      </c>
      <c r="M462" s="22">
        <f t="shared" si="101"/>
        <v>1566243.0577488004</v>
      </c>
      <c r="N462" s="12">
        <f t="shared" si="102"/>
        <v>0.9590320433988615</v>
      </c>
      <c r="O462" s="12">
        <f t="shared" si="103"/>
        <v>0.55127625538462444</v>
      </c>
      <c r="P462" s="13">
        <f t="shared" si="104"/>
        <v>0.40775578801423706</v>
      </c>
      <c r="Q462" s="5">
        <v>0.46300000000000002</v>
      </c>
      <c r="U462" s="31">
        <f t="shared" ref="U462:U525" si="105">(Prev*Total_SnSeq)+((1-Prev)*Total_SpSeq)</f>
        <v>0.99482674999999987</v>
      </c>
    </row>
    <row r="463" spans="3:21" x14ac:dyDescent="0.2">
      <c r="C463" s="12">
        <f t="shared" ref="C463:C526" si="106">cohort*Q463*SnTest1*((corr*(SQRT(SnTest1*(1-SnTest1)*SnTest2*(1-SnTest2)))+SnTest1*SnTest2)/SnTest1)</f>
        <v>3466.1757696000004</v>
      </c>
      <c r="D463" s="13">
        <f t="shared" ref="D463:D526" si="107">(1-Q463)*(1-SpTest1)*cohort</f>
        <v>30.407280000000032</v>
      </c>
      <c r="E463" s="12">
        <f t="shared" ref="E463:E526" si="108">(cohort*(1-Q463)*(1-SpTest1))-TNTest2</f>
        <v>-24.912979500000077</v>
      </c>
      <c r="F463" s="12">
        <f t="shared" ref="F463:F526" si="109">cohort*Q463*(1-SnTest1)</f>
        <v>931.82428800000025</v>
      </c>
      <c r="G463" s="12">
        <f t="shared" ref="G463:G526" si="110">(cohort*Q463*SnTest1)-TPSeq</f>
        <v>4220.6666160000004</v>
      </c>
      <c r="H463" s="12">
        <f t="shared" ref="H463:H526" si="111">(1-Q463)*SpTest1*cohort</f>
        <v>6051.0487199999998</v>
      </c>
      <c r="I463" s="12">
        <f t="shared" ref="I463:I526" si="112">cohort*(1-Q463)*(1-SpTest1)*(SpTest2-(corr*(SQRT(SpTest1*(1-SpTest1)*SpTest2*(1-SpTest2)))+SpTest2*SpTest1))/(1-SpTest1)</f>
        <v>30.10320720000006</v>
      </c>
      <c r="J463" s="22">
        <f t="shared" si="98"/>
        <v>1332211.0117788604</v>
      </c>
      <c r="K463" s="22">
        <f t="shared" si="99"/>
        <v>1277632.3886745602</v>
      </c>
      <c r="L463" s="22">
        <f t="shared" si="100"/>
        <v>54578.623104300117</v>
      </c>
      <c r="M463" s="22">
        <f t="shared" si="101"/>
        <v>1569715.0789776002</v>
      </c>
      <c r="N463" s="12">
        <f t="shared" si="102"/>
        <v>0.95903154783908973</v>
      </c>
      <c r="O463" s="12">
        <f t="shared" si="103"/>
        <v>0.55129031381334759</v>
      </c>
      <c r="P463" s="13">
        <f t="shared" si="104"/>
        <v>0.40774123402574214</v>
      </c>
      <c r="Q463" s="3">
        <v>0.46400000000000002</v>
      </c>
      <c r="U463" s="31">
        <f t="shared" si="105"/>
        <v>0.99482674999999987</v>
      </c>
    </row>
    <row r="464" spans="3:21" x14ac:dyDescent="0.2">
      <c r="C464" s="12">
        <f t="shared" si="106"/>
        <v>3473.6459759999998</v>
      </c>
      <c r="D464" s="13">
        <f t="shared" si="107"/>
        <v>30.350550000000023</v>
      </c>
      <c r="E464" s="12">
        <f t="shared" si="108"/>
        <v>-24.969709500000086</v>
      </c>
      <c r="F464" s="12">
        <f t="shared" si="109"/>
        <v>933.83253000000025</v>
      </c>
      <c r="G464" s="12">
        <f t="shared" si="110"/>
        <v>4230.0043740000001</v>
      </c>
      <c r="H464" s="12">
        <f t="shared" si="111"/>
        <v>6039.7594499999996</v>
      </c>
      <c r="I464" s="12">
        <f t="shared" si="112"/>
        <v>30.047044500000055</v>
      </c>
      <c r="J464" s="22">
        <f t="shared" ref="J464:J527" si="113">(C464*$H$6)+(E464*$H$6)+(G464*$H$3)+(I464*$H$3)</f>
        <v>1335082.8431094</v>
      </c>
      <c r="K464" s="22">
        <f t="shared" ref="K464:K527" si="114">(C464*$H$6)</f>
        <v>1280385.9067536001</v>
      </c>
      <c r="L464" s="22">
        <f t="shared" ref="L464:L527" si="115">J464-K464</f>
        <v>54696.936355799902</v>
      </c>
      <c r="M464" s="22">
        <f t="shared" ref="M464:M527" si="116">(F464*$H$3)+(G464*$H$6)</f>
        <v>1573187.1002064</v>
      </c>
      <c r="N464" s="12">
        <f t="shared" ref="N464:N527" si="117">K464/J464</f>
        <v>0.95903105441126701</v>
      </c>
      <c r="O464" s="12">
        <f t="shared" ref="O464:O527" si="118">M464/(M464+K464)</f>
        <v>0.55130431090051735</v>
      </c>
      <c r="P464" s="13">
        <f t="shared" ref="P464:P527" si="119">N464-O464</f>
        <v>0.40772674351074967</v>
      </c>
      <c r="Q464" s="5">
        <v>0.46500000000000002</v>
      </c>
      <c r="U464" s="31">
        <f t="shared" si="105"/>
        <v>0.99482674999999987</v>
      </c>
    </row>
    <row r="465" spans="3:21" x14ac:dyDescent="0.2">
      <c r="C465" s="12">
        <f t="shared" si="106"/>
        <v>3481.1161823999996</v>
      </c>
      <c r="D465" s="13">
        <f t="shared" si="107"/>
        <v>30.293820000000029</v>
      </c>
      <c r="E465" s="12">
        <f t="shared" si="108"/>
        <v>-25.026439500000077</v>
      </c>
      <c r="F465" s="12">
        <f t="shared" si="109"/>
        <v>935.84077200000024</v>
      </c>
      <c r="G465" s="12">
        <f t="shared" si="110"/>
        <v>4239.3421319999998</v>
      </c>
      <c r="H465" s="12">
        <f t="shared" si="111"/>
        <v>6028.4701800000012</v>
      </c>
      <c r="I465" s="12">
        <f t="shared" si="112"/>
        <v>29.990881800000064</v>
      </c>
      <c r="J465" s="22">
        <f t="shared" si="113"/>
        <v>1337954.6744399399</v>
      </c>
      <c r="K465" s="22">
        <f t="shared" si="114"/>
        <v>1283139.42483264</v>
      </c>
      <c r="L465" s="22">
        <f t="shared" si="115"/>
        <v>54815.24960729992</v>
      </c>
      <c r="M465" s="22">
        <f t="shared" si="116"/>
        <v>1576659.1214352001</v>
      </c>
      <c r="N465" s="12">
        <f t="shared" si="117"/>
        <v>0.95903056310166468</v>
      </c>
      <c r="O465" s="12">
        <f t="shared" si="118"/>
        <v>0.55131824704673971</v>
      </c>
      <c r="P465" s="13">
        <f t="shared" si="119"/>
        <v>0.40771231605492497</v>
      </c>
      <c r="Q465" s="3">
        <v>0.46600000000000003</v>
      </c>
      <c r="U465" s="31">
        <f t="shared" si="105"/>
        <v>0.99482674999999987</v>
      </c>
    </row>
    <row r="466" spans="3:21" x14ac:dyDescent="0.2">
      <c r="C466" s="12">
        <f t="shared" si="106"/>
        <v>3488.5863888000003</v>
      </c>
      <c r="D466" s="13">
        <f t="shared" si="107"/>
        <v>30.237090000000023</v>
      </c>
      <c r="E466" s="12">
        <f t="shared" si="108"/>
        <v>-25.083169500000086</v>
      </c>
      <c r="F466" s="12">
        <f t="shared" si="109"/>
        <v>937.84901400000035</v>
      </c>
      <c r="G466" s="12">
        <f t="shared" si="110"/>
        <v>4248.6798900000003</v>
      </c>
      <c r="H466" s="12">
        <f t="shared" si="111"/>
        <v>6017.1809099999991</v>
      </c>
      <c r="I466" s="12">
        <f t="shared" si="112"/>
        <v>29.934719100000052</v>
      </c>
      <c r="J466" s="22">
        <f t="shared" si="113"/>
        <v>1340826.5057704803</v>
      </c>
      <c r="K466" s="22">
        <f t="shared" si="114"/>
        <v>1285892.9429116803</v>
      </c>
      <c r="L466" s="22">
        <f t="shared" si="115"/>
        <v>54933.562858799938</v>
      </c>
      <c r="M466" s="22">
        <f t="shared" si="116"/>
        <v>1580131.1426640004</v>
      </c>
      <c r="N466" s="12">
        <f t="shared" si="117"/>
        <v>0.95903007389667205</v>
      </c>
      <c r="O466" s="12">
        <f t="shared" si="118"/>
        <v>0.55133212264914</v>
      </c>
      <c r="P466" s="13">
        <f t="shared" si="119"/>
        <v>0.40769795124753205</v>
      </c>
      <c r="Q466" s="5">
        <v>0.46700000000000003</v>
      </c>
      <c r="U466" s="31">
        <f t="shared" si="105"/>
        <v>0.99482674999999987</v>
      </c>
    </row>
    <row r="467" spans="3:21" x14ac:dyDescent="0.2">
      <c r="C467" s="12">
        <f t="shared" si="106"/>
        <v>3496.0565951999997</v>
      </c>
      <c r="D467" s="13">
        <f t="shared" si="107"/>
        <v>30.180360000000029</v>
      </c>
      <c r="E467" s="12">
        <f t="shared" si="108"/>
        <v>-25.139899500000077</v>
      </c>
      <c r="F467" s="12">
        <f t="shared" si="109"/>
        <v>939.85725600000023</v>
      </c>
      <c r="G467" s="12">
        <f t="shared" si="110"/>
        <v>4258.017648</v>
      </c>
      <c r="H467" s="12">
        <f t="shared" si="111"/>
        <v>6005.8916400000007</v>
      </c>
      <c r="I467" s="12">
        <f t="shared" si="112"/>
        <v>29.878556400000061</v>
      </c>
      <c r="J467" s="22">
        <f t="shared" si="113"/>
        <v>1343698.3371010199</v>
      </c>
      <c r="K467" s="22">
        <f t="shared" si="114"/>
        <v>1288646.46099072</v>
      </c>
      <c r="L467" s="22">
        <f t="shared" si="115"/>
        <v>55051.876110299956</v>
      </c>
      <c r="M467" s="22">
        <f t="shared" si="116"/>
        <v>1583603.1638928002</v>
      </c>
      <c r="N467" s="12">
        <f t="shared" si="117"/>
        <v>0.95902958678279504</v>
      </c>
      <c r="O467" s="12">
        <f t="shared" si="118"/>
        <v>0.55134593810140053</v>
      </c>
      <c r="P467" s="13">
        <f t="shared" si="119"/>
        <v>0.40768364868139451</v>
      </c>
      <c r="Q467" s="3">
        <v>0.46800000000000003</v>
      </c>
      <c r="U467" s="31">
        <f t="shared" si="105"/>
        <v>0.99482674999999987</v>
      </c>
    </row>
    <row r="468" spans="3:21" x14ac:dyDescent="0.2">
      <c r="C468" s="12">
        <f t="shared" si="106"/>
        <v>3503.5268015999995</v>
      </c>
      <c r="D468" s="13">
        <f t="shared" si="107"/>
        <v>30.123630000000027</v>
      </c>
      <c r="E468" s="12">
        <f t="shared" si="108"/>
        <v>-25.196629500000075</v>
      </c>
      <c r="F468" s="12">
        <f t="shared" si="109"/>
        <v>941.86549800000012</v>
      </c>
      <c r="G468" s="12">
        <f t="shared" si="110"/>
        <v>4267.3554059999997</v>
      </c>
      <c r="H468" s="12">
        <f t="shared" si="111"/>
        <v>5994.6023700000005</v>
      </c>
      <c r="I468" s="12">
        <f t="shared" si="112"/>
        <v>29.822393700000063</v>
      </c>
      <c r="J468" s="22">
        <f t="shared" si="113"/>
        <v>1346570.1684315598</v>
      </c>
      <c r="K468" s="22">
        <f t="shared" si="114"/>
        <v>1291399.9790697598</v>
      </c>
      <c r="L468" s="22">
        <f t="shared" si="115"/>
        <v>55170.189361799974</v>
      </c>
      <c r="M468" s="22">
        <f t="shared" si="116"/>
        <v>1587075.1851215998</v>
      </c>
      <c r="N468" s="12">
        <f t="shared" si="117"/>
        <v>0.95902910174665434</v>
      </c>
      <c r="O468" s="12">
        <f t="shared" si="118"/>
        <v>0.55135969379379779</v>
      </c>
      <c r="P468" s="13">
        <f t="shared" si="119"/>
        <v>0.40766940795285656</v>
      </c>
      <c r="Q468" s="5">
        <v>0.46899999999999997</v>
      </c>
      <c r="U468" s="31">
        <f t="shared" si="105"/>
        <v>0.99482674999999987</v>
      </c>
    </row>
    <row r="469" spans="3:21" x14ac:dyDescent="0.2">
      <c r="C469" s="12">
        <f t="shared" si="106"/>
        <v>3510.9970080000003</v>
      </c>
      <c r="D469" s="13">
        <f t="shared" si="107"/>
        <v>30.066900000000029</v>
      </c>
      <c r="E469" s="12">
        <f t="shared" si="108"/>
        <v>-25.253359500000077</v>
      </c>
      <c r="F469" s="12">
        <f t="shared" si="109"/>
        <v>943.87374000000023</v>
      </c>
      <c r="G469" s="12">
        <f t="shared" si="110"/>
        <v>4276.6931640000003</v>
      </c>
      <c r="H469" s="12">
        <f t="shared" si="111"/>
        <v>5983.3130999999994</v>
      </c>
      <c r="I469" s="12">
        <f t="shared" si="112"/>
        <v>29.766231000000062</v>
      </c>
      <c r="J469" s="22">
        <f t="shared" si="113"/>
        <v>1349441.9997621004</v>
      </c>
      <c r="K469" s="22">
        <f t="shared" si="114"/>
        <v>1294153.4971488002</v>
      </c>
      <c r="L469" s="22">
        <f t="shared" si="115"/>
        <v>55288.502613300225</v>
      </c>
      <c r="M469" s="22">
        <f t="shared" si="116"/>
        <v>1590547.2063504001</v>
      </c>
      <c r="N469" s="12">
        <f t="shared" si="117"/>
        <v>0.95902861877498458</v>
      </c>
      <c r="O469" s="12">
        <f t="shared" si="118"/>
        <v>0.55137339011323916</v>
      </c>
      <c r="P469" s="13">
        <f t="shared" si="119"/>
        <v>0.40765522866174542</v>
      </c>
      <c r="Q469" s="3">
        <v>0.47</v>
      </c>
      <c r="U469" s="31">
        <f t="shared" si="105"/>
        <v>0.99482674999999987</v>
      </c>
    </row>
    <row r="470" spans="3:21" x14ac:dyDescent="0.2">
      <c r="C470" s="12">
        <f t="shared" si="106"/>
        <v>3518.4672143999996</v>
      </c>
      <c r="D470" s="13">
        <f t="shared" si="107"/>
        <v>30.010170000000027</v>
      </c>
      <c r="E470" s="12">
        <f t="shared" si="108"/>
        <v>-25.310089500000075</v>
      </c>
      <c r="F470" s="12">
        <f t="shared" si="109"/>
        <v>945.88198200000011</v>
      </c>
      <c r="G470" s="12">
        <f t="shared" si="110"/>
        <v>4286.0309219999999</v>
      </c>
      <c r="H470" s="12">
        <f t="shared" si="111"/>
        <v>5972.0238300000001</v>
      </c>
      <c r="I470" s="12">
        <f t="shared" si="112"/>
        <v>29.710068300000067</v>
      </c>
      <c r="J470" s="22">
        <f t="shared" si="113"/>
        <v>1352313.8310926401</v>
      </c>
      <c r="K470" s="22">
        <f t="shared" si="114"/>
        <v>1296907.01522784</v>
      </c>
      <c r="L470" s="22">
        <f t="shared" si="115"/>
        <v>55406.81586480001</v>
      </c>
      <c r="M470" s="22">
        <f t="shared" si="116"/>
        <v>1594019.2275792002</v>
      </c>
      <c r="N470" s="12">
        <f t="shared" si="117"/>
        <v>0.95902813785463359</v>
      </c>
      <c r="O470" s="12">
        <f t="shared" si="118"/>
        <v>0.55138702744329948</v>
      </c>
      <c r="P470" s="13">
        <f t="shared" si="119"/>
        <v>0.40764111041133411</v>
      </c>
      <c r="Q470" s="5">
        <v>0.47099999999999997</v>
      </c>
      <c r="U470" s="31">
        <f t="shared" si="105"/>
        <v>0.99482674999999987</v>
      </c>
    </row>
    <row r="471" spans="3:21" x14ac:dyDescent="0.2">
      <c r="C471" s="12">
        <f t="shared" si="106"/>
        <v>3525.9374207999995</v>
      </c>
      <c r="D471" s="13">
        <f t="shared" si="107"/>
        <v>29.953440000000029</v>
      </c>
      <c r="E471" s="12">
        <f t="shared" si="108"/>
        <v>-25.36681950000008</v>
      </c>
      <c r="F471" s="12">
        <f t="shared" si="109"/>
        <v>947.89022400000022</v>
      </c>
      <c r="G471" s="12">
        <f t="shared" si="110"/>
        <v>4295.3686799999996</v>
      </c>
      <c r="H471" s="12">
        <f t="shared" si="111"/>
        <v>5960.7345600000008</v>
      </c>
      <c r="I471" s="12">
        <f t="shared" si="112"/>
        <v>29.653905600000058</v>
      </c>
      <c r="J471" s="22">
        <f t="shared" si="113"/>
        <v>1355185.6624231797</v>
      </c>
      <c r="K471" s="22">
        <f t="shared" si="114"/>
        <v>1299660.5333068799</v>
      </c>
      <c r="L471" s="22">
        <f t="shared" si="115"/>
        <v>55525.129116299795</v>
      </c>
      <c r="M471" s="22">
        <f t="shared" si="116"/>
        <v>1597491.248808</v>
      </c>
      <c r="N471" s="12">
        <f t="shared" si="117"/>
        <v>0.95902765897255993</v>
      </c>
      <c r="O471" s="12">
        <f t="shared" si="118"/>
        <v>0.55140060616425624</v>
      </c>
      <c r="P471" s="13">
        <f t="shared" si="119"/>
        <v>0.40762705280830369</v>
      </c>
      <c r="Q471" s="3">
        <v>0.47199999999999998</v>
      </c>
      <c r="U471" s="31">
        <f t="shared" si="105"/>
        <v>0.99482674999999987</v>
      </c>
    </row>
    <row r="472" spans="3:21" x14ac:dyDescent="0.2">
      <c r="C472" s="12">
        <f t="shared" si="106"/>
        <v>3533.4076271999993</v>
      </c>
      <c r="D472" s="13">
        <f t="shared" si="107"/>
        <v>29.896710000000027</v>
      </c>
      <c r="E472" s="12">
        <f t="shared" si="108"/>
        <v>-25.423549500000075</v>
      </c>
      <c r="F472" s="12">
        <f t="shared" si="109"/>
        <v>949.8984660000001</v>
      </c>
      <c r="G472" s="12">
        <f t="shared" si="110"/>
        <v>4304.7064379999993</v>
      </c>
      <c r="H472" s="12">
        <f t="shared" si="111"/>
        <v>5949.4452899999997</v>
      </c>
      <c r="I472" s="12">
        <f t="shared" si="112"/>
        <v>29.597742900000064</v>
      </c>
      <c r="J472" s="22">
        <f t="shared" si="113"/>
        <v>1358057.4937537198</v>
      </c>
      <c r="K472" s="22">
        <f t="shared" si="114"/>
        <v>1302414.0513859198</v>
      </c>
      <c r="L472" s="22">
        <f t="shared" si="115"/>
        <v>55643.442367800046</v>
      </c>
      <c r="M472" s="22">
        <f t="shared" si="116"/>
        <v>1600963.2700367998</v>
      </c>
      <c r="N472" s="12">
        <f t="shared" si="117"/>
        <v>0.95902718211583249</v>
      </c>
      <c r="O472" s="12">
        <f t="shared" si="118"/>
        <v>0.55141412665312561</v>
      </c>
      <c r="P472" s="13">
        <f t="shared" si="119"/>
        <v>0.40761305546270687</v>
      </c>
      <c r="Q472" s="5">
        <v>0.47299999999999998</v>
      </c>
      <c r="U472" s="31">
        <f t="shared" si="105"/>
        <v>0.99482674999999987</v>
      </c>
    </row>
    <row r="473" spans="3:21" x14ac:dyDescent="0.2">
      <c r="C473" s="12">
        <f t="shared" si="106"/>
        <v>3540.8778335999996</v>
      </c>
      <c r="D473" s="13">
        <f t="shared" si="107"/>
        <v>29.839980000000029</v>
      </c>
      <c r="E473" s="12">
        <f t="shared" si="108"/>
        <v>-25.48027950000008</v>
      </c>
      <c r="F473" s="12">
        <f t="shared" si="109"/>
        <v>951.90670800000021</v>
      </c>
      <c r="G473" s="12">
        <f t="shared" si="110"/>
        <v>4314.0441959999998</v>
      </c>
      <c r="H473" s="12">
        <f t="shared" si="111"/>
        <v>5938.1560200000004</v>
      </c>
      <c r="I473" s="12">
        <f t="shared" si="112"/>
        <v>29.541580200000059</v>
      </c>
      <c r="J473" s="22">
        <f t="shared" si="113"/>
        <v>1360929.3250842597</v>
      </c>
      <c r="K473" s="22">
        <f t="shared" si="114"/>
        <v>1305167.5694649599</v>
      </c>
      <c r="L473" s="22">
        <f t="shared" si="115"/>
        <v>55761.755619299831</v>
      </c>
      <c r="M473" s="22">
        <f t="shared" si="116"/>
        <v>1604435.2912655999</v>
      </c>
      <c r="N473" s="12">
        <f t="shared" si="117"/>
        <v>0.95902670727163042</v>
      </c>
      <c r="O473" s="12">
        <f t="shared" si="118"/>
        <v>0.55142758928369673</v>
      </c>
      <c r="P473" s="13">
        <f t="shared" si="119"/>
        <v>0.40759911798793369</v>
      </c>
      <c r="Q473" s="3">
        <v>0.47399999999999998</v>
      </c>
      <c r="U473" s="31">
        <f t="shared" si="105"/>
        <v>0.99482674999999987</v>
      </c>
    </row>
    <row r="474" spans="3:21" x14ac:dyDescent="0.2">
      <c r="C474" s="12">
        <f t="shared" si="106"/>
        <v>3548.3480399999994</v>
      </c>
      <c r="D474" s="13">
        <f t="shared" si="107"/>
        <v>29.783250000000027</v>
      </c>
      <c r="E474" s="12">
        <f t="shared" si="108"/>
        <v>-25.537009500000075</v>
      </c>
      <c r="F474" s="12">
        <f t="shared" si="109"/>
        <v>953.9149500000002</v>
      </c>
      <c r="G474" s="12">
        <f t="shared" si="110"/>
        <v>4323.3819539999995</v>
      </c>
      <c r="H474" s="12">
        <f t="shared" si="111"/>
        <v>5926.8667500000001</v>
      </c>
      <c r="I474" s="12">
        <f t="shared" si="112"/>
        <v>29.485417500000061</v>
      </c>
      <c r="J474" s="22">
        <f t="shared" si="113"/>
        <v>1363801.1564147999</v>
      </c>
      <c r="K474" s="22">
        <f t="shared" si="114"/>
        <v>1307921.0875439998</v>
      </c>
      <c r="L474" s="22">
        <f t="shared" si="115"/>
        <v>55880.068870800082</v>
      </c>
      <c r="M474" s="22">
        <f t="shared" si="116"/>
        <v>1607907.3124944</v>
      </c>
      <c r="N474" s="12">
        <f t="shared" si="117"/>
        <v>0.95902623442723922</v>
      </c>
      <c r="O474" s="12">
        <f t="shared" si="118"/>
        <v>0.55144099442656669</v>
      </c>
      <c r="P474" s="13">
        <f t="shared" si="119"/>
        <v>0.40758524000067253</v>
      </c>
      <c r="Q474" s="5">
        <v>0.47499999999999998</v>
      </c>
      <c r="U474" s="31">
        <f t="shared" si="105"/>
        <v>0.99482674999999987</v>
      </c>
    </row>
    <row r="475" spans="3:21" x14ac:dyDescent="0.2">
      <c r="C475" s="12">
        <f t="shared" si="106"/>
        <v>3555.8182464000001</v>
      </c>
      <c r="D475" s="13">
        <f t="shared" si="107"/>
        <v>29.726520000000029</v>
      </c>
      <c r="E475" s="12">
        <f t="shared" si="108"/>
        <v>-25.59373950000008</v>
      </c>
      <c r="F475" s="12">
        <f t="shared" si="109"/>
        <v>955.9231920000002</v>
      </c>
      <c r="G475" s="12">
        <f t="shared" si="110"/>
        <v>4332.7197120000001</v>
      </c>
      <c r="H475" s="12">
        <f t="shared" si="111"/>
        <v>5915.5774800000008</v>
      </c>
      <c r="I475" s="12">
        <f t="shared" si="112"/>
        <v>29.429254800000056</v>
      </c>
      <c r="J475" s="22">
        <f t="shared" si="113"/>
        <v>1366672.9877453402</v>
      </c>
      <c r="K475" s="22">
        <f t="shared" si="114"/>
        <v>1310674.6056230401</v>
      </c>
      <c r="L475" s="22">
        <f t="shared" si="115"/>
        <v>55998.3821223001</v>
      </c>
      <c r="M475" s="22">
        <f t="shared" si="116"/>
        <v>1611379.3337232003</v>
      </c>
      <c r="N475" s="12">
        <f t="shared" si="117"/>
        <v>0.95902576357005265</v>
      </c>
      <c r="O475" s="12">
        <f t="shared" si="118"/>
        <v>0.55145434244917424</v>
      </c>
      <c r="P475" s="13">
        <f t="shared" si="119"/>
        <v>0.40757142112087841</v>
      </c>
      <c r="Q475" s="3">
        <v>0.47599999999999998</v>
      </c>
      <c r="U475" s="31">
        <f t="shared" si="105"/>
        <v>0.99482674999999987</v>
      </c>
    </row>
    <row r="476" spans="3:21" x14ac:dyDescent="0.2">
      <c r="C476" s="12">
        <f t="shared" si="106"/>
        <v>3563.2884527999995</v>
      </c>
      <c r="D476" s="13">
        <f t="shared" si="107"/>
        <v>29.669790000000027</v>
      </c>
      <c r="E476" s="12">
        <f t="shared" si="108"/>
        <v>-25.650469500000078</v>
      </c>
      <c r="F476" s="12">
        <f t="shared" si="109"/>
        <v>957.93143400000019</v>
      </c>
      <c r="G476" s="12">
        <f t="shared" si="110"/>
        <v>4342.0574699999997</v>
      </c>
      <c r="H476" s="12">
        <f t="shared" si="111"/>
        <v>5904.2882099999997</v>
      </c>
      <c r="I476" s="12">
        <f t="shared" si="112"/>
        <v>29.373092100000061</v>
      </c>
      <c r="J476" s="22">
        <f t="shared" si="113"/>
        <v>1369544.8190758796</v>
      </c>
      <c r="K476" s="22">
        <f t="shared" si="114"/>
        <v>1313428.12370208</v>
      </c>
      <c r="L476" s="22">
        <f t="shared" si="115"/>
        <v>56116.695373799652</v>
      </c>
      <c r="M476" s="22">
        <f t="shared" si="116"/>
        <v>1614851.3549520001</v>
      </c>
      <c r="N476" s="12">
        <f t="shared" si="117"/>
        <v>0.95902529468756981</v>
      </c>
      <c r="O476" s="12">
        <f t="shared" si="118"/>
        <v>0.55146763371583352</v>
      </c>
      <c r="P476" s="13">
        <f t="shared" si="119"/>
        <v>0.40755766097173629</v>
      </c>
      <c r="Q476" s="5">
        <v>0.47699999999999998</v>
      </c>
      <c r="U476" s="31">
        <f t="shared" si="105"/>
        <v>0.99482674999999987</v>
      </c>
    </row>
    <row r="477" spans="3:21" x14ac:dyDescent="0.2">
      <c r="C477" s="12">
        <f t="shared" si="106"/>
        <v>3570.7586592000002</v>
      </c>
      <c r="D477" s="13">
        <f t="shared" si="107"/>
        <v>29.613060000000029</v>
      </c>
      <c r="E477" s="12">
        <f t="shared" si="108"/>
        <v>-25.70719950000008</v>
      </c>
      <c r="F477" s="12">
        <f t="shared" si="109"/>
        <v>959.93967600000019</v>
      </c>
      <c r="G477" s="12">
        <f t="shared" si="110"/>
        <v>4351.3952280000003</v>
      </c>
      <c r="H477" s="12">
        <f t="shared" si="111"/>
        <v>5892.9989400000004</v>
      </c>
      <c r="I477" s="12">
        <f t="shared" si="112"/>
        <v>29.31692940000006</v>
      </c>
      <c r="J477" s="22">
        <f t="shared" si="113"/>
        <v>1372416.65040642</v>
      </c>
      <c r="K477" s="22">
        <f t="shared" si="114"/>
        <v>1316181.6417811201</v>
      </c>
      <c r="L477" s="22">
        <f t="shared" si="115"/>
        <v>56235.008625299903</v>
      </c>
      <c r="M477" s="22">
        <f t="shared" si="116"/>
        <v>1618323.3761808004</v>
      </c>
      <c r="N477" s="12">
        <f t="shared" si="117"/>
        <v>0.95902482776739351</v>
      </c>
      <c r="O477" s="12">
        <f t="shared" si="118"/>
        <v>0.5514808685877669</v>
      </c>
      <c r="P477" s="13">
        <f t="shared" si="119"/>
        <v>0.4075439591796266</v>
      </c>
      <c r="Q477" s="3">
        <v>0.47799999999999998</v>
      </c>
      <c r="U477" s="31">
        <f t="shared" si="105"/>
        <v>0.99482674999999987</v>
      </c>
    </row>
    <row r="478" spans="3:21" x14ac:dyDescent="0.2">
      <c r="C478" s="12">
        <f t="shared" si="106"/>
        <v>3578.2288656000001</v>
      </c>
      <c r="D478" s="13">
        <f t="shared" si="107"/>
        <v>29.556330000000028</v>
      </c>
      <c r="E478" s="12">
        <f t="shared" si="108"/>
        <v>-25.763929500000078</v>
      </c>
      <c r="F478" s="12">
        <f t="shared" si="109"/>
        <v>961.94791800000019</v>
      </c>
      <c r="G478" s="12">
        <f t="shared" si="110"/>
        <v>4360.732986</v>
      </c>
      <c r="H478" s="12">
        <f t="shared" si="111"/>
        <v>5881.7096700000002</v>
      </c>
      <c r="I478" s="12">
        <f t="shared" si="112"/>
        <v>29.260766700000058</v>
      </c>
      <c r="J478" s="22">
        <f t="shared" si="113"/>
        <v>1375288.4817369601</v>
      </c>
      <c r="K478" s="22">
        <f t="shared" si="114"/>
        <v>1318935.1598601602</v>
      </c>
      <c r="L478" s="22">
        <f t="shared" si="115"/>
        <v>56353.321876799921</v>
      </c>
      <c r="M478" s="22">
        <f t="shared" si="116"/>
        <v>1621795.3974096</v>
      </c>
      <c r="N478" s="12">
        <f t="shared" si="117"/>
        <v>0.95902436279723158</v>
      </c>
      <c r="O478" s="12">
        <f t="shared" si="118"/>
        <v>0.5514940474231379</v>
      </c>
      <c r="P478" s="13">
        <f t="shared" si="119"/>
        <v>0.40753031537409368</v>
      </c>
      <c r="Q478" s="5">
        <v>0.47899999999999998</v>
      </c>
      <c r="U478" s="31">
        <f t="shared" si="105"/>
        <v>0.99482674999999987</v>
      </c>
    </row>
    <row r="479" spans="3:21" x14ac:dyDescent="0.2">
      <c r="C479" s="12">
        <f t="shared" si="106"/>
        <v>3585.6990719999994</v>
      </c>
      <c r="D479" s="13">
        <f t="shared" si="107"/>
        <v>29.499600000000029</v>
      </c>
      <c r="E479" s="12">
        <f t="shared" si="108"/>
        <v>-25.82065950000008</v>
      </c>
      <c r="F479" s="12">
        <f t="shared" si="109"/>
        <v>963.9561600000003</v>
      </c>
      <c r="G479" s="12">
        <f t="shared" si="110"/>
        <v>4370.0707439999996</v>
      </c>
      <c r="H479" s="12">
        <f t="shared" si="111"/>
        <v>5870.4204</v>
      </c>
      <c r="I479" s="12">
        <f t="shared" si="112"/>
        <v>29.204604000000057</v>
      </c>
      <c r="J479" s="22">
        <f t="shared" si="113"/>
        <v>1378160.3130674998</v>
      </c>
      <c r="K479" s="22">
        <f t="shared" si="114"/>
        <v>1321688.6779391998</v>
      </c>
      <c r="L479" s="22">
        <f t="shared" si="115"/>
        <v>56471.635128299939</v>
      </c>
      <c r="M479" s="22">
        <f t="shared" si="116"/>
        <v>1625267.4186384</v>
      </c>
      <c r="N479" s="12">
        <f t="shared" si="117"/>
        <v>0.95902389976489322</v>
      </c>
      <c r="O479" s="12">
        <f t="shared" si="118"/>
        <v>0.55150717057708409</v>
      </c>
      <c r="P479" s="13">
        <f t="shared" si="119"/>
        <v>0.40751672918780912</v>
      </c>
      <c r="Q479" s="3">
        <v>0.48</v>
      </c>
      <c r="U479" s="31">
        <f t="shared" si="105"/>
        <v>0.99482674999999987</v>
      </c>
    </row>
    <row r="480" spans="3:21" x14ac:dyDescent="0.2">
      <c r="C480" s="12">
        <f t="shared" si="106"/>
        <v>3593.1692783999993</v>
      </c>
      <c r="D480" s="13">
        <f t="shared" si="107"/>
        <v>29.442870000000024</v>
      </c>
      <c r="E480" s="12">
        <f t="shared" si="108"/>
        <v>-25.877389500000078</v>
      </c>
      <c r="F480" s="12">
        <f t="shared" si="109"/>
        <v>965.96440200000018</v>
      </c>
      <c r="G480" s="12">
        <f t="shared" si="110"/>
        <v>4379.4085019999993</v>
      </c>
      <c r="H480" s="12">
        <f t="shared" si="111"/>
        <v>5859.1311299999998</v>
      </c>
      <c r="I480" s="12">
        <f t="shared" si="112"/>
        <v>29.148441300000062</v>
      </c>
      <c r="J480" s="22">
        <f t="shared" si="113"/>
        <v>1381032.1443980397</v>
      </c>
      <c r="K480" s="22">
        <f t="shared" si="114"/>
        <v>1324442.1960182397</v>
      </c>
      <c r="L480" s="22">
        <f t="shared" si="115"/>
        <v>56589.948379799956</v>
      </c>
      <c r="M480" s="22">
        <f t="shared" si="116"/>
        <v>1628739.4398671999</v>
      </c>
      <c r="N480" s="12">
        <f t="shared" si="117"/>
        <v>0.95902343865828976</v>
      </c>
      <c r="O480" s="12">
        <f t="shared" si="118"/>
        <v>0.55152023840174735</v>
      </c>
      <c r="P480" s="13">
        <f t="shared" si="119"/>
        <v>0.40750320025654241</v>
      </c>
      <c r="Q480" s="5">
        <v>0.48099999999999998</v>
      </c>
      <c r="U480" s="31">
        <f t="shared" si="105"/>
        <v>0.99482674999999987</v>
      </c>
    </row>
    <row r="481" spans="3:21" x14ac:dyDescent="0.2">
      <c r="C481" s="12">
        <f t="shared" si="106"/>
        <v>3600.6394848</v>
      </c>
      <c r="D481" s="13">
        <f t="shared" si="107"/>
        <v>29.386140000000029</v>
      </c>
      <c r="E481" s="12">
        <f t="shared" si="108"/>
        <v>-25.934119500000079</v>
      </c>
      <c r="F481" s="12">
        <f t="shared" si="109"/>
        <v>967.97264400000029</v>
      </c>
      <c r="G481" s="12">
        <f t="shared" si="110"/>
        <v>4388.7462599999999</v>
      </c>
      <c r="H481" s="12">
        <f t="shared" si="111"/>
        <v>5847.8418600000005</v>
      </c>
      <c r="I481" s="12">
        <f t="shared" si="112"/>
        <v>29.092278600000057</v>
      </c>
      <c r="J481" s="22">
        <f t="shared" si="113"/>
        <v>1383903.97572858</v>
      </c>
      <c r="K481" s="22">
        <f t="shared" si="114"/>
        <v>1327195.7140972801</v>
      </c>
      <c r="L481" s="22">
        <f t="shared" si="115"/>
        <v>56708.261631299974</v>
      </c>
      <c r="M481" s="22">
        <f t="shared" si="116"/>
        <v>1632211.4610960002</v>
      </c>
      <c r="N481" s="12">
        <f t="shared" si="117"/>
        <v>0.95902297946543225</v>
      </c>
      <c r="O481" s="12">
        <f t="shared" si="118"/>
        <v>0.55153325124630737</v>
      </c>
      <c r="P481" s="13">
        <f t="shared" si="119"/>
        <v>0.40748972821912488</v>
      </c>
      <c r="Q481" s="3">
        <v>0.48199999999999998</v>
      </c>
      <c r="U481" s="31">
        <f t="shared" si="105"/>
        <v>0.99482674999999987</v>
      </c>
    </row>
    <row r="482" spans="3:21" x14ac:dyDescent="0.2">
      <c r="C482" s="12">
        <f t="shared" si="106"/>
        <v>3608.1096911999994</v>
      </c>
      <c r="D482" s="13">
        <f t="shared" si="107"/>
        <v>29.329410000000024</v>
      </c>
      <c r="E482" s="12">
        <f t="shared" si="108"/>
        <v>-25.990849500000078</v>
      </c>
      <c r="F482" s="12">
        <f t="shared" si="109"/>
        <v>969.98088600000017</v>
      </c>
      <c r="G482" s="12">
        <f t="shared" si="110"/>
        <v>4398.0840179999996</v>
      </c>
      <c r="H482" s="12">
        <f t="shared" si="111"/>
        <v>5836.5525900000011</v>
      </c>
      <c r="I482" s="12">
        <f t="shared" si="112"/>
        <v>29.036115900000063</v>
      </c>
      <c r="J482" s="22">
        <f t="shared" si="113"/>
        <v>1386775.8070591197</v>
      </c>
      <c r="K482" s="22">
        <f t="shared" si="114"/>
        <v>1329949.2321763199</v>
      </c>
      <c r="L482" s="22">
        <f t="shared" si="115"/>
        <v>56826.57488279976</v>
      </c>
      <c r="M482" s="22">
        <f t="shared" si="116"/>
        <v>1635683.4823248</v>
      </c>
      <c r="N482" s="12">
        <f t="shared" si="117"/>
        <v>0.95902252217443162</v>
      </c>
      <c r="O482" s="12">
        <f t="shared" si="118"/>
        <v>0.55154620945701138</v>
      </c>
      <c r="P482" s="13">
        <f t="shared" si="119"/>
        <v>0.40747631271742024</v>
      </c>
      <c r="Q482" s="5">
        <v>0.48299999999999998</v>
      </c>
      <c r="U482" s="31">
        <f t="shared" si="105"/>
        <v>0.99482674999999987</v>
      </c>
    </row>
    <row r="483" spans="3:21" x14ac:dyDescent="0.2">
      <c r="C483" s="12">
        <f t="shared" si="106"/>
        <v>3615.5798976000001</v>
      </c>
      <c r="D483" s="13">
        <f t="shared" si="107"/>
        <v>29.272680000000026</v>
      </c>
      <c r="E483" s="12">
        <f t="shared" si="108"/>
        <v>-26.047579500000079</v>
      </c>
      <c r="F483" s="12">
        <f t="shared" si="109"/>
        <v>971.98912800000028</v>
      </c>
      <c r="G483" s="12">
        <f t="shared" si="110"/>
        <v>4407.4217760000001</v>
      </c>
      <c r="H483" s="12">
        <f t="shared" si="111"/>
        <v>5825.26332</v>
      </c>
      <c r="I483" s="12">
        <f t="shared" si="112"/>
        <v>28.979953200000061</v>
      </c>
      <c r="J483" s="22">
        <f t="shared" si="113"/>
        <v>1389647.63838966</v>
      </c>
      <c r="K483" s="22">
        <f t="shared" si="114"/>
        <v>1332702.75025536</v>
      </c>
      <c r="L483" s="22">
        <f t="shared" si="115"/>
        <v>56944.88813430001</v>
      </c>
      <c r="M483" s="22">
        <f t="shared" si="116"/>
        <v>1639155.5035536001</v>
      </c>
      <c r="N483" s="12">
        <f t="shared" si="117"/>
        <v>0.95902206677349633</v>
      </c>
      <c r="O483" s="12">
        <f t="shared" si="118"/>
        <v>0.55155911337720542</v>
      </c>
      <c r="P483" s="13">
        <f t="shared" si="119"/>
        <v>0.40746295339629091</v>
      </c>
      <c r="Q483" s="3">
        <v>0.48399999999999999</v>
      </c>
      <c r="U483" s="31">
        <f t="shared" si="105"/>
        <v>0.99482674999999987</v>
      </c>
    </row>
    <row r="484" spans="3:21" x14ac:dyDescent="0.2">
      <c r="C484" s="12">
        <f t="shared" si="106"/>
        <v>3623.0501039999999</v>
      </c>
      <c r="D484" s="13">
        <f t="shared" si="107"/>
        <v>29.215950000000024</v>
      </c>
      <c r="E484" s="12">
        <f t="shared" si="108"/>
        <v>-26.104309500000078</v>
      </c>
      <c r="F484" s="12">
        <f t="shared" si="109"/>
        <v>973.99737000000016</v>
      </c>
      <c r="G484" s="12">
        <f t="shared" si="110"/>
        <v>4416.7595339999998</v>
      </c>
      <c r="H484" s="12">
        <f t="shared" si="111"/>
        <v>5813.9740499999998</v>
      </c>
      <c r="I484" s="12">
        <f t="shared" si="112"/>
        <v>28.923790500000059</v>
      </c>
      <c r="J484" s="22">
        <f t="shared" si="113"/>
        <v>1392519.4697202002</v>
      </c>
      <c r="K484" s="22">
        <f t="shared" si="114"/>
        <v>1335456.2683344001</v>
      </c>
      <c r="L484" s="22">
        <f t="shared" si="115"/>
        <v>57063.201385800028</v>
      </c>
      <c r="M484" s="22">
        <f t="shared" si="116"/>
        <v>1642627.5247823999</v>
      </c>
      <c r="N484" s="12">
        <f t="shared" si="117"/>
        <v>0.95902161325093305</v>
      </c>
      <c r="O484" s="12">
        <f t="shared" si="118"/>
        <v>0.55157196334736447</v>
      </c>
      <c r="P484" s="13">
        <f t="shared" si="119"/>
        <v>0.40744964990356858</v>
      </c>
      <c r="Q484" s="5">
        <v>0.48499999999999999</v>
      </c>
      <c r="U484" s="31">
        <f t="shared" si="105"/>
        <v>0.99482674999999987</v>
      </c>
    </row>
    <row r="485" spans="3:21" x14ac:dyDescent="0.2">
      <c r="C485" s="12">
        <f t="shared" si="106"/>
        <v>3630.5203104000002</v>
      </c>
      <c r="D485" s="13">
        <f t="shared" si="107"/>
        <v>29.159220000000026</v>
      </c>
      <c r="E485" s="12">
        <f t="shared" si="108"/>
        <v>-26.161039500000079</v>
      </c>
      <c r="F485" s="12">
        <f t="shared" si="109"/>
        <v>976.00561200000027</v>
      </c>
      <c r="G485" s="12">
        <f t="shared" si="110"/>
        <v>4426.0972920000004</v>
      </c>
      <c r="H485" s="12">
        <f t="shared" si="111"/>
        <v>5802.6847800000005</v>
      </c>
      <c r="I485" s="12">
        <f t="shared" si="112"/>
        <v>28.867627800000058</v>
      </c>
      <c r="J485" s="22">
        <f t="shared" si="113"/>
        <v>1395391.3010507403</v>
      </c>
      <c r="K485" s="22">
        <f t="shared" si="114"/>
        <v>1338209.7864134402</v>
      </c>
      <c r="L485" s="22">
        <f t="shared" si="115"/>
        <v>57181.514637300046</v>
      </c>
      <c r="M485" s="22">
        <f t="shared" si="116"/>
        <v>1646099.5460112002</v>
      </c>
      <c r="N485" s="12">
        <f t="shared" si="117"/>
        <v>0.95902116159514406</v>
      </c>
      <c r="O485" s="12">
        <f t="shared" si="118"/>
        <v>0.55158475970512255</v>
      </c>
      <c r="P485" s="13">
        <f t="shared" si="119"/>
        <v>0.4074364018900215</v>
      </c>
      <c r="Q485" s="3">
        <v>0.48599999999999999</v>
      </c>
      <c r="U485" s="31">
        <f t="shared" si="105"/>
        <v>0.99482674999999987</v>
      </c>
    </row>
    <row r="486" spans="3:21" x14ac:dyDescent="0.2">
      <c r="C486" s="12">
        <f t="shared" si="106"/>
        <v>3637.9905168</v>
      </c>
      <c r="D486" s="13">
        <f t="shared" si="107"/>
        <v>29.102490000000024</v>
      </c>
      <c r="E486" s="12">
        <f t="shared" si="108"/>
        <v>-26.217769500000077</v>
      </c>
      <c r="F486" s="12">
        <f t="shared" si="109"/>
        <v>978.01385400000015</v>
      </c>
      <c r="G486" s="12">
        <f t="shared" si="110"/>
        <v>4435.43505</v>
      </c>
      <c r="H486" s="12">
        <f t="shared" si="111"/>
        <v>5791.3955099999994</v>
      </c>
      <c r="I486" s="12">
        <f t="shared" si="112"/>
        <v>28.811465100000056</v>
      </c>
      <c r="J486" s="22">
        <f t="shared" si="113"/>
        <v>1398263.1323812802</v>
      </c>
      <c r="K486" s="22">
        <f t="shared" si="114"/>
        <v>1340963.3044924801</v>
      </c>
      <c r="L486" s="22">
        <f t="shared" si="115"/>
        <v>57299.827888800064</v>
      </c>
      <c r="M486" s="22">
        <f t="shared" si="116"/>
        <v>1649571.5672400002</v>
      </c>
      <c r="N486" s="12">
        <f t="shared" si="117"/>
        <v>0.959020711794627</v>
      </c>
      <c r="O486" s="12">
        <f t="shared" si="118"/>
        <v>0.55159750278530217</v>
      </c>
      <c r="P486" s="13">
        <f t="shared" si="119"/>
        <v>0.40742320900932483</v>
      </c>
      <c r="Q486" s="5">
        <v>0.48699999999999999</v>
      </c>
      <c r="U486" s="31">
        <f t="shared" si="105"/>
        <v>0.99482674999999987</v>
      </c>
    </row>
    <row r="487" spans="3:21" x14ac:dyDescent="0.2">
      <c r="C487" s="12">
        <f t="shared" si="106"/>
        <v>3645.4607231999998</v>
      </c>
      <c r="D487" s="13">
        <f t="shared" si="107"/>
        <v>29.045760000000026</v>
      </c>
      <c r="E487" s="12">
        <f t="shared" si="108"/>
        <v>-26.274499500000079</v>
      </c>
      <c r="F487" s="12">
        <f t="shared" si="109"/>
        <v>980.02209600000026</v>
      </c>
      <c r="G487" s="12">
        <f t="shared" si="110"/>
        <v>4444.7728079999997</v>
      </c>
      <c r="H487" s="12">
        <f t="shared" si="111"/>
        <v>5780.1062400000001</v>
      </c>
      <c r="I487" s="12">
        <f t="shared" si="112"/>
        <v>28.755302400000058</v>
      </c>
      <c r="J487" s="22">
        <f t="shared" si="113"/>
        <v>1401134.9637118198</v>
      </c>
      <c r="K487" s="22">
        <f t="shared" si="114"/>
        <v>1343716.82257152</v>
      </c>
      <c r="L487" s="22">
        <f t="shared" si="115"/>
        <v>57418.141140299849</v>
      </c>
      <c r="M487" s="22">
        <f t="shared" si="116"/>
        <v>1653043.5884688001</v>
      </c>
      <c r="N487" s="12">
        <f t="shared" si="117"/>
        <v>0.95902026383797434</v>
      </c>
      <c r="O487" s="12">
        <f t="shared" si="118"/>
        <v>0.55161019291994351</v>
      </c>
      <c r="P487" s="13">
        <f t="shared" si="119"/>
        <v>0.40741007091803083</v>
      </c>
      <c r="Q487" s="3">
        <v>0.48799999999999999</v>
      </c>
      <c r="U487" s="31">
        <f t="shared" si="105"/>
        <v>0.99482674999999987</v>
      </c>
    </row>
    <row r="488" spans="3:21" x14ac:dyDescent="0.2">
      <c r="C488" s="12">
        <f t="shared" si="106"/>
        <v>3652.9309295999992</v>
      </c>
      <c r="D488" s="13">
        <f t="shared" si="107"/>
        <v>28.989030000000025</v>
      </c>
      <c r="E488" s="12">
        <f t="shared" si="108"/>
        <v>-26.331229500000077</v>
      </c>
      <c r="F488" s="12">
        <f t="shared" si="109"/>
        <v>982.03033800000014</v>
      </c>
      <c r="G488" s="12">
        <f t="shared" si="110"/>
        <v>4454.1105659999994</v>
      </c>
      <c r="H488" s="12">
        <f t="shared" si="111"/>
        <v>5768.8169700000008</v>
      </c>
      <c r="I488" s="12">
        <f t="shared" si="112"/>
        <v>28.69913970000006</v>
      </c>
      <c r="J488" s="22">
        <f t="shared" si="113"/>
        <v>1404006.79504236</v>
      </c>
      <c r="K488" s="22">
        <f t="shared" si="114"/>
        <v>1346470.3406505599</v>
      </c>
      <c r="L488" s="22">
        <f t="shared" si="115"/>
        <v>57536.4543918001</v>
      </c>
      <c r="M488" s="22">
        <f t="shared" si="116"/>
        <v>1656515.6096975999</v>
      </c>
      <c r="N488" s="12">
        <f t="shared" si="117"/>
        <v>0.95901981771387068</v>
      </c>
      <c r="O488" s="12">
        <f t="shared" si="118"/>
        <v>0.55162283043833327</v>
      </c>
      <c r="P488" s="13">
        <f t="shared" si="119"/>
        <v>0.40739698727553741</v>
      </c>
      <c r="Q488" s="5">
        <v>0.48899999999999999</v>
      </c>
      <c r="U488" s="31">
        <f t="shared" si="105"/>
        <v>0.99482674999999987</v>
      </c>
    </row>
    <row r="489" spans="3:21" x14ac:dyDescent="0.2">
      <c r="C489" s="12">
        <f t="shared" si="106"/>
        <v>3660.401136</v>
      </c>
      <c r="D489" s="13">
        <f t="shared" si="107"/>
        <v>28.932300000000026</v>
      </c>
      <c r="E489" s="12">
        <f t="shared" si="108"/>
        <v>-26.387959500000079</v>
      </c>
      <c r="F489" s="12">
        <f t="shared" si="109"/>
        <v>984.03858000000025</v>
      </c>
      <c r="G489" s="12">
        <f t="shared" si="110"/>
        <v>4463.448324</v>
      </c>
      <c r="H489" s="12">
        <f t="shared" si="111"/>
        <v>5757.5276999999996</v>
      </c>
      <c r="I489" s="12">
        <f t="shared" si="112"/>
        <v>28.642977000000062</v>
      </c>
      <c r="J489" s="22">
        <f t="shared" si="113"/>
        <v>1406878.6263728999</v>
      </c>
      <c r="K489" s="22">
        <f t="shared" si="114"/>
        <v>1349223.8587296</v>
      </c>
      <c r="L489" s="22">
        <f t="shared" si="115"/>
        <v>57654.767643299885</v>
      </c>
      <c r="M489" s="22">
        <f t="shared" si="116"/>
        <v>1659987.6309264</v>
      </c>
      <c r="N489" s="12">
        <f t="shared" si="117"/>
        <v>0.95901937341109467</v>
      </c>
      <c r="O489" s="12">
        <f t="shared" si="118"/>
        <v>0.55163541566703334</v>
      </c>
      <c r="P489" s="13">
        <f t="shared" si="119"/>
        <v>0.40738395774406133</v>
      </c>
      <c r="Q489" s="3">
        <v>0.49</v>
      </c>
      <c r="U489" s="31">
        <f t="shared" si="105"/>
        <v>0.99482674999999987</v>
      </c>
    </row>
    <row r="490" spans="3:21" x14ac:dyDescent="0.2">
      <c r="C490" s="12">
        <f t="shared" si="106"/>
        <v>3667.8713423999998</v>
      </c>
      <c r="D490" s="13">
        <f t="shared" si="107"/>
        <v>28.875570000000025</v>
      </c>
      <c r="E490" s="12">
        <f t="shared" si="108"/>
        <v>-26.444689500000077</v>
      </c>
      <c r="F490" s="12">
        <f t="shared" si="109"/>
        <v>986.04682200000013</v>
      </c>
      <c r="G490" s="12">
        <f t="shared" si="110"/>
        <v>4472.7860819999996</v>
      </c>
      <c r="H490" s="12">
        <f t="shared" si="111"/>
        <v>5746.2384299999994</v>
      </c>
      <c r="I490" s="12">
        <f t="shared" si="112"/>
        <v>28.586814300000061</v>
      </c>
      <c r="J490" s="22">
        <f t="shared" si="113"/>
        <v>1409750.4577034402</v>
      </c>
      <c r="K490" s="22">
        <f t="shared" si="114"/>
        <v>1351977.3768086401</v>
      </c>
      <c r="L490" s="22">
        <f t="shared" si="115"/>
        <v>57773.080894800136</v>
      </c>
      <c r="M490" s="22">
        <f t="shared" si="116"/>
        <v>1663459.6521552</v>
      </c>
      <c r="N490" s="12">
        <f t="shared" si="117"/>
        <v>0.95901893091851476</v>
      </c>
      <c r="O490" s="12">
        <f t="shared" si="118"/>
        <v>0.55164794892990865</v>
      </c>
      <c r="P490" s="13">
        <f t="shared" si="119"/>
        <v>0.40737098198860611</v>
      </c>
      <c r="Q490" s="5">
        <v>0.49099999999999999</v>
      </c>
      <c r="U490" s="31">
        <f t="shared" si="105"/>
        <v>0.99482674999999987</v>
      </c>
    </row>
    <row r="491" spans="3:21" x14ac:dyDescent="0.2">
      <c r="C491" s="12">
        <f t="shared" si="106"/>
        <v>3675.3415488000001</v>
      </c>
      <c r="D491" s="13">
        <f t="shared" si="107"/>
        <v>28.818840000000026</v>
      </c>
      <c r="E491" s="12">
        <f t="shared" si="108"/>
        <v>-26.501419500000079</v>
      </c>
      <c r="F491" s="12">
        <f t="shared" si="109"/>
        <v>988.05506400000024</v>
      </c>
      <c r="G491" s="12">
        <f t="shared" si="110"/>
        <v>4482.1238400000002</v>
      </c>
      <c r="H491" s="12">
        <f t="shared" si="111"/>
        <v>5734.9491600000001</v>
      </c>
      <c r="I491" s="12">
        <f t="shared" si="112"/>
        <v>28.530651600000059</v>
      </c>
      <c r="J491" s="22">
        <f t="shared" si="113"/>
        <v>1412622.2890339803</v>
      </c>
      <c r="K491" s="22">
        <f t="shared" si="114"/>
        <v>1354730.8948876802</v>
      </c>
      <c r="L491" s="22">
        <f t="shared" si="115"/>
        <v>57891.394146300154</v>
      </c>
      <c r="M491" s="22">
        <f t="shared" si="116"/>
        <v>1666931.6733840003</v>
      </c>
      <c r="N491" s="12">
        <f t="shared" si="117"/>
        <v>0.95901849022509111</v>
      </c>
      <c r="O491" s="12">
        <f t="shared" si="118"/>
        <v>0.55166043054815539</v>
      </c>
      <c r="P491" s="13">
        <f t="shared" si="119"/>
        <v>0.40735805967693572</v>
      </c>
      <c r="Q491" s="3">
        <v>0.49199999999999999</v>
      </c>
      <c r="U491" s="31">
        <f t="shared" si="105"/>
        <v>0.99482674999999987</v>
      </c>
    </row>
    <row r="492" spans="3:21" x14ac:dyDescent="0.2">
      <c r="C492" s="12">
        <f t="shared" si="106"/>
        <v>3682.8117551999999</v>
      </c>
      <c r="D492" s="13">
        <f t="shared" si="107"/>
        <v>28.762110000000025</v>
      </c>
      <c r="E492" s="12">
        <f t="shared" si="108"/>
        <v>-26.558149500000077</v>
      </c>
      <c r="F492" s="12">
        <f t="shared" si="109"/>
        <v>990.06330600000013</v>
      </c>
      <c r="G492" s="12">
        <f t="shared" si="110"/>
        <v>4491.4615979999999</v>
      </c>
      <c r="H492" s="12">
        <f t="shared" si="111"/>
        <v>5723.6598900000008</v>
      </c>
      <c r="I492" s="12">
        <f t="shared" si="112"/>
        <v>28.474488900000058</v>
      </c>
      <c r="J492" s="22">
        <f t="shared" si="113"/>
        <v>1415494.12036452</v>
      </c>
      <c r="K492" s="22">
        <f t="shared" si="114"/>
        <v>1357484.4129667201</v>
      </c>
      <c r="L492" s="22">
        <f t="shared" si="115"/>
        <v>58009.707397799939</v>
      </c>
      <c r="M492" s="22">
        <f t="shared" si="116"/>
        <v>1670403.6946128001</v>
      </c>
      <c r="N492" s="12">
        <f t="shared" si="117"/>
        <v>0.95901805131987328</v>
      </c>
      <c r="O492" s="12">
        <f t="shared" si="118"/>
        <v>0.55167286084032785</v>
      </c>
      <c r="P492" s="13">
        <f t="shared" si="119"/>
        <v>0.40734519047954543</v>
      </c>
      <c r="Q492" s="5">
        <v>0.49299999999999999</v>
      </c>
      <c r="U492" s="31">
        <f t="shared" si="105"/>
        <v>0.99482674999999987</v>
      </c>
    </row>
    <row r="493" spans="3:21" x14ac:dyDescent="0.2">
      <c r="C493" s="12">
        <f t="shared" si="106"/>
        <v>3690.2819616000002</v>
      </c>
      <c r="D493" s="13">
        <f t="shared" si="107"/>
        <v>28.705380000000027</v>
      </c>
      <c r="E493" s="12">
        <f t="shared" si="108"/>
        <v>-26.614879500000079</v>
      </c>
      <c r="F493" s="12">
        <f t="shared" si="109"/>
        <v>992.07154800000023</v>
      </c>
      <c r="G493" s="12">
        <f t="shared" si="110"/>
        <v>4500.7993560000004</v>
      </c>
      <c r="H493" s="12">
        <f t="shared" si="111"/>
        <v>5712.3706199999997</v>
      </c>
      <c r="I493" s="12">
        <f t="shared" si="112"/>
        <v>28.418326200000056</v>
      </c>
      <c r="J493" s="22">
        <f t="shared" si="113"/>
        <v>1418365.9516950601</v>
      </c>
      <c r="K493" s="22">
        <f t="shared" si="114"/>
        <v>1360237.9310457602</v>
      </c>
      <c r="L493" s="22">
        <f t="shared" si="115"/>
        <v>58128.020649299957</v>
      </c>
      <c r="M493" s="22">
        <f t="shared" si="116"/>
        <v>1673875.7158416002</v>
      </c>
      <c r="N493" s="12">
        <f t="shared" si="117"/>
        <v>0.9590176141919986</v>
      </c>
      <c r="O493" s="12">
        <f t="shared" si="118"/>
        <v>0.55168524012236575</v>
      </c>
      <c r="P493" s="13">
        <f t="shared" si="119"/>
        <v>0.40733237406963285</v>
      </c>
      <c r="Q493" s="3">
        <v>0.49399999999999999</v>
      </c>
      <c r="U493" s="31">
        <f t="shared" si="105"/>
        <v>0.99482674999999987</v>
      </c>
    </row>
    <row r="494" spans="3:21" x14ac:dyDescent="0.2">
      <c r="C494" s="12">
        <f t="shared" si="106"/>
        <v>3697.752168</v>
      </c>
      <c r="D494" s="13">
        <f t="shared" si="107"/>
        <v>28.648650000000025</v>
      </c>
      <c r="E494" s="12">
        <f t="shared" si="108"/>
        <v>-26.671609500000077</v>
      </c>
      <c r="F494" s="12">
        <f t="shared" si="109"/>
        <v>994.07979000000023</v>
      </c>
      <c r="G494" s="12">
        <f t="shared" si="110"/>
        <v>4510.1371140000001</v>
      </c>
      <c r="H494" s="12">
        <f t="shared" si="111"/>
        <v>5701.0813500000004</v>
      </c>
      <c r="I494" s="12">
        <f t="shared" si="112"/>
        <v>28.362163500000062</v>
      </c>
      <c r="J494" s="22">
        <f t="shared" si="113"/>
        <v>1421237.7830256</v>
      </c>
      <c r="K494" s="22">
        <f t="shared" si="114"/>
        <v>1362991.4491248</v>
      </c>
      <c r="L494" s="22">
        <f t="shared" si="115"/>
        <v>58246.333900799975</v>
      </c>
      <c r="M494" s="22">
        <f t="shared" si="116"/>
        <v>1677347.7370704</v>
      </c>
      <c r="N494" s="12">
        <f t="shared" si="117"/>
        <v>0.95901717883069337</v>
      </c>
      <c r="O494" s="12">
        <f t="shared" si="118"/>
        <v>0.55169756870762132</v>
      </c>
      <c r="P494" s="13">
        <f t="shared" si="119"/>
        <v>0.40731961012307205</v>
      </c>
      <c r="Q494" s="5">
        <v>0.495</v>
      </c>
      <c r="U494" s="31">
        <f t="shared" si="105"/>
        <v>0.99482674999999987</v>
      </c>
    </row>
    <row r="495" spans="3:21" x14ac:dyDescent="0.2">
      <c r="C495" s="12">
        <f t="shared" si="106"/>
        <v>3705.2223743999998</v>
      </c>
      <c r="D495" s="13">
        <f t="shared" si="107"/>
        <v>28.591920000000027</v>
      </c>
      <c r="E495" s="12">
        <f t="shared" si="108"/>
        <v>-26.728339500000079</v>
      </c>
      <c r="F495" s="12">
        <f t="shared" si="109"/>
        <v>996.08803200000023</v>
      </c>
      <c r="G495" s="12">
        <f t="shared" si="110"/>
        <v>4519.4748719999998</v>
      </c>
      <c r="H495" s="12">
        <f t="shared" si="111"/>
        <v>5689.7920800000002</v>
      </c>
      <c r="I495" s="12">
        <f t="shared" si="112"/>
        <v>28.306000800000056</v>
      </c>
      <c r="J495" s="22">
        <f t="shared" si="113"/>
        <v>1424109.6143561399</v>
      </c>
      <c r="K495" s="22">
        <f t="shared" si="114"/>
        <v>1365744.9672038399</v>
      </c>
      <c r="L495" s="22">
        <f t="shared" si="115"/>
        <v>58364.647152299993</v>
      </c>
      <c r="M495" s="22">
        <f t="shared" si="116"/>
        <v>1680819.7582992001</v>
      </c>
      <c r="N495" s="12">
        <f t="shared" si="117"/>
        <v>0.95901674522527014</v>
      </c>
      <c r="O495" s="12">
        <f t="shared" si="118"/>
        <v>0.55170984690688563</v>
      </c>
      <c r="P495" s="13">
        <f t="shared" si="119"/>
        <v>0.40730689831838451</v>
      </c>
      <c r="Q495" s="3">
        <v>0.496</v>
      </c>
      <c r="U495" s="31">
        <f t="shared" si="105"/>
        <v>0.99482674999999987</v>
      </c>
    </row>
    <row r="496" spans="3:21" x14ac:dyDescent="0.2">
      <c r="C496" s="12">
        <f t="shared" si="106"/>
        <v>3712.6925807999996</v>
      </c>
      <c r="D496" s="13">
        <f t="shared" si="107"/>
        <v>28.535190000000025</v>
      </c>
      <c r="E496" s="12">
        <f t="shared" si="108"/>
        <v>-26.785069500000077</v>
      </c>
      <c r="F496" s="12">
        <f t="shared" si="109"/>
        <v>998.09627400000022</v>
      </c>
      <c r="G496" s="12">
        <f t="shared" si="110"/>
        <v>4528.8126299999994</v>
      </c>
      <c r="H496" s="12">
        <f t="shared" si="111"/>
        <v>5678.50281</v>
      </c>
      <c r="I496" s="12">
        <f t="shared" si="112"/>
        <v>28.249838100000062</v>
      </c>
      <c r="J496" s="22">
        <f t="shared" si="113"/>
        <v>1426981.44568668</v>
      </c>
      <c r="K496" s="22">
        <f t="shared" si="114"/>
        <v>1368498.48528288</v>
      </c>
      <c r="L496" s="22">
        <f t="shared" si="115"/>
        <v>58482.960403800011</v>
      </c>
      <c r="M496" s="22">
        <f t="shared" si="116"/>
        <v>1684291.7795279999</v>
      </c>
      <c r="N496" s="12">
        <f t="shared" si="117"/>
        <v>0.9590163133651276</v>
      </c>
      <c r="O496" s="12">
        <f t="shared" si="118"/>
        <v>0.55172207502841397</v>
      </c>
      <c r="P496" s="13">
        <f t="shared" si="119"/>
        <v>0.40729423833671363</v>
      </c>
      <c r="Q496" s="5">
        <v>0.497</v>
      </c>
      <c r="U496" s="31">
        <f t="shared" si="105"/>
        <v>0.99482674999999987</v>
      </c>
    </row>
    <row r="497" spans="3:21" x14ac:dyDescent="0.2">
      <c r="C497" s="12">
        <f t="shared" si="106"/>
        <v>3720.1627871999999</v>
      </c>
      <c r="D497" s="13">
        <f t="shared" si="107"/>
        <v>28.478460000000027</v>
      </c>
      <c r="E497" s="12">
        <f t="shared" si="108"/>
        <v>-26.841799500000079</v>
      </c>
      <c r="F497" s="12">
        <f t="shared" si="109"/>
        <v>1000.1045160000002</v>
      </c>
      <c r="G497" s="12">
        <f t="shared" si="110"/>
        <v>4538.150388</v>
      </c>
      <c r="H497" s="12">
        <f t="shared" si="111"/>
        <v>5667.2135399999997</v>
      </c>
      <c r="I497" s="12">
        <f t="shared" si="112"/>
        <v>28.19367540000006</v>
      </c>
      <c r="J497" s="22">
        <f t="shared" si="113"/>
        <v>1429853.2770172202</v>
      </c>
      <c r="K497" s="22">
        <f t="shared" si="114"/>
        <v>1371252.0033619201</v>
      </c>
      <c r="L497" s="22">
        <f t="shared" si="115"/>
        <v>58601.273655300029</v>
      </c>
      <c r="M497" s="22">
        <f t="shared" si="116"/>
        <v>1687763.8007568002</v>
      </c>
      <c r="N497" s="12">
        <f t="shared" si="117"/>
        <v>0.95901588323974984</v>
      </c>
      <c r="O497" s="12">
        <f t="shared" si="118"/>
        <v>0.5517342533779529</v>
      </c>
      <c r="P497" s="13">
        <f t="shared" si="119"/>
        <v>0.40728162986179695</v>
      </c>
      <c r="Q497" s="3">
        <v>0.498</v>
      </c>
      <c r="U497" s="31">
        <f t="shared" si="105"/>
        <v>0.99482674999999987</v>
      </c>
    </row>
    <row r="498" spans="3:21" x14ac:dyDescent="0.2">
      <c r="C498" s="12">
        <f t="shared" si="106"/>
        <v>3727.6329935999997</v>
      </c>
      <c r="D498" s="13">
        <f t="shared" si="107"/>
        <v>28.421730000000021</v>
      </c>
      <c r="E498" s="12">
        <f t="shared" si="108"/>
        <v>-26.898529500000077</v>
      </c>
      <c r="F498" s="12">
        <f t="shared" si="109"/>
        <v>1002.1127580000002</v>
      </c>
      <c r="G498" s="12">
        <f t="shared" si="110"/>
        <v>4547.4881459999997</v>
      </c>
      <c r="H498" s="12">
        <f t="shared" si="111"/>
        <v>5655.9242700000004</v>
      </c>
      <c r="I498" s="12">
        <f t="shared" si="112"/>
        <v>28.137512700000059</v>
      </c>
      <c r="J498" s="22">
        <f t="shared" si="113"/>
        <v>1432725.1083477598</v>
      </c>
      <c r="K498" s="22">
        <f t="shared" si="114"/>
        <v>1374005.52144096</v>
      </c>
      <c r="L498" s="22">
        <f t="shared" si="115"/>
        <v>58719.586906799814</v>
      </c>
      <c r="M498" s="22">
        <f t="shared" si="116"/>
        <v>1691235.8219855998</v>
      </c>
      <c r="N498" s="12">
        <f t="shared" si="117"/>
        <v>0.95901545483870521</v>
      </c>
      <c r="O498" s="12">
        <f t="shared" si="118"/>
        <v>0.5517463822587646</v>
      </c>
      <c r="P498" s="13">
        <f t="shared" si="119"/>
        <v>0.40726907257994061</v>
      </c>
      <c r="Q498" s="5">
        <v>0.499</v>
      </c>
      <c r="U498" s="31">
        <f t="shared" si="105"/>
        <v>0.99482674999999987</v>
      </c>
    </row>
    <row r="499" spans="3:21" x14ac:dyDescent="0.2">
      <c r="C499" s="12">
        <f t="shared" si="106"/>
        <v>3735.1032</v>
      </c>
      <c r="D499" s="13">
        <f t="shared" si="107"/>
        <v>28.365000000000027</v>
      </c>
      <c r="E499" s="12">
        <f t="shared" si="108"/>
        <v>-26.955259500000079</v>
      </c>
      <c r="F499" s="12">
        <f t="shared" si="109"/>
        <v>1004.1210000000002</v>
      </c>
      <c r="G499" s="12">
        <f t="shared" si="110"/>
        <v>4556.8259040000003</v>
      </c>
      <c r="H499" s="12">
        <f t="shared" si="111"/>
        <v>5644.6350000000002</v>
      </c>
      <c r="I499" s="12">
        <f t="shared" si="112"/>
        <v>28.081350000000057</v>
      </c>
      <c r="J499" s="22">
        <f t="shared" si="113"/>
        <v>1435596.9396783002</v>
      </c>
      <c r="K499" s="22">
        <f t="shared" si="114"/>
        <v>1376759.0395200001</v>
      </c>
      <c r="L499" s="22">
        <f t="shared" si="115"/>
        <v>58837.900158300065</v>
      </c>
      <c r="M499" s="22">
        <f t="shared" si="116"/>
        <v>1694707.8432144001</v>
      </c>
      <c r="N499" s="12">
        <f t="shared" si="117"/>
        <v>0.95901502815164474</v>
      </c>
      <c r="O499" s="12">
        <f t="shared" si="118"/>
        <v>0.55175846197165301</v>
      </c>
      <c r="P499" s="13">
        <f t="shared" si="119"/>
        <v>0.40725656617999173</v>
      </c>
      <c r="Q499" s="3">
        <v>0.5</v>
      </c>
      <c r="U499" s="31">
        <f t="shared" si="105"/>
        <v>0.99482674999999987</v>
      </c>
    </row>
    <row r="500" spans="3:21" x14ac:dyDescent="0.2">
      <c r="C500" s="12">
        <f t="shared" si="106"/>
        <v>3742.5734064000007</v>
      </c>
      <c r="D500" s="13">
        <f t="shared" si="107"/>
        <v>28.308270000000029</v>
      </c>
      <c r="E500" s="12">
        <f t="shared" si="108"/>
        <v>-27.011989500000084</v>
      </c>
      <c r="F500" s="12">
        <f t="shared" si="109"/>
        <v>1006.1292420000003</v>
      </c>
      <c r="G500" s="12">
        <f t="shared" si="110"/>
        <v>4566.1636620000008</v>
      </c>
      <c r="H500" s="12">
        <f t="shared" si="111"/>
        <v>5633.34573</v>
      </c>
      <c r="I500" s="12">
        <f t="shared" si="112"/>
        <v>28.025187300000052</v>
      </c>
      <c r="J500" s="22">
        <f t="shared" si="113"/>
        <v>1438468.7710088405</v>
      </c>
      <c r="K500" s="22">
        <f t="shared" si="114"/>
        <v>1379512.5575990404</v>
      </c>
      <c r="L500" s="22">
        <f t="shared" si="115"/>
        <v>58956.213409800082</v>
      </c>
      <c r="M500" s="22">
        <f t="shared" si="116"/>
        <v>1698179.8644432004</v>
      </c>
      <c r="N500" s="12">
        <f t="shared" si="117"/>
        <v>0.95901460316830356</v>
      </c>
      <c r="O500" s="12">
        <f t="shared" si="118"/>
        <v>0.55177049281498769</v>
      </c>
      <c r="P500" s="13">
        <f t="shared" si="119"/>
        <v>0.40724411035331587</v>
      </c>
      <c r="Q500" s="5">
        <v>0.501</v>
      </c>
      <c r="U500" s="31">
        <f t="shared" si="105"/>
        <v>0.99482674999999987</v>
      </c>
    </row>
    <row r="501" spans="3:21" x14ac:dyDescent="0.2">
      <c r="C501" s="12">
        <f t="shared" si="106"/>
        <v>3750.0436128000001</v>
      </c>
      <c r="D501" s="13">
        <f t="shared" si="107"/>
        <v>28.251540000000023</v>
      </c>
      <c r="E501" s="12">
        <f t="shared" si="108"/>
        <v>-27.068719500000082</v>
      </c>
      <c r="F501" s="12">
        <f t="shared" si="109"/>
        <v>1008.1374840000003</v>
      </c>
      <c r="G501" s="12">
        <f t="shared" si="110"/>
        <v>4575.5014200000005</v>
      </c>
      <c r="H501" s="12">
        <f t="shared" si="111"/>
        <v>5622.0564599999998</v>
      </c>
      <c r="I501" s="12">
        <f t="shared" si="112"/>
        <v>27.969024600000058</v>
      </c>
      <c r="J501" s="22">
        <f t="shared" si="113"/>
        <v>1441340.60233938</v>
      </c>
      <c r="K501" s="22">
        <f t="shared" si="114"/>
        <v>1382266.0756780801</v>
      </c>
      <c r="L501" s="22">
        <f t="shared" si="115"/>
        <v>59074.526661299868</v>
      </c>
      <c r="M501" s="22">
        <f t="shared" si="116"/>
        <v>1701651.8856720002</v>
      </c>
      <c r="N501" s="12">
        <f t="shared" si="117"/>
        <v>0.95901417987849746</v>
      </c>
      <c r="O501" s="12">
        <f t="shared" si="118"/>
        <v>0.55178247508472933</v>
      </c>
      <c r="P501" s="13">
        <f t="shared" si="119"/>
        <v>0.40723170479376813</v>
      </c>
      <c r="Q501" s="3">
        <v>0.502</v>
      </c>
      <c r="U501" s="31">
        <f t="shared" si="105"/>
        <v>0.99482674999999987</v>
      </c>
    </row>
    <row r="502" spans="3:21" x14ac:dyDescent="0.2">
      <c r="C502" s="12">
        <f t="shared" si="106"/>
        <v>3757.5138191999999</v>
      </c>
      <c r="D502" s="13">
        <f t="shared" si="107"/>
        <v>28.194810000000029</v>
      </c>
      <c r="E502" s="12">
        <f t="shared" si="108"/>
        <v>-27.125449500000084</v>
      </c>
      <c r="F502" s="12">
        <f t="shared" si="109"/>
        <v>1010.1457260000003</v>
      </c>
      <c r="G502" s="12">
        <f t="shared" si="110"/>
        <v>4584.8391780000002</v>
      </c>
      <c r="H502" s="12">
        <f t="shared" si="111"/>
        <v>5610.7671899999996</v>
      </c>
      <c r="I502" s="12">
        <f t="shared" si="112"/>
        <v>27.912861900000056</v>
      </c>
      <c r="J502" s="22">
        <f t="shared" si="113"/>
        <v>1444212.4336699201</v>
      </c>
      <c r="K502" s="22">
        <f t="shared" si="114"/>
        <v>1385019.59375712</v>
      </c>
      <c r="L502" s="22">
        <f t="shared" si="115"/>
        <v>59192.839912800118</v>
      </c>
      <c r="M502" s="22">
        <f t="shared" si="116"/>
        <v>1705123.9069008003</v>
      </c>
      <c r="N502" s="12">
        <f t="shared" si="117"/>
        <v>0.95901375827212354</v>
      </c>
      <c r="O502" s="12">
        <f t="shared" si="118"/>
        <v>0.55179440907445354</v>
      </c>
      <c r="P502" s="13">
        <f t="shared" si="119"/>
        <v>0.40721934919767</v>
      </c>
      <c r="Q502" s="5">
        <v>0.503</v>
      </c>
      <c r="U502" s="31">
        <f t="shared" si="105"/>
        <v>0.99482674999999987</v>
      </c>
    </row>
    <row r="503" spans="3:21" x14ac:dyDescent="0.2">
      <c r="C503" s="12">
        <f t="shared" si="106"/>
        <v>3764.9840255999998</v>
      </c>
      <c r="D503" s="13">
        <f t="shared" si="107"/>
        <v>28.138080000000024</v>
      </c>
      <c r="E503" s="12">
        <f t="shared" si="108"/>
        <v>-27.182179500000082</v>
      </c>
      <c r="F503" s="12">
        <f t="shared" si="109"/>
        <v>1012.1539680000003</v>
      </c>
      <c r="G503" s="12">
        <f t="shared" si="110"/>
        <v>4594.1769359999998</v>
      </c>
      <c r="H503" s="12">
        <f t="shared" si="111"/>
        <v>5599.4779200000003</v>
      </c>
      <c r="I503" s="12">
        <f t="shared" si="112"/>
        <v>27.856699200000055</v>
      </c>
      <c r="J503" s="22">
        <f t="shared" si="113"/>
        <v>1447084.26500046</v>
      </c>
      <c r="K503" s="22">
        <f t="shared" si="114"/>
        <v>1387773.1118361601</v>
      </c>
      <c r="L503" s="22">
        <f t="shared" si="115"/>
        <v>59311.153164299903</v>
      </c>
      <c r="M503" s="22">
        <f t="shared" si="116"/>
        <v>1708595.9281295999</v>
      </c>
      <c r="N503" s="12">
        <f t="shared" si="117"/>
        <v>0.95901333833915947</v>
      </c>
      <c r="O503" s="12">
        <f t="shared" si="118"/>
        <v>0.55180629507537438</v>
      </c>
      <c r="P503" s="13">
        <f t="shared" si="119"/>
        <v>0.4072070432637851</v>
      </c>
      <c r="Q503" s="3">
        <v>0.504</v>
      </c>
      <c r="U503" s="31">
        <f t="shared" si="105"/>
        <v>0.99482674999999987</v>
      </c>
    </row>
    <row r="504" spans="3:21" x14ac:dyDescent="0.2">
      <c r="C504" s="12">
        <f t="shared" si="106"/>
        <v>3772.454232</v>
      </c>
      <c r="D504" s="13">
        <f t="shared" si="107"/>
        <v>28.081350000000025</v>
      </c>
      <c r="E504" s="12">
        <f t="shared" si="108"/>
        <v>-27.238909500000084</v>
      </c>
      <c r="F504" s="12">
        <f t="shared" si="109"/>
        <v>1014.1622100000003</v>
      </c>
      <c r="G504" s="12">
        <f t="shared" si="110"/>
        <v>4603.5146940000004</v>
      </c>
      <c r="H504" s="12">
        <f t="shared" si="111"/>
        <v>5588.1886500000001</v>
      </c>
      <c r="I504" s="12">
        <f t="shared" si="112"/>
        <v>27.800536500000053</v>
      </c>
      <c r="J504" s="22">
        <f t="shared" si="113"/>
        <v>1449956.0963310001</v>
      </c>
      <c r="K504" s="22">
        <f t="shared" si="114"/>
        <v>1390526.6299152002</v>
      </c>
      <c r="L504" s="22">
        <f t="shared" si="115"/>
        <v>59429.466415799921</v>
      </c>
      <c r="M504" s="22">
        <f t="shared" si="116"/>
        <v>1712067.9493584002</v>
      </c>
      <c r="N504" s="12">
        <f t="shared" si="117"/>
        <v>0.95901292006966177</v>
      </c>
      <c r="O504" s="12">
        <f t="shared" si="118"/>
        <v>0.55181813337636942</v>
      </c>
      <c r="P504" s="13">
        <f t="shared" si="119"/>
        <v>0.40719478669329234</v>
      </c>
      <c r="Q504" s="5">
        <v>0.505</v>
      </c>
      <c r="U504" s="31">
        <f t="shared" si="105"/>
        <v>0.99482674999999987</v>
      </c>
    </row>
    <row r="505" spans="3:21" x14ac:dyDescent="0.2">
      <c r="C505" s="12">
        <f t="shared" si="106"/>
        <v>3779.9244383999999</v>
      </c>
      <c r="D505" s="13">
        <f t="shared" si="107"/>
        <v>28.024620000000024</v>
      </c>
      <c r="E505" s="12">
        <f t="shared" si="108"/>
        <v>-27.295639500000082</v>
      </c>
      <c r="F505" s="12">
        <f t="shared" si="109"/>
        <v>1016.1704520000003</v>
      </c>
      <c r="G505" s="12">
        <f t="shared" si="110"/>
        <v>4612.8524520000001</v>
      </c>
      <c r="H505" s="12">
        <f t="shared" si="111"/>
        <v>5576.8993799999998</v>
      </c>
      <c r="I505" s="12">
        <f t="shared" si="112"/>
        <v>27.744373800000051</v>
      </c>
      <c r="J505" s="22">
        <f t="shared" si="113"/>
        <v>1452827.92766154</v>
      </c>
      <c r="K505" s="22">
        <f t="shared" si="114"/>
        <v>1393280.14799424</v>
      </c>
      <c r="L505" s="22">
        <f t="shared" si="115"/>
        <v>59547.779667299939</v>
      </c>
      <c r="M505" s="22">
        <f t="shared" si="116"/>
        <v>1715539.9705872</v>
      </c>
      <c r="N505" s="12">
        <f t="shared" si="117"/>
        <v>0.95901250345376576</v>
      </c>
      <c r="O505" s="12">
        <f t="shared" si="118"/>
        <v>0.55182992426400135</v>
      </c>
      <c r="P505" s="13">
        <f t="shared" si="119"/>
        <v>0.40718257918976442</v>
      </c>
      <c r="Q505" s="3">
        <v>0.50600000000000001</v>
      </c>
      <c r="U505" s="31">
        <f t="shared" si="105"/>
        <v>0.99482674999999987</v>
      </c>
    </row>
    <row r="506" spans="3:21" x14ac:dyDescent="0.2">
      <c r="C506" s="12">
        <f t="shared" si="106"/>
        <v>3787.3946448000006</v>
      </c>
      <c r="D506" s="13">
        <f t="shared" si="107"/>
        <v>27.967890000000025</v>
      </c>
      <c r="E506" s="12">
        <f t="shared" si="108"/>
        <v>-27.352369500000083</v>
      </c>
      <c r="F506" s="12">
        <f t="shared" si="109"/>
        <v>1018.1786940000004</v>
      </c>
      <c r="G506" s="12">
        <f t="shared" si="110"/>
        <v>4622.1902100000007</v>
      </c>
      <c r="H506" s="12">
        <f t="shared" si="111"/>
        <v>5565.6101099999996</v>
      </c>
      <c r="I506" s="12">
        <f t="shared" si="112"/>
        <v>27.688211100000053</v>
      </c>
      <c r="J506" s="22">
        <f t="shared" si="113"/>
        <v>1455699.7589920806</v>
      </c>
      <c r="K506" s="22">
        <f t="shared" si="114"/>
        <v>1396033.6660732804</v>
      </c>
      <c r="L506" s="22">
        <f t="shared" si="115"/>
        <v>59666.09291880019</v>
      </c>
      <c r="M506" s="22">
        <f t="shared" si="116"/>
        <v>1719011.9918160003</v>
      </c>
      <c r="N506" s="12">
        <f t="shared" si="117"/>
        <v>0.95901208848168473</v>
      </c>
      <c r="O506" s="12">
        <f t="shared" si="118"/>
        <v>0.55184166802254297</v>
      </c>
      <c r="P506" s="13">
        <f t="shared" si="119"/>
        <v>0.40717042045914176</v>
      </c>
      <c r="Q506" s="5">
        <v>0.50700000000000001</v>
      </c>
      <c r="U506" s="31">
        <f t="shared" si="105"/>
        <v>0.99482674999999987</v>
      </c>
    </row>
    <row r="507" spans="3:21" x14ac:dyDescent="0.2">
      <c r="C507" s="12">
        <f t="shared" si="106"/>
        <v>3794.8648512</v>
      </c>
      <c r="D507" s="13">
        <f t="shared" si="107"/>
        <v>27.911160000000024</v>
      </c>
      <c r="E507" s="12">
        <f t="shared" si="108"/>
        <v>-27.409099500000082</v>
      </c>
      <c r="F507" s="12">
        <f t="shared" si="109"/>
        <v>1020.1869360000003</v>
      </c>
      <c r="G507" s="12">
        <f t="shared" si="110"/>
        <v>4631.5279680000003</v>
      </c>
      <c r="H507" s="12">
        <f t="shared" si="111"/>
        <v>5554.3208399999994</v>
      </c>
      <c r="I507" s="12">
        <f t="shared" si="112"/>
        <v>27.632048400000055</v>
      </c>
      <c r="J507" s="22">
        <f t="shared" si="113"/>
        <v>1458571.59032262</v>
      </c>
      <c r="K507" s="22">
        <f t="shared" si="114"/>
        <v>1398787.18415232</v>
      </c>
      <c r="L507" s="22">
        <f t="shared" si="115"/>
        <v>59784.406170299975</v>
      </c>
      <c r="M507" s="22">
        <f t="shared" si="116"/>
        <v>1722484.0130448004</v>
      </c>
      <c r="N507" s="12">
        <f t="shared" si="117"/>
        <v>0.95901167514370944</v>
      </c>
      <c r="O507" s="12">
        <f t="shared" si="118"/>
        <v>0.55185336493399828</v>
      </c>
      <c r="P507" s="13">
        <f t="shared" si="119"/>
        <v>0.40715831020971116</v>
      </c>
      <c r="Q507" s="3">
        <v>0.50800000000000001</v>
      </c>
      <c r="U507" s="31">
        <f t="shared" si="105"/>
        <v>0.99482674999999987</v>
      </c>
    </row>
    <row r="508" spans="3:21" x14ac:dyDescent="0.2">
      <c r="C508" s="12">
        <f t="shared" si="106"/>
        <v>3802.3350576000007</v>
      </c>
      <c r="D508" s="13">
        <f t="shared" si="107"/>
        <v>27.854430000000026</v>
      </c>
      <c r="E508" s="12">
        <f t="shared" si="108"/>
        <v>-27.465829500000083</v>
      </c>
      <c r="F508" s="12">
        <f t="shared" si="109"/>
        <v>1022.1951780000004</v>
      </c>
      <c r="G508" s="12">
        <f t="shared" si="110"/>
        <v>4640.8657260000009</v>
      </c>
      <c r="H508" s="12">
        <f t="shared" si="111"/>
        <v>5543.0315700000001</v>
      </c>
      <c r="I508" s="12">
        <f t="shared" si="112"/>
        <v>27.57588570000005</v>
      </c>
      <c r="J508" s="22">
        <f t="shared" si="113"/>
        <v>1461443.4216531604</v>
      </c>
      <c r="K508" s="22">
        <f t="shared" si="114"/>
        <v>1401540.7022313604</v>
      </c>
      <c r="L508" s="22">
        <f t="shared" si="115"/>
        <v>59902.719421799993</v>
      </c>
      <c r="M508" s="22">
        <f t="shared" si="116"/>
        <v>1725956.0342736007</v>
      </c>
      <c r="N508" s="12">
        <f t="shared" si="117"/>
        <v>0.95901126343020582</v>
      </c>
      <c r="O508" s="12">
        <f t="shared" si="118"/>
        <v>0.55186501527812637</v>
      </c>
      <c r="P508" s="13">
        <f t="shared" si="119"/>
        <v>0.40714624815207945</v>
      </c>
      <c r="Q508" s="5">
        <v>0.50900000000000001</v>
      </c>
      <c r="U508" s="31">
        <f t="shared" si="105"/>
        <v>0.99482674999999987</v>
      </c>
    </row>
    <row r="509" spans="3:21" x14ac:dyDescent="0.2">
      <c r="C509" s="12">
        <f t="shared" si="106"/>
        <v>3809.8052640000005</v>
      </c>
      <c r="D509" s="13">
        <f t="shared" si="107"/>
        <v>27.797700000000024</v>
      </c>
      <c r="E509" s="12">
        <f t="shared" si="108"/>
        <v>-27.522559500000082</v>
      </c>
      <c r="F509" s="12">
        <f t="shared" si="109"/>
        <v>1024.2034200000003</v>
      </c>
      <c r="G509" s="12">
        <f t="shared" si="110"/>
        <v>4650.2034840000006</v>
      </c>
      <c r="H509" s="12">
        <f t="shared" si="111"/>
        <v>5531.7422999999999</v>
      </c>
      <c r="I509" s="12">
        <f t="shared" si="112"/>
        <v>27.519723000000056</v>
      </c>
      <c r="J509" s="22">
        <f t="shared" si="113"/>
        <v>1464315.2529837003</v>
      </c>
      <c r="K509" s="22">
        <f t="shared" si="114"/>
        <v>1404294.2203104002</v>
      </c>
      <c r="L509" s="22">
        <f t="shared" si="115"/>
        <v>60021.032673300011</v>
      </c>
      <c r="M509" s="22">
        <f t="shared" si="116"/>
        <v>1729428.0555024003</v>
      </c>
      <c r="N509" s="12">
        <f t="shared" si="117"/>
        <v>0.95901085333161651</v>
      </c>
      <c r="O509" s="12">
        <f t="shared" si="118"/>
        <v>0.5518766193324629</v>
      </c>
      <c r="P509" s="13">
        <f t="shared" si="119"/>
        <v>0.40713423399915361</v>
      </c>
      <c r="Q509" s="3">
        <v>0.51</v>
      </c>
      <c r="U509" s="31">
        <f t="shared" si="105"/>
        <v>0.99482674999999987</v>
      </c>
    </row>
    <row r="510" spans="3:21" x14ac:dyDescent="0.2">
      <c r="C510" s="12">
        <f t="shared" si="106"/>
        <v>3817.2754703999999</v>
      </c>
      <c r="D510" s="13">
        <f t="shared" si="107"/>
        <v>27.740970000000026</v>
      </c>
      <c r="E510" s="12">
        <f t="shared" si="108"/>
        <v>-27.579289500000083</v>
      </c>
      <c r="F510" s="12">
        <f t="shared" si="109"/>
        <v>1026.2116620000004</v>
      </c>
      <c r="G510" s="12">
        <f t="shared" si="110"/>
        <v>4659.5412420000002</v>
      </c>
      <c r="H510" s="12">
        <f t="shared" si="111"/>
        <v>5520.4530300000006</v>
      </c>
      <c r="I510" s="12">
        <f t="shared" si="112"/>
        <v>27.463560300000054</v>
      </c>
      <c r="J510" s="22">
        <f t="shared" si="113"/>
        <v>1467187.0843142399</v>
      </c>
      <c r="K510" s="22">
        <f t="shared" si="114"/>
        <v>1407047.7383894401</v>
      </c>
      <c r="L510" s="22">
        <f t="shared" si="115"/>
        <v>60139.345924799796</v>
      </c>
      <c r="M510" s="22">
        <f t="shared" si="116"/>
        <v>1732900.0767312001</v>
      </c>
      <c r="N510" s="12">
        <f t="shared" si="117"/>
        <v>0.95901044483845843</v>
      </c>
      <c r="O510" s="12">
        <f t="shared" si="118"/>
        <v>0.55188817737234275</v>
      </c>
      <c r="P510" s="13">
        <f t="shared" si="119"/>
        <v>0.40712226746611568</v>
      </c>
      <c r="Q510" s="5">
        <v>0.51100000000000001</v>
      </c>
      <c r="U510" s="31">
        <f t="shared" si="105"/>
        <v>0.99482674999999987</v>
      </c>
    </row>
    <row r="511" spans="3:21" x14ac:dyDescent="0.2">
      <c r="C511" s="12">
        <f t="shared" si="106"/>
        <v>3824.7456767999997</v>
      </c>
      <c r="D511" s="13">
        <f t="shared" si="107"/>
        <v>27.684240000000024</v>
      </c>
      <c r="E511" s="12">
        <f t="shared" si="108"/>
        <v>-27.636019500000081</v>
      </c>
      <c r="F511" s="12">
        <f t="shared" si="109"/>
        <v>1028.2199040000003</v>
      </c>
      <c r="G511" s="12">
        <f t="shared" si="110"/>
        <v>4668.8789999999999</v>
      </c>
      <c r="H511" s="12">
        <f t="shared" si="111"/>
        <v>5509.1637599999995</v>
      </c>
      <c r="I511" s="12">
        <f t="shared" si="112"/>
        <v>27.407397600000053</v>
      </c>
      <c r="J511" s="22">
        <f t="shared" si="113"/>
        <v>1470058.91564478</v>
      </c>
      <c r="K511" s="22">
        <f t="shared" si="114"/>
        <v>1409801.25646848</v>
      </c>
      <c r="L511" s="22">
        <f t="shared" si="115"/>
        <v>60257.659176300047</v>
      </c>
      <c r="M511" s="22">
        <f t="shared" si="116"/>
        <v>1736372.0979600002</v>
      </c>
      <c r="N511" s="12">
        <f t="shared" si="117"/>
        <v>0.95901003794132256</v>
      </c>
      <c r="O511" s="12">
        <f t="shared" si="118"/>
        <v>0.5518996896709214</v>
      </c>
      <c r="P511" s="13">
        <f t="shared" si="119"/>
        <v>0.40711034827040116</v>
      </c>
      <c r="Q511" s="3">
        <v>0.51200000000000001</v>
      </c>
      <c r="U511" s="31">
        <f t="shared" si="105"/>
        <v>0.99482674999999987</v>
      </c>
    </row>
    <row r="512" spans="3:21" x14ac:dyDescent="0.2">
      <c r="C512" s="12">
        <f t="shared" si="106"/>
        <v>3832.2158832000005</v>
      </c>
      <c r="D512" s="13">
        <f t="shared" si="107"/>
        <v>27.627510000000026</v>
      </c>
      <c r="E512" s="12">
        <f t="shared" si="108"/>
        <v>-27.692749500000083</v>
      </c>
      <c r="F512" s="12">
        <f t="shared" si="109"/>
        <v>1030.2281460000004</v>
      </c>
      <c r="G512" s="12">
        <f t="shared" si="110"/>
        <v>4678.2167580000005</v>
      </c>
      <c r="H512" s="12">
        <f t="shared" si="111"/>
        <v>5497.8744899999992</v>
      </c>
      <c r="I512" s="12">
        <f t="shared" si="112"/>
        <v>27.351234900000051</v>
      </c>
      <c r="J512" s="22">
        <f t="shared" si="113"/>
        <v>1472930.7469753204</v>
      </c>
      <c r="K512" s="22">
        <f t="shared" si="114"/>
        <v>1412554.7745475203</v>
      </c>
      <c r="L512" s="22">
        <f t="shared" si="115"/>
        <v>60375.972427800065</v>
      </c>
      <c r="M512" s="22">
        <f t="shared" si="116"/>
        <v>1739844.1191888005</v>
      </c>
      <c r="N512" s="12">
        <f t="shared" si="117"/>
        <v>0.95900963263087369</v>
      </c>
      <c r="O512" s="12">
        <f t="shared" si="118"/>
        <v>0.55191115649919653</v>
      </c>
      <c r="P512" s="13">
        <f t="shared" si="119"/>
        <v>0.40709847613167716</v>
      </c>
      <c r="Q512" s="5">
        <v>0.51300000000000001</v>
      </c>
      <c r="U512" s="31">
        <f t="shared" si="105"/>
        <v>0.99482674999999987</v>
      </c>
    </row>
    <row r="513" spans="3:21" x14ac:dyDescent="0.2">
      <c r="C513" s="12">
        <f t="shared" si="106"/>
        <v>3839.6860895999998</v>
      </c>
      <c r="D513" s="13">
        <f t="shared" si="107"/>
        <v>27.570780000000024</v>
      </c>
      <c r="E513" s="12">
        <f t="shared" si="108"/>
        <v>-27.749479500000081</v>
      </c>
      <c r="F513" s="12">
        <f t="shared" si="109"/>
        <v>1032.2363880000003</v>
      </c>
      <c r="G513" s="12">
        <f t="shared" si="110"/>
        <v>4687.5545160000001</v>
      </c>
      <c r="H513" s="12">
        <f t="shared" si="111"/>
        <v>5486.5852199999999</v>
      </c>
      <c r="I513" s="12">
        <f t="shared" si="112"/>
        <v>27.295072200000057</v>
      </c>
      <c r="J513" s="22">
        <f t="shared" si="113"/>
        <v>1475802.5783058598</v>
      </c>
      <c r="K513" s="22">
        <f t="shared" si="114"/>
        <v>1415308.29262656</v>
      </c>
      <c r="L513" s="22">
        <f t="shared" si="115"/>
        <v>60494.28567929985</v>
      </c>
      <c r="M513" s="22">
        <f t="shared" si="116"/>
        <v>1743316.1404176003</v>
      </c>
      <c r="N513" s="12">
        <f t="shared" si="117"/>
        <v>0.9590092288978489</v>
      </c>
      <c r="O513" s="12">
        <f t="shared" si="118"/>
        <v>0.55192257812602918</v>
      </c>
      <c r="P513" s="13">
        <f t="shared" si="119"/>
        <v>0.40708665077181971</v>
      </c>
      <c r="Q513" s="3">
        <v>0.51400000000000001</v>
      </c>
      <c r="U513" s="31">
        <f t="shared" si="105"/>
        <v>0.99482674999999987</v>
      </c>
    </row>
    <row r="514" spans="3:21" x14ac:dyDescent="0.2">
      <c r="C514" s="12">
        <f t="shared" si="106"/>
        <v>3847.1562960000006</v>
      </c>
      <c r="D514" s="13">
        <f t="shared" si="107"/>
        <v>27.514050000000026</v>
      </c>
      <c r="E514" s="12">
        <f t="shared" si="108"/>
        <v>-27.806209500000083</v>
      </c>
      <c r="F514" s="12">
        <f t="shared" si="109"/>
        <v>1034.2446300000004</v>
      </c>
      <c r="G514" s="12">
        <f t="shared" si="110"/>
        <v>4696.8922740000007</v>
      </c>
      <c r="H514" s="12">
        <f t="shared" si="111"/>
        <v>5475.2959499999997</v>
      </c>
      <c r="I514" s="12">
        <f t="shared" si="112"/>
        <v>27.238909500000052</v>
      </c>
      <c r="J514" s="22">
        <f t="shared" si="113"/>
        <v>1478674.4096364002</v>
      </c>
      <c r="K514" s="22">
        <f t="shared" si="114"/>
        <v>1418061.8107056003</v>
      </c>
      <c r="L514" s="22">
        <f t="shared" si="115"/>
        <v>60612.598930799868</v>
      </c>
      <c r="M514" s="22">
        <f t="shared" si="116"/>
        <v>1746788.1616464003</v>
      </c>
      <c r="N514" s="12">
        <f t="shared" si="117"/>
        <v>0.95900882673305732</v>
      </c>
      <c r="O514" s="12">
        <f t="shared" si="118"/>
        <v>0.5519339548181651</v>
      </c>
      <c r="P514" s="13">
        <f t="shared" si="119"/>
        <v>0.40707487191489222</v>
      </c>
      <c r="Q514" s="5">
        <v>0.51500000000000001</v>
      </c>
      <c r="U514" s="31">
        <f t="shared" si="105"/>
        <v>0.99482674999999987</v>
      </c>
    </row>
    <row r="515" spans="3:21" x14ac:dyDescent="0.2">
      <c r="C515" s="12">
        <f t="shared" si="106"/>
        <v>3854.6265024000004</v>
      </c>
      <c r="D515" s="13">
        <f t="shared" si="107"/>
        <v>27.457320000000024</v>
      </c>
      <c r="E515" s="12">
        <f t="shared" si="108"/>
        <v>-27.862939500000081</v>
      </c>
      <c r="F515" s="12">
        <f t="shared" si="109"/>
        <v>1036.2528720000003</v>
      </c>
      <c r="G515" s="12">
        <f t="shared" si="110"/>
        <v>4706.2300320000004</v>
      </c>
      <c r="H515" s="12">
        <f t="shared" si="111"/>
        <v>5464.0066800000004</v>
      </c>
      <c r="I515" s="12">
        <f t="shared" si="112"/>
        <v>27.182746800000054</v>
      </c>
      <c r="J515" s="22">
        <f t="shared" si="113"/>
        <v>1481546.2409669403</v>
      </c>
      <c r="K515" s="22">
        <f t="shared" si="114"/>
        <v>1420815.3287846402</v>
      </c>
      <c r="L515" s="22">
        <f t="shared" si="115"/>
        <v>60730.912182300119</v>
      </c>
      <c r="M515" s="22">
        <f t="shared" si="116"/>
        <v>1750260.1828752002</v>
      </c>
      <c r="N515" s="12">
        <f t="shared" si="117"/>
        <v>0.95900842612737913</v>
      </c>
      <c r="O515" s="12">
        <f t="shared" si="118"/>
        <v>0.55194528684025546</v>
      </c>
      <c r="P515" s="13">
        <f t="shared" si="119"/>
        <v>0.40706313928712368</v>
      </c>
      <c r="Q515" s="3">
        <v>0.51600000000000001</v>
      </c>
      <c r="U515" s="31">
        <f t="shared" si="105"/>
        <v>0.99482674999999987</v>
      </c>
    </row>
    <row r="516" spans="3:21" x14ac:dyDescent="0.2">
      <c r="C516" s="12">
        <f t="shared" si="106"/>
        <v>3862.0967087999998</v>
      </c>
      <c r="D516" s="13">
        <f t="shared" si="107"/>
        <v>27.400590000000026</v>
      </c>
      <c r="E516" s="12">
        <f t="shared" si="108"/>
        <v>-27.919669500000083</v>
      </c>
      <c r="F516" s="12">
        <f t="shared" si="109"/>
        <v>1038.2611140000004</v>
      </c>
      <c r="G516" s="12">
        <f t="shared" si="110"/>
        <v>4715.5677900000001</v>
      </c>
      <c r="H516" s="12">
        <f t="shared" si="111"/>
        <v>5452.7174100000002</v>
      </c>
      <c r="I516" s="12">
        <f t="shared" si="112"/>
        <v>27.126584100000056</v>
      </c>
      <c r="J516" s="22">
        <f t="shared" si="113"/>
        <v>1484418.07229748</v>
      </c>
      <c r="K516" s="22">
        <f t="shared" si="114"/>
        <v>1423568.8468636801</v>
      </c>
      <c r="L516" s="22">
        <f t="shared" si="115"/>
        <v>60849.225433799904</v>
      </c>
      <c r="M516" s="22">
        <f t="shared" si="116"/>
        <v>1753732.2041040002</v>
      </c>
      <c r="N516" s="12">
        <f t="shared" si="117"/>
        <v>0.9590080270717658</v>
      </c>
      <c r="O516" s="12">
        <f t="shared" si="118"/>
        <v>0.55195657445487667</v>
      </c>
      <c r="P516" s="13">
        <f t="shared" si="119"/>
        <v>0.40705145261688913</v>
      </c>
      <c r="Q516" s="5">
        <v>0.51700000000000002</v>
      </c>
      <c r="U516" s="31">
        <f t="shared" si="105"/>
        <v>0.99482674999999987</v>
      </c>
    </row>
    <row r="517" spans="3:21" x14ac:dyDescent="0.2">
      <c r="C517" s="12">
        <f t="shared" si="106"/>
        <v>3869.5669151999996</v>
      </c>
      <c r="D517" s="13">
        <f t="shared" si="107"/>
        <v>27.343860000000024</v>
      </c>
      <c r="E517" s="12">
        <f t="shared" si="108"/>
        <v>-27.976399500000081</v>
      </c>
      <c r="F517" s="12">
        <f t="shared" si="109"/>
        <v>1040.2693560000002</v>
      </c>
      <c r="G517" s="12">
        <f t="shared" si="110"/>
        <v>4724.9055479999997</v>
      </c>
      <c r="H517" s="12">
        <f t="shared" si="111"/>
        <v>5441.42814</v>
      </c>
      <c r="I517" s="12">
        <f t="shared" si="112"/>
        <v>27.070421400000054</v>
      </c>
      <c r="J517" s="22">
        <f t="shared" si="113"/>
        <v>1487289.9036280198</v>
      </c>
      <c r="K517" s="22">
        <f t="shared" si="114"/>
        <v>1426322.3649427199</v>
      </c>
      <c r="L517" s="22">
        <f t="shared" si="115"/>
        <v>60967.538685299922</v>
      </c>
      <c r="M517" s="22">
        <f t="shared" si="116"/>
        <v>1757204.2253328001</v>
      </c>
      <c r="N517" s="12">
        <f t="shared" si="117"/>
        <v>0.95900762955723773</v>
      </c>
      <c r="O517" s="12">
        <f t="shared" si="118"/>
        <v>0.55196781792255167</v>
      </c>
      <c r="P517" s="13">
        <f t="shared" si="119"/>
        <v>0.40703981163468606</v>
      </c>
      <c r="Q517" s="3">
        <v>0.51800000000000002</v>
      </c>
      <c r="U517" s="31">
        <f t="shared" si="105"/>
        <v>0.99482674999999987</v>
      </c>
    </row>
    <row r="518" spans="3:21" x14ac:dyDescent="0.2">
      <c r="C518" s="12">
        <f t="shared" si="106"/>
        <v>3877.0371216000003</v>
      </c>
      <c r="D518" s="13">
        <f t="shared" si="107"/>
        <v>27.287130000000026</v>
      </c>
      <c r="E518" s="12">
        <f t="shared" si="108"/>
        <v>-28.033129500000083</v>
      </c>
      <c r="F518" s="12">
        <f t="shared" si="109"/>
        <v>1042.2775980000004</v>
      </c>
      <c r="G518" s="12">
        <f t="shared" si="110"/>
        <v>4734.2433060000003</v>
      </c>
      <c r="H518" s="12">
        <f t="shared" si="111"/>
        <v>5430.1388699999998</v>
      </c>
      <c r="I518" s="12">
        <f t="shared" si="112"/>
        <v>27.014258700000052</v>
      </c>
      <c r="J518" s="22">
        <f t="shared" si="113"/>
        <v>1490161.7349585604</v>
      </c>
      <c r="K518" s="22">
        <f t="shared" si="114"/>
        <v>1429075.8830217603</v>
      </c>
      <c r="L518" s="22">
        <f t="shared" si="115"/>
        <v>61085.851936800173</v>
      </c>
      <c r="M518" s="22">
        <f t="shared" si="116"/>
        <v>1760676.2465616004</v>
      </c>
      <c r="N518" s="12">
        <f t="shared" si="117"/>
        <v>0.95900723357488515</v>
      </c>
      <c r="O518" s="12">
        <f t="shared" si="118"/>
        <v>0.55197901750176948</v>
      </c>
      <c r="P518" s="13">
        <f t="shared" si="119"/>
        <v>0.40702821607311568</v>
      </c>
      <c r="Q518" s="5">
        <v>0.51900000000000002</v>
      </c>
      <c r="U518" s="31">
        <f t="shared" si="105"/>
        <v>0.99482674999999987</v>
      </c>
    </row>
    <row r="519" spans="3:21" x14ac:dyDescent="0.2">
      <c r="C519" s="12">
        <f t="shared" si="106"/>
        <v>3884.5073279999997</v>
      </c>
      <c r="D519" s="13">
        <f t="shared" si="107"/>
        <v>27.230400000000021</v>
      </c>
      <c r="E519" s="12">
        <f t="shared" si="108"/>
        <v>-28.089859500000081</v>
      </c>
      <c r="F519" s="12">
        <f t="shared" si="109"/>
        <v>1044.2858400000002</v>
      </c>
      <c r="G519" s="12">
        <f t="shared" si="110"/>
        <v>4743.581064</v>
      </c>
      <c r="H519" s="12">
        <f t="shared" si="111"/>
        <v>5418.8495999999996</v>
      </c>
      <c r="I519" s="12">
        <f t="shared" si="112"/>
        <v>26.958096000000051</v>
      </c>
      <c r="J519" s="22">
        <f t="shared" si="113"/>
        <v>1493033.5662890996</v>
      </c>
      <c r="K519" s="22">
        <f t="shared" si="114"/>
        <v>1431829.4011007999</v>
      </c>
      <c r="L519" s="22">
        <f t="shared" si="115"/>
        <v>61204.165188299725</v>
      </c>
      <c r="M519" s="22">
        <f t="shared" si="116"/>
        <v>1764148.2677904</v>
      </c>
      <c r="N519" s="12">
        <f t="shared" si="117"/>
        <v>0.95900683911586715</v>
      </c>
      <c r="O519" s="12">
        <f t="shared" si="118"/>
        <v>0.55199017344900492</v>
      </c>
      <c r="P519" s="13">
        <f t="shared" si="119"/>
        <v>0.40701666566686223</v>
      </c>
      <c r="Q519" s="3">
        <v>0.52</v>
      </c>
      <c r="U519" s="31">
        <f t="shared" si="105"/>
        <v>0.99482674999999987</v>
      </c>
    </row>
    <row r="520" spans="3:21" x14ac:dyDescent="0.2">
      <c r="C520" s="12">
        <f t="shared" si="106"/>
        <v>3891.9775344000004</v>
      </c>
      <c r="D520" s="13">
        <f t="shared" si="107"/>
        <v>27.173670000000026</v>
      </c>
      <c r="E520" s="12">
        <f t="shared" si="108"/>
        <v>-28.146589500000083</v>
      </c>
      <c r="F520" s="12">
        <f t="shared" si="109"/>
        <v>1046.2940820000003</v>
      </c>
      <c r="G520" s="12">
        <f t="shared" si="110"/>
        <v>4752.9188220000005</v>
      </c>
      <c r="H520" s="12">
        <f t="shared" si="111"/>
        <v>5407.5603300000002</v>
      </c>
      <c r="I520" s="12">
        <f t="shared" si="112"/>
        <v>26.901933300000049</v>
      </c>
      <c r="J520" s="22">
        <f t="shared" si="113"/>
        <v>1495905.3976196402</v>
      </c>
      <c r="K520" s="22">
        <f t="shared" si="114"/>
        <v>1434582.9191798402</v>
      </c>
      <c r="L520" s="22">
        <f t="shared" si="115"/>
        <v>61322.478439799976</v>
      </c>
      <c r="M520" s="22">
        <f t="shared" si="116"/>
        <v>1767620.2890192003</v>
      </c>
      <c r="N520" s="12">
        <f t="shared" si="117"/>
        <v>0.9590064461714094</v>
      </c>
      <c r="O520" s="12">
        <f t="shared" si="118"/>
        <v>0.55200128601873844</v>
      </c>
      <c r="P520" s="13">
        <f t="shared" si="119"/>
        <v>0.40700516015267096</v>
      </c>
      <c r="Q520" s="5">
        <v>0.52100000000000002</v>
      </c>
      <c r="U520" s="31">
        <f t="shared" si="105"/>
        <v>0.99482674999999987</v>
      </c>
    </row>
    <row r="521" spans="3:21" x14ac:dyDescent="0.2">
      <c r="C521" s="12">
        <f t="shared" si="106"/>
        <v>3899.4477408000002</v>
      </c>
      <c r="D521" s="13">
        <f t="shared" si="107"/>
        <v>27.116940000000021</v>
      </c>
      <c r="E521" s="12">
        <f t="shared" si="108"/>
        <v>-28.203319500000081</v>
      </c>
      <c r="F521" s="12">
        <f t="shared" si="109"/>
        <v>1048.3023240000002</v>
      </c>
      <c r="G521" s="12">
        <f t="shared" si="110"/>
        <v>4762.2565800000002</v>
      </c>
      <c r="H521" s="12">
        <f t="shared" si="111"/>
        <v>5396.27106</v>
      </c>
      <c r="I521" s="12">
        <f t="shared" si="112"/>
        <v>26.845770600000055</v>
      </c>
      <c r="J521" s="22">
        <f t="shared" si="113"/>
        <v>1498777.2289501801</v>
      </c>
      <c r="K521" s="22">
        <f t="shared" si="114"/>
        <v>1437336.4372588801</v>
      </c>
      <c r="L521" s="22">
        <f t="shared" si="115"/>
        <v>61440.791691299994</v>
      </c>
      <c r="M521" s="22">
        <f t="shared" si="116"/>
        <v>1771092.3102480003</v>
      </c>
      <c r="N521" s="12">
        <f t="shared" si="117"/>
        <v>0.9590060547328062</v>
      </c>
      <c r="O521" s="12">
        <f t="shared" si="118"/>
        <v>0.55201235546347516</v>
      </c>
      <c r="P521" s="13">
        <f t="shared" si="119"/>
        <v>0.40699369926933104</v>
      </c>
      <c r="Q521" s="3">
        <v>0.52200000000000002</v>
      </c>
      <c r="U521" s="31">
        <f t="shared" si="105"/>
        <v>0.99482674999999987</v>
      </c>
    </row>
    <row r="522" spans="3:21" x14ac:dyDescent="0.2">
      <c r="C522" s="12">
        <f t="shared" si="106"/>
        <v>3906.9179472000005</v>
      </c>
      <c r="D522" s="13">
        <f t="shared" si="107"/>
        <v>27.060210000000023</v>
      </c>
      <c r="E522" s="12">
        <f t="shared" si="108"/>
        <v>-28.260049500000083</v>
      </c>
      <c r="F522" s="12">
        <f t="shared" si="109"/>
        <v>1050.3105660000003</v>
      </c>
      <c r="G522" s="12">
        <f t="shared" si="110"/>
        <v>4771.5943380000008</v>
      </c>
      <c r="H522" s="12">
        <f t="shared" si="111"/>
        <v>5384.9817899999998</v>
      </c>
      <c r="I522" s="12">
        <f t="shared" si="112"/>
        <v>26.789607900000053</v>
      </c>
      <c r="J522" s="22">
        <f t="shared" si="113"/>
        <v>1501649.0602807202</v>
      </c>
      <c r="K522" s="22">
        <f t="shared" si="114"/>
        <v>1440089.9553379202</v>
      </c>
      <c r="L522" s="22">
        <f t="shared" si="115"/>
        <v>61559.104942800011</v>
      </c>
      <c r="M522" s="22">
        <f t="shared" si="116"/>
        <v>1774564.3314768004</v>
      </c>
      <c r="N522" s="12">
        <f t="shared" si="117"/>
        <v>0.95900566479141802</v>
      </c>
      <c r="O522" s="12">
        <f t="shared" si="118"/>
        <v>0.55202338203376422</v>
      </c>
      <c r="P522" s="13">
        <f t="shared" si="119"/>
        <v>0.4069822827576538</v>
      </c>
      <c r="Q522" s="5">
        <v>0.52300000000000002</v>
      </c>
      <c r="U522" s="31">
        <f t="shared" si="105"/>
        <v>0.99482674999999987</v>
      </c>
    </row>
    <row r="523" spans="3:21" x14ac:dyDescent="0.2">
      <c r="C523" s="12">
        <f t="shared" si="106"/>
        <v>3914.3881536000004</v>
      </c>
      <c r="D523" s="13">
        <f t="shared" si="107"/>
        <v>27.003480000000021</v>
      </c>
      <c r="E523" s="12">
        <f t="shared" si="108"/>
        <v>-28.316779500000081</v>
      </c>
      <c r="F523" s="12">
        <f t="shared" si="109"/>
        <v>1052.3188080000002</v>
      </c>
      <c r="G523" s="12">
        <f t="shared" si="110"/>
        <v>4780.9320960000005</v>
      </c>
      <c r="H523" s="12">
        <f t="shared" si="111"/>
        <v>5373.6925199999996</v>
      </c>
      <c r="I523" s="12">
        <f t="shared" si="112"/>
        <v>26.733445200000055</v>
      </c>
      <c r="J523" s="22">
        <f t="shared" si="113"/>
        <v>1504520.8916112604</v>
      </c>
      <c r="K523" s="22">
        <f t="shared" si="114"/>
        <v>1442843.4734169603</v>
      </c>
      <c r="L523" s="22">
        <f t="shared" si="115"/>
        <v>61677.418194300029</v>
      </c>
      <c r="M523" s="22">
        <f t="shared" si="116"/>
        <v>1778036.3527056004</v>
      </c>
      <c r="N523" s="12">
        <f t="shared" si="117"/>
        <v>0.95900527633867094</v>
      </c>
      <c r="O523" s="12">
        <f t="shared" si="118"/>
        <v>0.55203436597821787</v>
      </c>
      <c r="P523" s="13">
        <f t="shared" si="119"/>
        <v>0.40697091036045308</v>
      </c>
      <c r="Q523" s="3">
        <v>0.52400000000000002</v>
      </c>
      <c r="U523" s="31">
        <f t="shared" si="105"/>
        <v>0.99482674999999987</v>
      </c>
    </row>
    <row r="524" spans="3:21" x14ac:dyDescent="0.2">
      <c r="C524" s="12">
        <f t="shared" si="106"/>
        <v>3921.8583600000002</v>
      </c>
      <c r="D524" s="13">
        <f t="shared" si="107"/>
        <v>26.946750000000023</v>
      </c>
      <c r="E524" s="12">
        <f t="shared" si="108"/>
        <v>-28.373509500000083</v>
      </c>
      <c r="F524" s="12">
        <f t="shared" si="109"/>
        <v>1054.3270500000003</v>
      </c>
      <c r="G524" s="12">
        <f t="shared" si="110"/>
        <v>4790.2698540000001</v>
      </c>
      <c r="H524" s="12">
        <f t="shared" si="111"/>
        <v>5362.4032499999994</v>
      </c>
      <c r="I524" s="12">
        <f t="shared" si="112"/>
        <v>26.677282500000054</v>
      </c>
      <c r="J524" s="22">
        <f t="shared" si="113"/>
        <v>1507392.7229418</v>
      </c>
      <c r="K524" s="22">
        <f t="shared" si="114"/>
        <v>1445596.9914960002</v>
      </c>
      <c r="L524" s="22">
        <f t="shared" si="115"/>
        <v>61795.731445799815</v>
      </c>
      <c r="M524" s="22">
        <f t="shared" si="116"/>
        <v>1781508.3739344</v>
      </c>
      <c r="N524" s="12">
        <f t="shared" si="117"/>
        <v>0.95900488936605688</v>
      </c>
      <c r="O524" s="12">
        <f t="shared" si="118"/>
        <v>0.55204530754352965</v>
      </c>
      <c r="P524" s="13">
        <f t="shared" si="119"/>
        <v>0.40695958182252723</v>
      </c>
      <c r="Q524" s="5">
        <v>0.52500000000000002</v>
      </c>
      <c r="U524" s="31">
        <f t="shared" si="105"/>
        <v>0.99482674999999987</v>
      </c>
    </row>
    <row r="525" spans="3:21" x14ac:dyDescent="0.2">
      <c r="C525" s="12">
        <f t="shared" si="106"/>
        <v>3929.3285663999995</v>
      </c>
      <c r="D525" s="13">
        <f t="shared" si="107"/>
        <v>26.890020000000021</v>
      </c>
      <c r="E525" s="12">
        <f t="shared" si="108"/>
        <v>-28.430239500000081</v>
      </c>
      <c r="F525" s="12">
        <f t="shared" si="109"/>
        <v>1056.3352920000002</v>
      </c>
      <c r="G525" s="12">
        <f t="shared" si="110"/>
        <v>4799.6076119999998</v>
      </c>
      <c r="H525" s="12">
        <f t="shared" si="111"/>
        <v>5351.1139800000001</v>
      </c>
      <c r="I525" s="12">
        <f t="shared" si="112"/>
        <v>26.621119800000052</v>
      </c>
      <c r="J525" s="22">
        <f t="shared" si="113"/>
        <v>1510264.5542723397</v>
      </c>
      <c r="K525" s="22">
        <f t="shared" si="114"/>
        <v>1448350.5095750398</v>
      </c>
      <c r="L525" s="22">
        <f t="shared" si="115"/>
        <v>61914.044697299832</v>
      </c>
      <c r="M525" s="22">
        <f t="shared" si="116"/>
        <v>1784980.3951632001</v>
      </c>
      <c r="N525" s="12">
        <f t="shared" si="117"/>
        <v>0.95900450386513203</v>
      </c>
      <c r="O525" s="12">
        <f t="shared" si="118"/>
        <v>0.55205620697449354</v>
      </c>
      <c r="P525" s="13">
        <f t="shared" si="119"/>
        <v>0.40694829689063849</v>
      </c>
      <c r="Q525" s="3">
        <v>0.52600000000000002</v>
      </c>
      <c r="U525" s="31">
        <f t="shared" si="105"/>
        <v>0.99482674999999987</v>
      </c>
    </row>
    <row r="526" spans="3:21" x14ac:dyDescent="0.2">
      <c r="C526" s="12">
        <f t="shared" si="106"/>
        <v>3936.7987728000003</v>
      </c>
      <c r="D526" s="13">
        <f t="shared" si="107"/>
        <v>26.833290000000023</v>
      </c>
      <c r="E526" s="12">
        <f t="shared" si="108"/>
        <v>-28.486969500000086</v>
      </c>
      <c r="F526" s="12">
        <f t="shared" si="109"/>
        <v>1058.3435340000003</v>
      </c>
      <c r="G526" s="12">
        <f t="shared" si="110"/>
        <v>4808.9453700000004</v>
      </c>
      <c r="H526" s="12">
        <f t="shared" si="111"/>
        <v>5339.8247099999999</v>
      </c>
      <c r="I526" s="12">
        <f t="shared" si="112"/>
        <v>26.564957100000051</v>
      </c>
      <c r="J526" s="22">
        <f t="shared" si="113"/>
        <v>1513136.38560288</v>
      </c>
      <c r="K526" s="22">
        <f t="shared" si="114"/>
        <v>1451104.0276540802</v>
      </c>
      <c r="L526" s="22">
        <f t="shared" si="115"/>
        <v>62032.35794879985</v>
      </c>
      <c r="M526" s="22">
        <f t="shared" si="116"/>
        <v>1788452.4163920002</v>
      </c>
      <c r="N526" s="12">
        <f t="shared" si="117"/>
        <v>0.95900411982751688</v>
      </c>
      <c r="O526" s="12">
        <f t="shared" si="118"/>
        <v>0.5520670645140211</v>
      </c>
      <c r="P526" s="13">
        <f t="shared" si="119"/>
        <v>0.40693705531349578</v>
      </c>
      <c r="Q526" s="5">
        <v>0.52700000000000002</v>
      </c>
      <c r="U526" s="31">
        <f t="shared" ref="U526:U576" si="120">(Prev*Total_SnSeq)+((1-Prev)*Total_SpSeq)</f>
        <v>0.99482674999999987</v>
      </c>
    </row>
    <row r="527" spans="3:21" x14ac:dyDescent="0.2">
      <c r="C527" s="12">
        <f t="shared" ref="C527:C576" si="121">cohort*Q527*SnTest1*((corr*(SQRT(SnTest1*(1-SnTest1)*SnTest2*(1-SnTest2)))+SnTest1*SnTest2)/SnTest1)</f>
        <v>3944.2689792000001</v>
      </c>
      <c r="D527" s="13">
        <f t="shared" ref="D527:D576" si="122">(1-Q527)*(1-SpTest1)*cohort</f>
        <v>26.776560000000021</v>
      </c>
      <c r="E527" s="12">
        <f t="shared" ref="E527:E576" si="123">(cohort*(1-Q527)*(1-SpTest1))-TNTest2</f>
        <v>-28.543699500000081</v>
      </c>
      <c r="F527" s="12">
        <f t="shared" ref="F527:F576" si="124">cohort*Q527*(1-SnTest1)</f>
        <v>1060.3517760000002</v>
      </c>
      <c r="G527" s="12">
        <f t="shared" ref="G527:G576" si="125">(cohort*Q527*SnTest1)-TPSeq</f>
        <v>4818.283128</v>
      </c>
      <c r="H527" s="12">
        <f t="shared" ref="H527:H576" si="126">(1-Q527)*SpTest1*cohort</f>
        <v>5328.5354399999997</v>
      </c>
      <c r="I527" s="12">
        <f t="shared" ref="I527:I576" si="127">cohort*(1-Q527)*(1-SpTest1)*(SpTest2-(corr*(SQRT(SpTest1*(1-SpTest1)*SpTest2*(1-SpTest2)))+SpTest2*SpTest1))/(1-SpTest1)</f>
        <v>26.508794400000056</v>
      </c>
      <c r="J527" s="22">
        <f t="shared" si="113"/>
        <v>1516008.2169334202</v>
      </c>
      <c r="K527" s="22">
        <f t="shared" si="114"/>
        <v>1453857.5457331201</v>
      </c>
      <c r="L527" s="22">
        <f t="shared" si="115"/>
        <v>62150.671200300101</v>
      </c>
      <c r="M527" s="22">
        <f t="shared" si="116"/>
        <v>1791924.4376208002</v>
      </c>
      <c r="N527" s="12">
        <f t="shared" si="117"/>
        <v>0.9590037372448954</v>
      </c>
      <c r="O527" s="12">
        <f t="shared" si="118"/>
        <v>0.55207788040316097</v>
      </c>
      <c r="P527" s="13">
        <f t="shared" si="119"/>
        <v>0.40692585684173443</v>
      </c>
      <c r="Q527" s="3">
        <v>0.52800000000000002</v>
      </c>
      <c r="U527" s="31">
        <f t="shared" si="120"/>
        <v>0.99482674999999987</v>
      </c>
    </row>
    <row r="528" spans="3:21" x14ac:dyDescent="0.2">
      <c r="C528" s="12">
        <f t="shared" si="121"/>
        <v>3951.7391856000004</v>
      </c>
      <c r="D528" s="13">
        <f t="shared" si="122"/>
        <v>26.719830000000023</v>
      </c>
      <c r="E528" s="12">
        <f t="shared" si="123"/>
        <v>-28.600429500000086</v>
      </c>
      <c r="F528" s="12">
        <f t="shared" si="124"/>
        <v>1062.3600180000003</v>
      </c>
      <c r="G528" s="12">
        <f t="shared" si="125"/>
        <v>4827.6208860000006</v>
      </c>
      <c r="H528" s="12">
        <f t="shared" si="126"/>
        <v>5317.2461699999994</v>
      </c>
      <c r="I528" s="12">
        <f t="shared" si="127"/>
        <v>26.452631700000051</v>
      </c>
      <c r="J528" s="22">
        <f t="shared" ref="J528:J576" si="128">(C528*$H$6)+(E528*$H$6)+(G528*$H$3)+(I528*$H$3)</f>
        <v>1518880.0482639601</v>
      </c>
      <c r="K528" s="22">
        <f t="shared" ref="K528:K576" si="129">(C528*$H$6)</f>
        <v>1456611.0638121602</v>
      </c>
      <c r="L528" s="22">
        <f t="shared" ref="L528:L576" si="130">J528-K528</f>
        <v>62268.984451799886</v>
      </c>
      <c r="M528" s="22">
        <f t="shared" ref="M528:M576" si="131">(F528*$H$3)+(G528*$H$6)</f>
        <v>1795396.4588496005</v>
      </c>
      <c r="N528" s="12">
        <f t="shared" ref="N528:N576" si="132">K528/J528</f>
        <v>0.95900335610901488</v>
      </c>
      <c r="O528" s="12">
        <f t="shared" ref="O528:O576" si="133">M528/(M528+K528)</f>
        <v>0.55208865488111569</v>
      </c>
      <c r="P528" s="13">
        <f t="shared" ref="P528:P576" si="134">N528-O528</f>
        <v>0.40691470122789919</v>
      </c>
      <c r="Q528" s="5">
        <v>0.52900000000000003</v>
      </c>
      <c r="U528" s="31">
        <f t="shared" si="120"/>
        <v>0.99482674999999987</v>
      </c>
    </row>
    <row r="529" spans="3:21" x14ac:dyDescent="0.2">
      <c r="C529" s="12">
        <f t="shared" si="121"/>
        <v>3959.2093920000002</v>
      </c>
      <c r="D529" s="13">
        <f t="shared" si="122"/>
        <v>26.663100000000021</v>
      </c>
      <c r="E529" s="12">
        <f t="shared" si="123"/>
        <v>-28.65715950000008</v>
      </c>
      <c r="F529" s="12">
        <f t="shared" si="124"/>
        <v>1064.3682600000002</v>
      </c>
      <c r="G529" s="12">
        <f t="shared" si="125"/>
        <v>4836.9586440000003</v>
      </c>
      <c r="H529" s="12">
        <f t="shared" si="126"/>
        <v>5305.9568999999992</v>
      </c>
      <c r="I529" s="12">
        <f t="shared" si="127"/>
        <v>26.396469000000053</v>
      </c>
      <c r="J529" s="22">
        <f t="shared" si="128"/>
        <v>1521751.8795945004</v>
      </c>
      <c r="K529" s="22">
        <f t="shared" si="129"/>
        <v>1459364.5818912003</v>
      </c>
      <c r="L529" s="22">
        <f t="shared" si="130"/>
        <v>62387.297703300137</v>
      </c>
      <c r="M529" s="22">
        <f t="shared" si="131"/>
        <v>1798868.4800784001</v>
      </c>
      <c r="N529" s="12">
        <f t="shared" si="132"/>
        <v>0.95900297641168386</v>
      </c>
      <c r="O529" s="12">
        <f t="shared" si="133"/>
        <v>0.55209938818525917</v>
      </c>
      <c r="P529" s="13">
        <f t="shared" si="134"/>
        <v>0.4069035882264247</v>
      </c>
      <c r="Q529" s="3">
        <v>0.53</v>
      </c>
      <c r="U529" s="31">
        <f t="shared" si="120"/>
        <v>0.99482674999999987</v>
      </c>
    </row>
    <row r="530" spans="3:21" x14ac:dyDescent="0.2">
      <c r="C530" s="12">
        <f t="shared" si="121"/>
        <v>3966.6795984000005</v>
      </c>
      <c r="D530" s="13">
        <f t="shared" si="122"/>
        <v>26.606370000000023</v>
      </c>
      <c r="E530" s="12">
        <f t="shared" si="123"/>
        <v>-28.713889500000086</v>
      </c>
      <c r="F530" s="12">
        <f t="shared" si="124"/>
        <v>1066.3765020000003</v>
      </c>
      <c r="G530" s="12">
        <f t="shared" si="125"/>
        <v>4846.2964020000009</v>
      </c>
      <c r="H530" s="12">
        <f t="shared" si="126"/>
        <v>5294.6676299999999</v>
      </c>
      <c r="I530" s="12">
        <f t="shared" si="127"/>
        <v>26.340306300000048</v>
      </c>
      <c r="J530" s="22">
        <f t="shared" si="128"/>
        <v>1524623.7109250403</v>
      </c>
      <c r="K530" s="22">
        <f t="shared" si="129"/>
        <v>1462118.0999702404</v>
      </c>
      <c r="L530" s="22">
        <f t="shared" si="130"/>
        <v>62505.610954799922</v>
      </c>
      <c r="M530" s="22">
        <f t="shared" si="131"/>
        <v>1802340.5013072004</v>
      </c>
      <c r="N530" s="12">
        <f t="shared" si="132"/>
        <v>0.95900259814477395</v>
      </c>
      <c r="O530" s="12">
        <f t="shared" si="133"/>
        <v>0.55211008055115551</v>
      </c>
      <c r="P530" s="13">
        <f t="shared" si="134"/>
        <v>0.40689251759361844</v>
      </c>
      <c r="Q530" s="5">
        <v>0.53100000000000003</v>
      </c>
      <c r="U530" s="31">
        <f t="shared" si="120"/>
        <v>0.99482674999999987</v>
      </c>
    </row>
    <row r="531" spans="3:21" x14ac:dyDescent="0.2">
      <c r="C531" s="12">
        <f t="shared" si="121"/>
        <v>3974.1498048000003</v>
      </c>
      <c r="D531" s="13">
        <f t="shared" si="122"/>
        <v>26.549640000000021</v>
      </c>
      <c r="E531" s="12">
        <f t="shared" si="123"/>
        <v>-28.770619500000084</v>
      </c>
      <c r="F531" s="12">
        <f t="shared" si="124"/>
        <v>1068.3847440000004</v>
      </c>
      <c r="G531" s="12">
        <f t="shared" si="125"/>
        <v>4855.6341600000005</v>
      </c>
      <c r="H531" s="12">
        <f t="shared" si="126"/>
        <v>5283.3783599999997</v>
      </c>
      <c r="I531" s="12">
        <f t="shared" si="127"/>
        <v>26.284143600000053</v>
      </c>
      <c r="J531" s="22">
        <f t="shared" si="128"/>
        <v>1527495.5422555802</v>
      </c>
      <c r="K531" s="22">
        <f t="shared" si="129"/>
        <v>1464871.6180492803</v>
      </c>
      <c r="L531" s="22">
        <f t="shared" si="130"/>
        <v>62623.92420629994</v>
      </c>
      <c r="M531" s="22">
        <f t="shared" si="131"/>
        <v>1805812.5225360002</v>
      </c>
      <c r="N531" s="12">
        <f t="shared" si="132"/>
        <v>0.95900222130021662</v>
      </c>
      <c r="O531" s="12">
        <f t="shared" si="133"/>
        <v>0.55212073221257452</v>
      </c>
      <c r="P531" s="13">
        <f t="shared" si="134"/>
        <v>0.4068814890876421</v>
      </c>
      <c r="Q531" s="3">
        <v>0.53200000000000003</v>
      </c>
      <c r="U531" s="31">
        <f t="shared" si="120"/>
        <v>0.99482674999999987</v>
      </c>
    </row>
    <row r="532" spans="3:21" x14ac:dyDescent="0.2">
      <c r="C532" s="12">
        <f t="shared" si="121"/>
        <v>3981.6200112000001</v>
      </c>
      <c r="D532" s="13">
        <f t="shared" si="122"/>
        <v>26.492910000000023</v>
      </c>
      <c r="E532" s="12">
        <f t="shared" si="123"/>
        <v>-28.827349500000086</v>
      </c>
      <c r="F532" s="12">
        <f t="shared" si="124"/>
        <v>1070.3929860000003</v>
      </c>
      <c r="G532" s="12">
        <f t="shared" si="125"/>
        <v>4864.9719180000002</v>
      </c>
      <c r="H532" s="12">
        <f t="shared" si="126"/>
        <v>5272.0890899999995</v>
      </c>
      <c r="I532" s="12">
        <f t="shared" si="127"/>
        <v>26.227980900000045</v>
      </c>
      <c r="J532" s="22">
        <f t="shared" si="128"/>
        <v>1530367.3735861201</v>
      </c>
      <c r="K532" s="22">
        <f t="shared" si="129"/>
        <v>1467625.1361283201</v>
      </c>
      <c r="L532" s="22">
        <f t="shared" si="130"/>
        <v>62742.237457799958</v>
      </c>
      <c r="M532" s="22">
        <f t="shared" si="131"/>
        <v>1809284.5437648003</v>
      </c>
      <c r="N532" s="12">
        <f t="shared" si="132"/>
        <v>0.95900184587000459</v>
      </c>
      <c r="O532" s="12">
        <f t="shared" si="133"/>
        <v>0.55213134340150993</v>
      </c>
      <c r="P532" s="13">
        <f t="shared" si="134"/>
        <v>0.40687050246849465</v>
      </c>
      <c r="Q532" s="5">
        <v>0.53300000000000003</v>
      </c>
      <c r="U532" s="31">
        <f t="shared" si="120"/>
        <v>0.99482674999999987</v>
      </c>
    </row>
    <row r="533" spans="3:21" x14ac:dyDescent="0.2">
      <c r="C533" s="12">
        <f t="shared" si="121"/>
        <v>3989.0902176</v>
      </c>
      <c r="D533" s="13">
        <f t="shared" si="122"/>
        <v>26.436180000000022</v>
      </c>
      <c r="E533" s="12">
        <f t="shared" si="123"/>
        <v>-28.884079500000084</v>
      </c>
      <c r="F533" s="12">
        <f t="shared" si="124"/>
        <v>1072.4012280000004</v>
      </c>
      <c r="G533" s="12">
        <f t="shared" si="125"/>
        <v>4874.3096759999999</v>
      </c>
      <c r="H533" s="12">
        <f t="shared" si="126"/>
        <v>5260.7998199999993</v>
      </c>
      <c r="I533" s="12">
        <f t="shared" si="127"/>
        <v>26.17181820000005</v>
      </c>
      <c r="J533" s="22">
        <f t="shared" si="128"/>
        <v>1533239.20491666</v>
      </c>
      <c r="K533" s="22">
        <f t="shared" si="129"/>
        <v>1470378.65420736</v>
      </c>
      <c r="L533" s="22">
        <f t="shared" si="130"/>
        <v>62860.550709299976</v>
      </c>
      <c r="M533" s="22">
        <f t="shared" si="131"/>
        <v>1812756.5649936001</v>
      </c>
      <c r="N533" s="12">
        <f t="shared" si="132"/>
        <v>0.95900147184619067</v>
      </c>
      <c r="O533" s="12">
        <f t="shared" si="133"/>
        <v>0.55214191434819537</v>
      </c>
      <c r="P533" s="13">
        <f t="shared" si="134"/>
        <v>0.40685955749799529</v>
      </c>
      <c r="Q533" s="3">
        <v>0.53400000000000003</v>
      </c>
      <c r="U533" s="31">
        <f t="shared" si="120"/>
        <v>0.99482674999999987</v>
      </c>
    </row>
    <row r="534" spans="3:21" x14ac:dyDescent="0.2">
      <c r="C534" s="12">
        <f t="shared" si="121"/>
        <v>3996.5604240000002</v>
      </c>
      <c r="D534" s="13">
        <f t="shared" si="122"/>
        <v>26.379450000000023</v>
      </c>
      <c r="E534" s="12">
        <f t="shared" si="123"/>
        <v>-28.940809500000086</v>
      </c>
      <c r="F534" s="12">
        <f t="shared" si="124"/>
        <v>1074.4094700000003</v>
      </c>
      <c r="G534" s="12">
        <f t="shared" si="125"/>
        <v>4883.6474340000004</v>
      </c>
      <c r="H534" s="12">
        <f t="shared" si="126"/>
        <v>5249.5105499999991</v>
      </c>
      <c r="I534" s="12">
        <f t="shared" si="127"/>
        <v>26.115655500000049</v>
      </c>
      <c r="J534" s="22">
        <f t="shared" si="128"/>
        <v>1536111.0362472003</v>
      </c>
      <c r="K534" s="22">
        <f t="shared" si="129"/>
        <v>1473132.1722864001</v>
      </c>
      <c r="L534" s="22">
        <f t="shared" si="130"/>
        <v>62978.863960800227</v>
      </c>
      <c r="M534" s="22">
        <f t="shared" si="131"/>
        <v>1816228.5862224002</v>
      </c>
      <c r="N534" s="12">
        <f t="shared" si="132"/>
        <v>0.9590010992208865</v>
      </c>
      <c r="O534" s="12">
        <f t="shared" si="133"/>
        <v>0.55215244528112195</v>
      </c>
      <c r="P534" s="13">
        <f t="shared" si="134"/>
        <v>0.40684865393976455</v>
      </c>
      <c r="Q534" s="5">
        <v>0.53500000000000003</v>
      </c>
      <c r="U534" s="31">
        <f t="shared" si="120"/>
        <v>0.99482674999999987</v>
      </c>
    </row>
    <row r="535" spans="3:21" x14ac:dyDescent="0.2">
      <c r="C535" s="12">
        <f t="shared" si="121"/>
        <v>4004.0306304000001</v>
      </c>
      <c r="D535" s="13">
        <f t="shared" si="122"/>
        <v>26.322720000000018</v>
      </c>
      <c r="E535" s="12">
        <f t="shared" si="123"/>
        <v>-28.997539500000084</v>
      </c>
      <c r="F535" s="12">
        <f t="shared" si="124"/>
        <v>1076.4177120000004</v>
      </c>
      <c r="G535" s="12">
        <f t="shared" si="125"/>
        <v>4892.9851920000001</v>
      </c>
      <c r="H535" s="12">
        <f t="shared" si="126"/>
        <v>5238.2212799999998</v>
      </c>
      <c r="I535" s="12">
        <f t="shared" si="127"/>
        <v>26.059492800000051</v>
      </c>
      <c r="J535" s="22">
        <f t="shared" si="128"/>
        <v>1538982.86757774</v>
      </c>
      <c r="K535" s="22">
        <f t="shared" si="129"/>
        <v>1475885.6903654402</v>
      </c>
      <c r="L535" s="22">
        <f t="shared" si="130"/>
        <v>63097.177212299779</v>
      </c>
      <c r="M535" s="22">
        <f t="shared" si="131"/>
        <v>1819700.6074512</v>
      </c>
      <c r="N535" s="12">
        <f t="shared" si="132"/>
        <v>0.95900072798626368</v>
      </c>
      <c r="O535" s="12">
        <f t="shared" si="133"/>
        <v>0.55216293642705405</v>
      </c>
      <c r="P535" s="13">
        <f t="shared" si="134"/>
        <v>0.40683779155920963</v>
      </c>
      <c r="Q535" s="3">
        <v>0.53600000000000003</v>
      </c>
      <c r="U535" s="31">
        <f t="shared" si="120"/>
        <v>0.99482674999999987</v>
      </c>
    </row>
    <row r="536" spans="3:21" x14ac:dyDescent="0.2">
      <c r="C536" s="12">
        <f t="shared" si="121"/>
        <v>4011.5008368000003</v>
      </c>
      <c r="D536" s="13">
        <f t="shared" si="122"/>
        <v>26.265990000000023</v>
      </c>
      <c r="E536" s="12">
        <f t="shared" si="123"/>
        <v>-29.054269500000085</v>
      </c>
      <c r="F536" s="12">
        <f t="shared" si="124"/>
        <v>1078.4259540000003</v>
      </c>
      <c r="G536" s="12">
        <f t="shared" si="125"/>
        <v>4902.3229500000007</v>
      </c>
      <c r="H536" s="12">
        <f t="shared" si="126"/>
        <v>5226.9320099999995</v>
      </c>
      <c r="I536" s="12">
        <f t="shared" si="127"/>
        <v>26.003330100000049</v>
      </c>
      <c r="J536" s="22">
        <f t="shared" si="128"/>
        <v>1541854.6989082803</v>
      </c>
      <c r="K536" s="22">
        <f t="shared" si="129"/>
        <v>1478639.2084444803</v>
      </c>
      <c r="L536" s="22">
        <f t="shared" si="130"/>
        <v>63215.49046380003</v>
      </c>
      <c r="M536" s="22">
        <f t="shared" si="131"/>
        <v>1823172.6286800003</v>
      </c>
      <c r="N536" s="12">
        <f t="shared" si="132"/>
        <v>0.95900035813455042</v>
      </c>
      <c r="O536" s="12">
        <f t="shared" si="133"/>
        <v>0.55217338801104587</v>
      </c>
      <c r="P536" s="13">
        <f t="shared" si="134"/>
        <v>0.40682697012350455</v>
      </c>
      <c r="Q536" s="5">
        <v>0.53700000000000003</v>
      </c>
      <c r="U536" s="31">
        <f t="shared" si="120"/>
        <v>0.99482674999999987</v>
      </c>
    </row>
    <row r="537" spans="3:21" x14ac:dyDescent="0.2">
      <c r="C537" s="12">
        <f t="shared" si="121"/>
        <v>4018.9710432000002</v>
      </c>
      <c r="D537" s="13">
        <f t="shared" si="122"/>
        <v>26.209260000000018</v>
      </c>
      <c r="E537" s="12">
        <f t="shared" si="123"/>
        <v>-29.110999500000084</v>
      </c>
      <c r="F537" s="12">
        <f t="shared" si="124"/>
        <v>1080.4341960000004</v>
      </c>
      <c r="G537" s="12">
        <f t="shared" si="125"/>
        <v>4911.6607080000003</v>
      </c>
      <c r="H537" s="12">
        <f t="shared" si="126"/>
        <v>5215.6427400000002</v>
      </c>
      <c r="I537" s="12">
        <f t="shared" si="127"/>
        <v>25.947167400000055</v>
      </c>
      <c r="J537" s="22">
        <f t="shared" si="128"/>
        <v>1544726.5302388202</v>
      </c>
      <c r="K537" s="22">
        <f t="shared" si="129"/>
        <v>1481392.7265235202</v>
      </c>
      <c r="L537" s="22">
        <f t="shared" si="130"/>
        <v>63333.803715300048</v>
      </c>
      <c r="M537" s="22">
        <f t="shared" si="131"/>
        <v>1826644.6499088004</v>
      </c>
      <c r="N537" s="12">
        <f t="shared" si="132"/>
        <v>0.95899998965803457</v>
      </c>
      <c r="O537" s="12">
        <f t="shared" si="133"/>
        <v>0.55218380025645752</v>
      </c>
      <c r="P537" s="13">
        <f t="shared" si="134"/>
        <v>0.40681618940157704</v>
      </c>
      <c r="Q537" s="3">
        <v>0.53800000000000003</v>
      </c>
      <c r="U537" s="31">
        <f t="shared" si="120"/>
        <v>0.99482674999999987</v>
      </c>
    </row>
    <row r="538" spans="3:21" x14ac:dyDescent="0.2">
      <c r="C538" s="12">
        <f t="shared" si="121"/>
        <v>4026.4412496000004</v>
      </c>
      <c r="D538" s="13">
        <f t="shared" si="122"/>
        <v>26.152530000000024</v>
      </c>
      <c r="E538" s="12">
        <f t="shared" si="123"/>
        <v>-29.167729500000085</v>
      </c>
      <c r="F538" s="12">
        <f t="shared" si="124"/>
        <v>1082.4424380000005</v>
      </c>
      <c r="G538" s="12">
        <f t="shared" si="125"/>
        <v>4920.9984660000009</v>
      </c>
      <c r="H538" s="12">
        <f t="shared" si="126"/>
        <v>5204.35347</v>
      </c>
      <c r="I538" s="12">
        <f t="shared" si="127"/>
        <v>25.891004700000046</v>
      </c>
      <c r="J538" s="22">
        <f t="shared" si="128"/>
        <v>1547598.3615693604</v>
      </c>
      <c r="K538" s="22">
        <f t="shared" si="129"/>
        <v>1484146.2446025603</v>
      </c>
      <c r="L538" s="22">
        <f t="shared" si="130"/>
        <v>63452.116966800066</v>
      </c>
      <c r="M538" s="22">
        <f t="shared" si="131"/>
        <v>1830116.6711376004</v>
      </c>
      <c r="N538" s="12">
        <f t="shared" si="132"/>
        <v>0.95899962254906002</v>
      </c>
      <c r="O538" s="12">
        <f t="shared" si="133"/>
        <v>0.55219417338497057</v>
      </c>
      <c r="P538" s="13">
        <f t="shared" si="134"/>
        <v>0.40680544916408945</v>
      </c>
      <c r="Q538" s="5">
        <v>0.53900000000000003</v>
      </c>
      <c r="U538" s="31">
        <f t="shared" si="120"/>
        <v>0.99482674999999987</v>
      </c>
    </row>
    <row r="539" spans="3:21" x14ac:dyDescent="0.2">
      <c r="C539" s="12">
        <f t="shared" si="121"/>
        <v>4033.9114560000003</v>
      </c>
      <c r="D539" s="13">
        <f t="shared" si="122"/>
        <v>26.095800000000018</v>
      </c>
      <c r="E539" s="12">
        <f t="shared" si="123"/>
        <v>-29.224459500000084</v>
      </c>
      <c r="F539" s="12">
        <f t="shared" si="124"/>
        <v>1084.4506800000004</v>
      </c>
      <c r="G539" s="12">
        <f t="shared" si="125"/>
        <v>4930.3362240000006</v>
      </c>
      <c r="H539" s="12">
        <f t="shared" si="126"/>
        <v>5193.0641999999989</v>
      </c>
      <c r="I539" s="12">
        <f t="shared" si="127"/>
        <v>25.834842000000052</v>
      </c>
      <c r="J539" s="22">
        <f t="shared" si="128"/>
        <v>1550470.1928999003</v>
      </c>
      <c r="K539" s="22">
        <f t="shared" si="129"/>
        <v>1486899.7626816002</v>
      </c>
      <c r="L539" s="22">
        <f t="shared" si="130"/>
        <v>63570.430218300084</v>
      </c>
      <c r="M539" s="22">
        <f t="shared" si="131"/>
        <v>1833588.6923664003</v>
      </c>
      <c r="N539" s="12">
        <f t="shared" si="132"/>
        <v>0.95899925680002784</v>
      </c>
      <c r="O539" s="12">
        <f t="shared" si="133"/>
        <v>0.55220450761660433</v>
      </c>
      <c r="P539" s="13">
        <f t="shared" si="134"/>
        <v>0.40679474918342351</v>
      </c>
      <c r="Q539" s="3">
        <v>0.54</v>
      </c>
      <c r="U539" s="31">
        <f t="shared" si="120"/>
        <v>0.99482674999999987</v>
      </c>
    </row>
    <row r="540" spans="3:21" x14ac:dyDescent="0.2">
      <c r="C540" s="12">
        <f t="shared" si="121"/>
        <v>4041.3816624000001</v>
      </c>
      <c r="D540" s="13">
        <f t="shared" si="122"/>
        <v>26.03907000000002</v>
      </c>
      <c r="E540" s="12">
        <f t="shared" si="123"/>
        <v>-29.281189500000085</v>
      </c>
      <c r="F540" s="12">
        <f t="shared" si="124"/>
        <v>1086.4589220000005</v>
      </c>
      <c r="G540" s="12">
        <f t="shared" si="125"/>
        <v>4939.6739820000003</v>
      </c>
      <c r="H540" s="12">
        <f t="shared" si="126"/>
        <v>5181.7749299999996</v>
      </c>
      <c r="I540" s="12">
        <f t="shared" si="127"/>
        <v>25.77867930000005</v>
      </c>
      <c r="J540" s="22">
        <f t="shared" si="128"/>
        <v>1553342.0242304399</v>
      </c>
      <c r="K540" s="22">
        <f t="shared" si="129"/>
        <v>1489653.28076064</v>
      </c>
      <c r="L540" s="22">
        <f t="shared" si="130"/>
        <v>63688.743469799869</v>
      </c>
      <c r="M540" s="22">
        <f t="shared" si="131"/>
        <v>1837060.7135952001</v>
      </c>
      <c r="N540" s="12">
        <f t="shared" si="132"/>
        <v>0.95899889240339542</v>
      </c>
      <c r="O540" s="12">
        <f t="shared" si="133"/>
        <v>0.55221480316973104</v>
      </c>
      <c r="P540" s="13">
        <f t="shared" si="134"/>
        <v>0.40678408923366438</v>
      </c>
      <c r="Q540" s="5">
        <v>0.54100000000000004</v>
      </c>
      <c r="U540" s="31">
        <f t="shared" si="120"/>
        <v>0.99482674999999987</v>
      </c>
    </row>
    <row r="541" spans="3:21" x14ac:dyDescent="0.2">
      <c r="C541" s="12">
        <f t="shared" si="121"/>
        <v>4048.8518687999999</v>
      </c>
      <c r="D541" s="13">
        <f t="shared" si="122"/>
        <v>25.982340000000018</v>
      </c>
      <c r="E541" s="12">
        <f t="shared" si="123"/>
        <v>-29.337919500000083</v>
      </c>
      <c r="F541" s="12">
        <f t="shared" si="124"/>
        <v>1088.4671640000004</v>
      </c>
      <c r="G541" s="12">
        <f t="shared" si="125"/>
        <v>4949.0117399999999</v>
      </c>
      <c r="H541" s="12">
        <f t="shared" si="126"/>
        <v>5170.4856599999994</v>
      </c>
      <c r="I541" s="12">
        <f t="shared" si="127"/>
        <v>25.722516600000048</v>
      </c>
      <c r="J541" s="22">
        <f t="shared" si="128"/>
        <v>1556213.85556098</v>
      </c>
      <c r="K541" s="22">
        <f t="shared" si="129"/>
        <v>1492406.7988396802</v>
      </c>
      <c r="L541" s="22">
        <f t="shared" si="130"/>
        <v>63807.056721299887</v>
      </c>
      <c r="M541" s="22">
        <f t="shared" si="131"/>
        <v>1840532.7348240002</v>
      </c>
      <c r="N541" s="12">
        <f t="shared" si="132"/>
        <v>0.95899852935167518</v>
      </c>
      <c r="O541" s="12">
        <f t="shared" si="133"/>
        <v>0.55222506026109153</v>
      </c>
      <c r="P541" s="13">
        <f t="shared" si="134"/>
        <v>0.40677346909058365</v>
      </c>
      <c r="Q541" s="3">
        <v>0.54200000000000004</v>
      </c>
      <c r="U541" s="31">
        <f t="shared" si="120"/>
        <v>0.99482674999999987</v>
      </c>
    </row>
    <row r="542" spans="3:21" x14ac:dyDescent="0.2">
      <c r="C542" s="12">
        <f t="shared" si="121"/>
        <v>4056.3220752000002</v>
      </c>
      <c r="D542" s="13">
        <f t="shared" si="122"/>
        <v>25.92561000000002</v>
      </c>
      <c r="E542" s="12">
        <f t="shared" si="123"/>
        <v>-29.394649500000085</v>
      </c>
      <c r="F542" s="12">
        <f t="shared" si="124"/>
        <v>1090.4754060000005</v>
      </c>
      <c r="G542" s="12">
        <f t="shared" si="125"/>
        <v>4958.3494980000005</v>
      </c>
      <c r="H542" s="12">
        <f t="shared" si="126"/>
        <v>5159.1963900000001</v>
      </c>
      <c r="I542" s="12">
        <f t="shared" si="127"/>
        <v>25.66635390000005</v>
      </c>
      <c r="J542" s="22">
        <f t="shared" si="128"/>
        <v>1559085.6868915202</v>
      </c>
      <c r="K542" s="22">
        <f t="shared" si="129"/>
        <v>1495160.3169187203</v>
      </c>
      <c r="L542" s="22">
        <f t="shared" si="130"/>
        <v>63925.369972799905</v>
      </c>
      <c r="M542" s="22">
        <f t="shared" si="131"/>
        <v>1844004.7560528002</v>
      </c>
      <c r="N542" s="12">
        <f t="shared" si="132"/>
        <v>0.95899816763743551</v>
      </c>
      <c r="O542" s="12">
        <f t="shared" si="133"/>
        <v>0.55223527910581005</v>
      </c>
      <c r="P542" s="13">
        <f t="shared" si="134"/>
        <v>0.40676288853162546</v>
      </c>
      <c r="Q542" s="5">
        <v>0.54300000000000004</v>
      </c>
      <c r="U542" s="31">
        <f t="shared" si="120"/>
        <v>0.99482674999999987</v>
      </c>
    </row>
    <row r="543" spans="3:21" x14ac:dyDescent="0.2">
      <c r="C543" s="12">
        <f t="shared" si="121"/>
        <v>4063.7922816</v>
      </c>
      <c r="D543" s="13">
        <f t="shared" si="122"/>
        <v>25.868880000000019</v>
      </c>
      <c r="E543" s="12">
        <f t="shared" si="123"/>
        <v>-29.451379500000083</v>
      </c>
      <c r="F543" s="12">
        <f t="shared" si="124"/>
        <v>1092.4836480000004</v>
      </c>
      <c r="G543" s="12">
        <f t="shared" si="125"/>
        <v>4967.6872560000002</v>
      </c>
      <c r="H543" s="12">
        <f t="shared" si="126"/>
        <v>5147.9071199999998</v>
      </c>
      <c r="I543" s="12">
        <f t="shared" si="127"/>
        <v>25.610191200000049</v>
      </c>
      <c r="J543" s="22">
        <f t="shared" si="128"/>
        <v>1561957.5182220603</v>
      </c>
      <c r="K543" s="22">
        <f t="shared" si="129"/>
        <v>1497913.8349977601</v>
      </c>
      <c r="L543" s="22">
        <f t="shared" si="130"/>
        <v>64043.683224300155</v>
      </c>
      <c r="M543" s="22">
        <f t="shared" si="131"/>
        <v>1847476.7772816003</v>
      </c>
      <c r="N543" s="12">
        <f t="shared" si="132"/>
        <v>0.95899780725329864</v>
      </c>
      <c r="O543" s="12">
        <f t="shared" si="133"/>
        <v>0.55224545991740981</v>
      </c>
      <c r="P543" s="13">
        <f t="shared" si="134"/>
        <v>0.40675234733588883</v>
      </c>
      <c r="Q543" s="3">
        <v>0.54400000000000004</v>
      </c>
      <c r="U543" s="31">
        <f t="shared" si="120"/>
        <v>0.99482674999999987</v>
      </c>
    </row>
    <row r="544" spans="3:21" x14ac:dyDescent="0.2">
      <c r="C544" s="12">
        <f t="shared" si="121"/>
        <v>4071.2624880000003</v>
      </c>
      <c r="D544" s="13">
        <f t="shared" si="122"/>
        <v>25.81215000000002</v>
      </c>
      <c r="E544" s="12">
        <f t="shared" si="123"/>
        <v>-29.508109500000085</v>
      </c>
      <c r="F544" s="12">
        <f t="shared" si="124"/>
        <v>1094.4918900000005</v>
      </c>
      <c r="G544" s="12">
        <f t="shared" si="125"/>
        <v>4977.0250140000007</v>
      </c>
      <c r="H544" s="12">
        <f t="shared" si="126"/>
        <v>5136.6178499999996</v>
      </c>
      <c r="I544" s="12">
        <f t="shared" si="127"/>
        <v>25.554028500000047</v>
      </c>
      <c r="J544" s="22">
        <f t="shared" si="128"/>
        <v>1564829.3495526002</v>
      </c>
      <c r="K544" s="22">
        <f t="shared" si="129"/>
        <v>1500667.3530768002</v>
      </c>
      <c r="L544" s="22">
        <f t="shared" si="130"/>
        <v>64161.996475799941</v>
      </c>
      <c r="M544" s="22">
        <f t="shared" si="131"/>
        <v>1850948.7985104003</v>
      </c>
      <c r="N544" s="12">
        <f t="shared" si="132"/>
        <v>0.95899744819194221</v>
      </c>
      <c r="O544" s="12">
        <f t="shared" si="133"/>
        <v>0.55225560290782705</v>
      </c>
      <c r="P544" s="13">
        <f t="shared" si="134"/>
        <v>0.40674184528411517</v>
      </c>
      <c r="Q544" s="5">
        <v>0.54500000000000004</v>
      </c>
      <c r="U544" s="31">
        <f t="shared" si="120"/>
        <v>0.99482674999999987</v>
      </c>
    </row>
    <row r="545" spans="3:21" x14ac:dyDescent="0.2">
      <c r="C545" s="12">
        <f t="shared" si="121"/>
        <v>4078.7326944000001</v>
      </c>
      <c r="D545" s="13">
        <f t="shared" si="122"/>
        <v>25.755420000000019</v>
      </c>
      <c r="E545" s="12">
        <f t="shared" si="123"/>
        <v>-29.564839500000083</v>
      </c>
      <c r="F545" s="12">
        <f t="shared" si="124"/>
        <v>1096.5001320000003</v>
      </c>
      <c r="G545" s="12">
        <f t="shared" si="125"/>
        <v>4986.3627720000004</v>
      </c>
      <c r="H545" s="12">
        <f t="shared" si="126"/>
        <v>5125.3285799999994</v>
      </c>
      <c r="I545" s="12">
        <f t="shared" si="127"/>
        <v>25.497865800000053</v>
      </c>
      <c r="J545" s="22">
        <f t="shared" si="128"/>
        <v>1567701.1808831403</v>
      </c>
      <c r="K545" s="22">
        <f t="shared" si="129"/>
        <v>1503420.8711558401</v>
      </c>
      <c r="L545" s="22">
        <f t="shared" si="130"/>
        <v>64280.309727300191</v>
      </c>
      <c r="M545" s="22">
        <f t="shared" si="131"/>
        <v>1854420.8197392002</v>
      </c>
      <c r="N545" s="12">
        <f t="shared" si="132"/>
        <v>0.95899709044609582</v>
      </c>
      <c r="O545" s="12">
        <f t="shared" si="133"/>
        <v>0.55226570828742672</v>
      </c>
      <c r="P545" s="13">
        <f t="shared" si="134"/>
        <v>0.40673138215866911</v>
      </c>
      <c r="Q545" s="3">
        <v>0.54600000000000004</v>
      </c>
      <c r="U545" s="31">
        <f t="shared" si="120"/>
        <v>0.99482674999999987</v>
      </c>
    </row>
    <row r="546" spans="3:21" x14ac:dyDescent="0.2">
      <c r="C546" s="12">
        <f t="shared" si="121"/>
        <v>4086.2029008000009</v>
      </c>
      <c r="D546" s="13">
        <f t="shared" si="122"/>
        <v>25.69869000000002</v>
      </c>
      <c r="E546" s="12">
        <f t="shared" si="123"/>
        <v>-29.621569500000085</v>
      </c>
      <c r="F546" s="12">
        <f t="shared" si="124"/>
        <v>1098.5083740000005</v>
      </c>
      <c r="G546" s="12">
        <f t="shared" si="125"/>
        <v>4995.700530000001</v>
      </c>
      <c r="H546" s="12">
        <f t="shared" si="126"/>
        <v>5114.0393099999992</v>
      </c>
      <c r="I546" s="12">
        <f t="shared" si="127"/>
        <v>25.441703100000051</v>
      </c>
      <c r="J546" s="22">
        <f t="shared" si="128"/>
        <v>1570573.0122136804</v>
      </c>
      <c r="K546" s="22">
        <f t="shared" si="129"/>
        <v>1506174.3892348805</v>
      </c>
      <c r="L546" s="22">
        <f t="shared" si="130"/>
        <v>64398.622978799976</v>
      </c>
      <c r="M546" s="22">
        <f t="shared" si="131"/>
        <v>1857892.8409680005</v>
      </c>
      <c r="N546" s="12">
        <f t="shared" si="132"/>
        <v>0.95899673400854391</v>
      </c>
      <c r="O546" s="12">
        <f t="shared" si="133"/>
        <v>0.55227577626501667</v>
      </c>
      <c r="P546" s="13">
        <f t="shared" si="134"/>
        <v>0.40672095774352723</v>
      </c>
      <c r="Q546" s="5">
        <v>0.54700000000000004</v>
      </c>
      <c r="U546" s="31">
        <f t="shared" si="120"/>
        <v>0.99482674999999987</v>
      </c>
    </row>
    <row r="547" spans="3:21" x14ac:dyDescent="0.2">
      <c r="C547" s="12">
        <f t="shared" si="121"/>
        <v>4093.6731072000002</v>
      </c>
      <c r="D547" s="13">
        <f t="shared" si="122"/>
        <v>25.641960000000019</v>
      </c>
      <c r="E547" s="12">
        <f t="shared" si="123"/>
        <v>-29.678299500000083</v>
      </c>
      <c r="F547" s="12">
        <f t="shared" si="124"/>
        <v>1100.5166160000003</v>
      </c>
      <c r="G547" s="12">
        <f t="shared" si="125"/>
        <v>5005.0382880000006</v>
      </c>
      <c r="H547" s="12">
        <f t="shared" si="126"/>
        <v>5102.7500399999999</v>
      </c>
      <c r="I547" s="12">
        <f t="shared" si="127"/>
        <v>25.38554040000005</v>
      </c>
      <c r="J547" s="22">
        <f t="shared" si="128"/>
        <v>1573444.8435442199</v>
      </c>
      <c r="K547" s="22">
        <f t="shared" si="129"/>
        <v>1508927.9073139201</v>
      </c>
      <c r="L547" s="22">
        <f t="shared" si="130"/>
        <v>64516.936230299762</v>
      </c>
      <c r="M547" s="22">
        <f t="shared" si="131"/>
        <v>1861364.8621968003</v>
      </c>
      <c r="N547" s="12">
        <f t="shared" si="132"/>
        <v>0.95899637887212241</v>
      </c>
      <c r="O547" s="12">
        <f t="shared" si="133"/>
        <v>0.55228580704786145</v>
      </c>
      <c r="P547" s="13">
        <f t="shared" si="134"/>
        <v>0.40671057182426096</v>
      </c>
      <c r="Q547" s="3">
        <v>0.54800000000000004</v>
      </c>
      <c r="U547" s="31">
        <f t="shared" si="120"/>
        <v>0.99482674999999987</v>
      </c>
    </row>
    <row r="548" spans="3:21" x14ac:dyDescent="0.2">
      <c r="C548" s="12">
        <f t="shared" si="121"/>
        <v>4101.1433136000005</v>
      </c>
      <c r="D548" s="13">
        <f t="shared" si="122"/>
        <v>25.585230000000021</v>
      </c>
      <c r="E548" s="12">
        <f t="shared" si="123"/>
        <v>-29.735029500000085</v>
      </c>
      <c r="F548" s="12">
        <f t="shared" si="124"/>
        <v>1102.5248580000004</v>
      </c>
      <c r="G548" s="12">
        <f t="shared" si="125"/>
        <v>5014.3760460000003</v>
      </c>
      <c r="H548" s="12">
        <f t="shared" si="126"/>
        <v>5091.4607699999997</v>
      </c>
      <c r="I548" s="12">
        <f t="shared" si="127"/>
        <v>25.329377700000048</v>
      </c>
      <c r="J548" s="22">
        <f t="shared" si="128"/>
        <v>1576316.6748747602</v>
      </c>
      <c r="K548" s="22">
        <f t="shared" si="129"/>
        <v>1511681.4253929602</v>
      </c>
      <c r="L548" s="22">
        <f t="shared" si="130"/>
        <v>64635.249481800012</v>
      </c>
      <c r="M548" s="22">
        <f t="shared" si="131"/>
        <v>1864836.8834256004</v>
      </c>
      <c r="N548" s="12">
        <f t="shared" si="132"/>
        <v>0.95899602502971981</v>
      </c>
      <c r="O548" s="12">
        <f t="shared" si="133"/>
        <v>0.55229580084169727</v>
      </c>
      <c r="P548" s="13">
        <f t="shared" si="134"/>
        <v>0.40670022418802254</v>
      </c>
      <c r="Q548" s="5">
        <v>0.54900000000000004</v>
      </c>
      <c r="U548" s="31">
        <f t="shared" si="120"/>
        <v>0.99482674999999987</v>
      </c>
    </row>
    <row r="549" spans="3:21" x14ac:dyDescent="0.2">
      <c r="C549" s="12">
        <f t="shared" si="121"/>
        <v>4108.6135199999999</v>
      </c>
      <c r="D549" s="13">
        <f t="shared" si="122"/>
        <v>25.528500000000019</v>
      </c>
      <c r="E549" s="12">
        <f t="shared" si="123"/>
        <v>-29.791759500000083</v>
      </c>
      <c r="F549" s="12">
        <f t="shared" si="124"/>
        <v>1104.5331000000003</v>
      </c>
      <c r="G549" s="12">
        <f t="shared" si="125"/>
        <v>5023.713804</v>
      </c>
      <c r="H549" s="12">
        <f t="shared" si="126"/>
        <v>5080.1714999999995</v>
      </c>
      <c r="I549" s="12">
        <f t="shared" si="127"/>
        <v>25.27321500000005</v>
      </c>
      <c r="J549" s="22">
        <f t="shared" si="128"/>
        <v>1579188.5062053001</v>
      </c>
      <c r="K549" s="22">
        <f t="shared" si="129"/>
        <v>1514434.9434720001</v>
      </c>
      <c r="L549" s="22">
        <f t="shared" si="130"/>
        <v>64753.56273330003</v>
      </c>
      <c r="M549" s="22">
        <f t="shared" si="131"/>
        <v>1868308.9046544</v>
      </c>
      <c r="N549" s="12">
        <f t="shared" si="132"/>
        <v>0.95899567247427664</v>
      </c>
      <c r="O549" s="12">
        <f t="shared" si="133"/>
        <v>0.55230575785074587</v>
      </c>
      <c r="P549" s="13">
        <f t="shared" si="134"/>
        <v>0.40668991462353077</v>
      </c>
      <c r="Q549" s="3">
        <v>0.55000000000000004</v>
      </c>
      <c r="U549" s="31">
        <f t="shared" si="120"/>
        <v>0.99482674999999987</v>
      </c>
    </row>
    <row r="550" spans="3:21" x14ac:dyDescent="0.2">
      <c r="C550" s="12">
        <f t="shared" si="121"/>
        <v>4116.0837264000002</v>
      </c>
      <c r="D550" s="13">
        <f t="shared" si="122"/>
        <v>25.471770000000021</v>
      </c>
      <c r="E550" s="12">
        <f t="shared" si="123"/>
        <v>-29.848489500000085</v>
      </c>
      <c r="F550" s="12">
        <f t="shared" si="124"/>
        <v>1106.5413420000004</v>
      </c>
      <c r="G550" s="12">
        <f t="shared" si="125"/>
        <v>5033.0515620000006</v>
      </c>
      <c r="H550" s="12">
        <f t="shared" si="126"/>
        <v>5068.8822299999993</v>
      </c>
      <c r="I550" s="12">
        <f t="shared" si="127"/>
        <v>25.217052300000049</v>
      </c>
      <c r="J550" s="22">
        <f t="shared" si="128"/>
        <v>1582060.3375358402</v>
      </c>
      <c r="K550" s="22">
        <f t="shared" si="129"/>
        <v>1517188.4615510402</v>
      </c>
      <c r="L550" s="22">
        <f t="shared" si="130"/>
        <v>64871.875984800048</v>
      </c>
      <c r="M550" s="22">
        <f t="shared" si="131"/>
        <v>1871780.9258832003</v>
      </c>
      <c r="N550" s="12">
        <f t="shared" si="132"/>
        <v>0.95899532119878428</v>
      </c>
      <c r="O550" s="12">
        <f t="shared" si="133"/>
        <v>0.55231567827772843</v>
      </c>
      <c r="P550" s="13">
        <f t="shared" si="134"/>
        <v>0.40667964292105585</v>
      </c>
      <c r="Q550" s="5">
        <v>0.55100000000000005</v>
      </c>
      <c r="U550" s="31">
        <f t="shared" si="120"/>
        <v>0.99482674999999987</v>
      </c>
    </row>
    <row r="551" spans="3:21" x14ac:dyDescent="0.2">
      <c r="C551" s="12">
        <f t="shared" si="121"/>
        <v>4123.5539328000004</v>
      </c>
      <c r="D551" s="13">
        <f t="shared" si="122"/>
        <v>25.415040000000023</v>
      </c>
      <c r="E551" s="12">
        <f t="shared" si="123"/>
        <v>-29.905219500000083</v>
      </c>
      <c r="F551" s="12">
        <f t="shared" si="124"/>
        <v>1108.5495840000003</v>
      </c>
      <c r="G551" s="12">
        <f t="shared" si="125"/>
        <v>5042.3893200000002</v>
      </c>
      <c r="H551" s="12">
        <f t="shared" si="126"/>
        <v>5057.592959999999</v>
      </c>
      <c r="I551" s="12">
        <f t="shared" si="127"/>
        <v>25.160889600000054</v>
      </c>
      <c r="J551" s="22">
        <f t="shared" si="128"/>
        <v>1584932.1688663801</v>
      </c>
      <c r="K551" s="22">
        <f t="shared" si="129"/>
        <v>1519941.9796300803</v>
      </c>
      <c r="L551" s="22">
        <f t="shared" si="130"/>
        <v>64990.189236299833</v>
      </c>
      <c r="M551" s="22">
        <f t="shared" si="131"/>
        <v>1875252.9471120001</v>
      </c>
      <c r="N551" s="12">
        <f t="shared" si="132"/>
        <v>0.95899497119628541</v>
      </c>
      <c r="O551" s="12">
        <f t="shared" si="133"/>
        <v>0.55232556232387875</v>
      </c>
      <c r="P551" s="13">
        <f t="shared" si="134"/>
        <v>0.40666940887240666</v>
      </c>
      <c r="Q551" s="3">
        <v>0.55200000000000005</v>
      </c>
      <c r="U551" s="31">
        <f t="shared" si="120"/>
        <v>0.99482674999999987</v>
      </c>
    </row>
    <row r="552" spans="3:21" x14ac:dyDescent="0.2">
      <c r="C552" s="12">
        <f t="shared" si="121"/>
        <v>4131.0241392000007</v>
      </c>
      <c r="D552" s="13">
        <f t="shared" si="122"/>
        <v>25.358310000000021</v>
      </c>
      <c r="E552" s="12">
        <f t="shared" si="123"/>
        <v>-29.961949500000085</v>
      </c>
      <c r="F552" s="12">
        <f t="shared" si="124"/>
        <v>1110.5578260000004</v>
      </c>
      <c r="G552" s="12">
        <f t="shared" si="125"/>
        <v>5051.7270780000008</v>
      </c>
      <c r="H552" s="12">
        <f t="shared" si="126"/>
        <v>5046.3036899999997</v>
      </c>
      <c r="I552" s="12">
        <f t="shared" si="127"/>
        <v>25.104726900000045</v>
      </c>
      <c r="J552" s="22">
        <f t="shared" si="128"/>
        <v>1587804.0001969205</v>
      </c>
      <c r="K552" s="22">
        <f t="shared" si="129"/>
        <v>1522695.4977091204</v>
      </c>
      <c r="L552" s="22">
        <f t="shared" si="130"/>
        <v>65108.502487800084</v>
      </c>
      <c r="M552" s="22">
        <f t="shared" si="131"/>
        <v>1878724.9683408004</v>
      </c>
      <c r="N552" s="12">
        <f t="shared" si="132"/>
        <v>0.9589946224598721</v>
      </c>
      <c r="O552" s="12">
        <f t="shared" si="133"/>
        <v>0.55233541018895815</v>
      </c>
      <c r="P552" s="13">
        <f t="shared" si="134"/>
        <v>0.40665921227091395</v>
      </c>
      <c r="Q552" s="5">
        <v>0.55300000000000005</v>
      </c>
      <c r="U552" s="31">
        <f t="shared" si="120"/>
        <v>0.99482674999999987</v>
      </c>
    </row>
    <row r="553" spans="3:21" x14ac:dyDescent="0.2">
      <c r="C553" s="12">
        <f t="shared" si="121"/>
        <v>4138.4943456000001</v>
      </c>
      <c r="D553" s="13">
        <f t="shared" si="122"/>
        <v>25.301580000000023</v>
      </c>
      <c r="E553" s="12">
        <f t="shared" si="123"/>
        <v>-30.018679500000083</v>
      </c>
      <c r="F553" s="12">
        <f t="shared" si="124"/>
        <v>1112.5660680000003</v>
      </c>
      <c r="G553" s="12">
        <f t="shared" si="125"/>
        <v>5061.0648360000005</v>
      </c>
      <c r="H553" s="12">
        <f t="shared" si="126"/>
        <v>5035.0144199999995</v>
      </c>
      <c r="I553" s="12">
        <f t="shared" si="127"/>
        <v>25.048564200000051</v>
      </c>
      <c r="J553" s="22">
        <f t="shared" si="128"/>
        <v>1590675.8315274599</v>
      </c>
      <c r="K553" s="22">
        <f t="shared" si="129"/>
        <v>1525449.01578816</v>
      </c>
      <c r="L553" s="22">
        <f t="shared" si="130"/>
        <v>65226.815739299869</v>
      </c>
      <c r="M553" s="22">
        <f t="shared" si="131"/>
        <v>1882196.9895696004</v>
      </c>
      <c r="N553" s="12">
        <f t="shared" si="132"/>
        <v>0.95899427498268752</v>
      </c>
      <c r="O553" s="12">
        <f t="shared" si="133"/>
        <v>0.55234522207126768</v>
      </c>
      <c r="P553" s="13">
        <f t="shared" si="134"/>
        <v>0.40664905291141984</v>
      </c>
      <c r="Q553" s="3">
        <v>0.55400000000000005</v>
      </c>
      <c r="U553" s="31">
        <f t="shared" si="120"/>
        <v>0.99482674999999987</v>
      </c>
    </row>
    <row r="554" spans="3:21" x14ac:dyDescent="0.2">
      <c r="C554" s="12">
        <f t="shared" si="121"/>
        <v>4145.9645520000004</v>
      </c>
      <c r="D554" s="13">
        <f t="shared" si="122"/>
        <v>25.244850000000021</v>
      </c>
      <c r="E554" s="12">
        <f t="shared" si="123"/>
        <v>-30.075409500000085</v>
      </c>
      <c r="F554" s="12">
        <f t="shared" si="124"/>
        <v>1114.5743100000004</v>
      </c>
      <c r="G554" s="12">
        <f t="shared" si="125"/>
        <v>5070.402594000001</v>
      </c>
      <c r="H554" s="12">
        <f t="shared" si="126"/>
        <v>5023.7251499999993</v>
      </c>
      <c r="I554" s="12">
        <f t="shared" si="127"/>
        <v>24.992401500000049</v>
      </c>
      <c r="J554" s="22">
        <f t="shared" si="128"/>
        <v>1593547.6628580003</v>
      </c>
      <c r="K554" s="22">
        <f t="shared" si="129"/>
        <v>1528202.5338672001</v>
      </c>
      <c r="L554" s="22">
        <f t="shared" si="130"/>
        <v>65345.12899080012</v>
      </c>
      <c r="M554" s="22">
        <f t="shared" si="131"/>
        <v>1885669.0107984007</v>
      </c>
      <c r="N554" s="12">
        <f t="shared" si="132"/>
        <v>0.95899392875792322</v>
      </c>
      <c r="O554" s="12">
        <f t="shared" si="133"/>
        <v>0.55235499816766176</v>
      </c>
      <c r="P554" s="13">
        <f t="shared" si="134"/>
        <v>0.40663893059026146</v>
      </c>
      <c r="Q554" s="5">
        <v>0.55500000000000005</v>
      </c>
      <c r="U554" s="31">
        <f t="shared" si="120"/>
        <v>0.99482674999999987</v>
      </c>
    </row>
    <row r="555" spans="3:21" x14ac:dyDescent="0.2">
      <c r="C555" s="12">
        <f t="shared" si="121"/>
        <v>4153.4347583999997</v>
      </c>
      <c r="D555" s="13">
        <f t="shared" si="122"/>
        <v>25.188120000000023</v>
      </c>
      <c r="E555" s="12">
        <f t="shared" si="123"/>
        <v>-30.132139500000083</v>
      </c>
      <c r="F555" s="12">
        <f t="shared" si="124"/>
        <v>1116.5825520000003</v>
      </c>
      <c r="G555" s="12">
        <f t="shared" si="125"/>
        <v>5079.7403519999998</v>
      </c>
      <c r="H555" s="12">
        <f t="shared" si="126"/>
        <v>5012.4358799999991</v>
      </c>
      <c r="I555" s="12">
        <f t="shared" si="127"/>
        <v>24.936238800000051</v>
      </c>
      <c r="J555" s="22">
        <f t="shared" si="128"/>
        <v>1596419.4941885401</v>
      </c>
      <c r="K555" s="22">
        <f t="shared" si="129"/>
        <v>1530956.05194624</v>
      </c>
      <c r="L555" s="22">
        <f t="shared" si="130"/>
        <v>65463.442242300138</v>
      </c>
      <c r="M555" s="22">
        <f t="shared" si="131"/>
        <v>1889141.0320271999</v>
      </c>
      <c r="N555" s="12">
        <f t="shared" si="132"/>
        <v>0.95899358377882049</v>
      </c>
      <c r="O555" s="12">
        <f t="shared" si="133"/>
        <v>0.55236473867356184</v>
      </c>
      <c r="P555" s="13">
        <f t="shared" si="134"/>
        <v>0.40662884510525865</v>
      </c>
      <c r="Q555" s="3">
        <v>0.55600000000000005</v>
      </c>
      <c r="U555" s="31">
        <f t="shared" si="120"/>
        <v>0.99482674999999987</v>
      </c>
    </row>
    <row r="556" spans="3:21" x14ac:dyDescent="0.2">
      <c r="C556" s="12">
        <f t="shared" si="121"/>
        <v>4160.9049648</v>
      </c>
      <c r="D556" s="13">
        <f t="shared" si="122"/>
        <v>25.131390000000017</v>
      </c>
      <c r="E556" s="12">
        <f t="shared" si="123"/>
        <v>-30.188869500000088</v>
      </c>
      <c r="F556" s="12">
        <f t="shared" si="124"/>
        <v>1118.5907940000004</v>
      </c>
      <c r="G556" s="12">
        <f t="shared" si="125"/>
        <v>5089.0781100000004</v>
      </c>
      <c r="H556" s="12">
        <f t="shared" si="126"/>
        <v>5001.1466099999989</v>
      </c>
      <c r="I556" s="12">
        <f t="shared" si="127"/>
        <v>24.880076100000046</v>
      </c>
      <c r="J556" s="22">
        <f t="shared" si="128"/>
        <v>1599291.3255190798</v>
      </c>
      <c r="K556" s="22">
        <f t="shared" si="129"/>
        <v>1533709.5700252801</v>
      </c>
      <c r="L556" s="22">
        <f t="shared" si="130"/>
        <v>65581.75549379969</v>
      </c>
      <c r="M556" s="22">
        <f t="shared" si="131"/>
        <v>1892613.0532560002</v>
      </c>
      <c r="N556" s="12">
        <f t="shared" si="132"/>
        <v>0.95899324003866904</v>
      </c>
      <c r="O556" s="12">
        <f t="shared" si="133"/>
        <v>0.55237444378296885</v>
      </c>
      <c r="P556" s="13">
        <f t="shared" si="134"/>
        <v>0.40661879625570019</v>
      </c>
      <c r="Q556" s="5">
        <v>0.55700000000000005</v>
      </c>
      <c r="U556" s="31">
        <f t="shared" si="120"/>
        <v>0.99482674999999987</v>
      </c>
    </row>
    <row r="557" spans="3:21" x14ac:dyDescent="0.2">
      <c r="C557" s="12">
        <f t="shared" si="121"/>
        <v>4168.3751712000003</v>
      </c>
      <c r="D557" s="13">
        <f t="shared" si="122"/>
        <v>25.074660000000023</v>
      </c>
      <c r="E557" s="12">
        <f t="shared" si="123"/>
        <v>-30.245599500000083</v>
      </c>
      <c r="F557" s="12">
        <f t="shared" si="124"/>
        <v>1120.5990360000003</v>
      </c>
      <c r="G557" s="12">
        <f t="shared" si="125"/>
        <v>5098.415868</v>
      </c>
      <c r="H557" s="12">
        <f t="shared" si="126"/>
        <v>4989.8573399999996</v>
      </c>
      <c r="I557" s="12">
        <f t="shared" si="127"/>
        <v>24.823913400000052</v>
      </c>
      <c r="J557" s="22">
        <f t="shared" si="128"/>
        <v>1602163.1568496202</v>
      </c>
      <c r="K557" s="22">
        <f t="shared" si="129"/>
        <v>1536463.0881043202</v>
      </c>
      <c r="L557" s="22">
        <f t="shared" si="130"/>
        <v>65700.068745299941</v>
      </c>
      <c r="M557" s="22">
        <f t="shared" si="131"/>
        <v>1896085.0744848002</v>
      </c>
      <c r="N557" s="12">
        <f t="shared" si="132"/>
        <v>0.95899289753080585</v>
      </c>
      <c r="O557" s="12">
        <f t="shared" si="133"/>
        <v>0.55238411368847662</v>
      </c>
      <c r="P557" s="13">
        <f t="shared" si="134"/>
        <v>0.40660878384232924</v>
      </c>
      <c r="Q557" s="3">
        <v>0.55800000000000005</v>
      </c>
      <c r="U557" s="31">
        <f t="shared" si="120"/>
        <v>0.99482674999999987</v>
      </c>
    </row>
    <row r="558" spans="3:21" x14ac:dyDescent="0.2">
      <c r="C558" s="12">
        <f t="shared" si="121"/>
        <v>4175.8453776000006</v>
      </c>
      <c r="D558" s="13">
        <f t="shared" si="122"/>
        <v>25.017930000000018</v>
      </c>
      <c r="E558" s="12">
        <f t="shared" si="123"/>
        <v>-30.302329500000088</v>
      </c>
      <c r="F558" s="12">
        <f t="shared" si="124"/>
        <v>1122.6072780000004</v>
      </c>
      <c r="G558" s="12">
        <f t="shared" si="125"/>
        <v>5107.7536260000006</v>
      </c>
      <c r="H558" s="12">
        <f t="shared" si="126"/>
        <v>4978.5680699999994</v>
      </c>
      <c r="I558" s="12">
        <f t="shared" si="127"/>
        <v>24.767750700000047</v>
      </c>
      <c r="J558" s="22">
        <f t="shared" si="128"/>
        <v>1605034.9881801603</v>
      </c>
      <c r="K558" s="22">
        <f t="shared" si="129"/>
        <v>1539216.6061833603</v>
      </c>
      <c r="L558" s="22">
        <f t="shared" si="130"/>
        <v>65818.381996799959</v>
      </c>
      <c r="M558" s="22">
        <f t="shared" si="131"/>
        <v>1899557.0957136005</v>
      </c>
      <c r="N558" s="12">
        <f t="shared" si="132"/>
        <v>0.95899255624861679</v>
      </c>
      <c r="O558" s="12">
        <f t="shared" si="133"/>
        <v>0.55239374858128387</v>
      </c>
      <c r="P558" s="13">
        <f t="shared" si="134"/>
        <v>0.40659880766733292</v>
      </c>
      <c r="Q558" s="5">
        <v>0.55900000000000005</v>
      </c>
      <c r="U558" s="31">
        <f t="shared" si="120"/>
        <v>0.99482674999999987</v>
      </c>
    </row>
    <row r="559" spans="3:21" x14ac:dyDescent="0.2">
      <c r="C559" s="12">
        <f t="shared" si="121"/>
        <v>4183.3155839999999</v>
      </c>
      <c r="D559" s="13">
        <f t="shared" si="122"/>
        <v>24.961200000000023</v>
      </c>
      <c r="E559" s="12">
        <f t="shared" si="123"/>
        <v>-30.359059500000086</v>
      </c>
      <c r="F559" s="12">
        <f t="shared" si="124"/>
        <v>1124.6155200000003</v>
      </c>
      <c r="G559" s="12">
        <f t="shared" si="125"/>
        <v>5117.0913840000003</v>
      </c>
      <c r="H559" s="12">
        <f t="shared" si="126"/>
        <v>4967.2788</v>
      </c>
      <c r="I559" s="12">
        <f t="shared" si="127"/>
        <v>24.711588000000045</v>
      </c>
      <c r="J559" s="22">
        <f t="shared" si="128"/>
        <v>1607906.8195106999</v>
      </c>
      <c r="K559" s="22">
        <f t="shared" si="129"/>
        <v>1541970.1242624</v>
      </c>
      <c r="L559" s="22">
        <f t="shared" si="130"/>
        <v>65936.695248299977</v>
      </c>
      <c r="M559" s="22">
        <f t="shared" si="131"/>
        <v>1903029.1169424003</v>
      </c>
      <c r="N559" s="12">
        <f t="shared" si="132"/>
        <v>0.95899221618553421</v>
      </c>
      <c r="O559" s="12">
        <f t="shared" si="133"/>
        <v>0.55240334865120744</v>
      </c>
      <c r="P559" s="13">
        <f t="shared" si="134"/>
        <v>0.40658886753432677</v>
      </c>
      <c r="Q559" s="3">
        <v>0.56000000000000005</v>
      </c>
      <c r="U559" s="31">
        <f t="shared" si="120"/>
        <v>0.99482674999999987</v>
      </c>
    </row>
    <row r="560" spans="3:21" x14ac:dyDescent="0.2">
      <c r="C560" s="12">
        <f t="shared" si="121"/>
        <v>4190.7857904000002</v>
      </c>
      <c r="D560" s="13">
        <f t="shared" si="122"/>
        <v>24.904470000000018</v>
      </c>
      <c r="E560" s="12">
        <f t="shared" si="123"/>
        <v>-30.415789500000088</v>
      </c>
      <c r="F560" s="12">
        <f t="shared" si="124"/>
        <v>1126.6237620000004</v>
      </c>
      <c r="G560" s="12">
        <f t="shared" si="125"/>
        <v>5126.4291420000009</v>
      </c>
      <c r="H560" s="12">
        <f t="shared" si="126"/>
        <v>4955.9895299999989</v>
      </c>
      <c r="I560" s="12">
        <f t="shared" si="127"/>
        <v>24.655425300000044</v>
      </c>
      <c r="J560" s="22">
        <f t="shared" si="128"/>
        <v>1610778.6508412401</v>
      </c>
      <c r="K560" s="22">
        <f t="shared" si="129"/>
        <v>1544723.6423414401</v>
      </c>
      <c r="L560" s="22">
        <f t="shared" si="130"/>
        <v>66055.008499799995</v>
      </c>
      <c r="M560" s="22">
        <f t="shared" si="131"/>
        <v>1906501.1381712004</v>
      </c>
      <c r="N560" s="12">
        <f t="shared" si="132"/>
        <v>0.95899187733503777</v>
      </c>
      <c r="O560" s="12">
        <f t="shared" si="133"/>
        <v>0.55241291408669457</v>
      </c>
      <c r="P560" s="13">
        <f t="shared" si="134"/>
        <v>0.40657896324834319</v>
      </c>
      <c r="Q560" s="5">
        <v>0.56100000000000005</v>
      </c>
      <c r="U560" s="31">
        <f t="shared" si="120"/>
        <v>0.99482674999999987</v>
      </c>
    </row>
    <row r="561" spans="3:21" x14ac:dyDescent="0.2">
      <c r="C561" s="12">
        <f t="shared" si="121"/>
        <v>4198.2559968000005</v>
      </c>
      <c r="D561" s="13">
        <f t="shared" si="122"/>
        <v>24.847740000000019</v>
      </c>
      <c r="E561" s="12">
        <f t="shared" si="123"/>
        <v>-30.472519500000086</v>
      </c>
      <c r="F561" s="12">
        <f t="shared" si="124"/>
        <v>1128.6320040000003</v>
      </c>
      <c r="G561" s="12">
        <f t="shared" si="125"/>
        <v>5135.7669000000005</v>
      </c>
      <c r="H561" s="12">
        <f t="shared" si="126"/>
        <v>4944.7002599999987</v>
      </c>
      <c r="I561" s="12">
        <f t="shared" si="127"/>
        <v>24.599262600000046</v>
      </c>
      <c r="J561" s="22">
        <f t="shared" si="128"/>
        <v>1613650.4821717804</v>
      </c>
      <c r="K561" s="22">
        <f t="shared" si="129"/>
        <v>1547477.1604204802</v>
      </c>
      <c r="L561" s="22">
        <f t="shared" si="130"/>
        <v>66173.321751300246</v>
      </c>
      <c r="M561" s="22">
        <f t="shared" si="131"/>
        <v>1909973.1594000002</v>
      </c>
      <c r="N561" s="12">
        <f t="shared" si="132"/>
        <v>0.95899153969065287</v>
      </c>
      <c r="O561" s="12">
        <f t="shared" si="133"/>
        <v>0.55242244507483507</v>
      </c>
      <c r="P561" s="13">
        <f t="shared" si="134"/>
        <v>0.40656909461581781</v>
      </c>
      <c r="Q561" s="3">
        <v>0.56200000000000006</v>
      </c>
      <c r="U561" s="31">
        <f t="shared" si="120"/>
        <v>0.99482674999999987</v>
      </c>
    </row>
    <row r="562" spans="3:21" x14ac:dyDescent="0.2">
      <c r="C562" s="12">
        <f t="shared" si="121"/>
        <v>4205.7262031999999</v>
      </c>
      <c r="D562" s="13">
        <f t="shared" si="122"/>
        <v>24.791010000000025</v>
      </c>
      <c r="E562" s="12">
        <f t="shared" si="123"/>
        <v>-30.529249500000081</v>
      </c>
      <c r="F562" s="12">
        <f t="shared" si="124"/>
        <v>1130.6402460000002</v>
      </c>
      <c r="G562" s="12">
        <f t="shared" si="125"/>
        <v>5145.1046580000002</v>
      </c>
      <c r="H562" s="12">
        <f t="shared" si="126"/>
        <v>4933.4109900000003</v>
      </c>
      <c r="I562" s="12">
        <f t="shared" si="127"/>
        <v>24.543099900000051</v>
      </c>
      <c r="J562" s="22">
        <f t="shared" si="128"/>
        <v>1616522.3135023199</v>
      </c>
      <c r="K562" s="22">
        <f t="shared" si="129"/>
        <v>1550230.6784995201</v>
      </c>
      <c r="L562" s="22">
        <f t="shared" si="130"/>
        <v>66291.635002799798</v>
      </c>
      <c r="M562" s="22">
        <f t="shared" si="131"/>
        <v>1913445.1806288003</v>
      </c>
      <c r="N562" s="12">
        <f t="shared" si="132"/>
        <v>0.95899120324595222</v>
      </c>
      <c r="O562" s="12">
        <f t="shared" si="133"/>
        <v>0.55243194180137389</v>
      </c>
      <c r="P562" s="13">
        <f t="shared" si="134"/>
        <v>0.40655926144457832</v>
      </c>
      <c r="Q562" s="5">
        <v>0.56299999999999994</v>
      </c>
      <c r="U562" s="31">
        <f t="shared" si="120"/>
        <v>0.99482674999999987</v>
      </c>
    </row>
    <row r="563" spans="3:21" x14ac:dyDescent="0.2">
      <c r="C563" s="12">
        <f t="shared" si="121"/>
        <v>4213.1964096000002</v>
      </c>
      <c r="D563" s="13">
        <f t="shared" si="122"/>
        <v>24.734280000000027</v>
      </c>
      <c r="E563" s="12">
        <f t="shared" si="123"/>
        <v>-30.585979500000079</v>
      </c>
      <c r="F563" s="12">
        <f t="shared" si="124"/>
        <v>1132.6484880000003</v>
      </c>
      <c r="G563" s="12">
        <f t="shared" si="125"/>
        <v>5154.4424159999999</v>
      </c>
      <c r="H563" s="12">
        <f t="shared" si="126"/>
        <v>4922.1217200000001</v>
      </c>
      <c r="I563" s="12">
        <f t="shared" si="127"/>
        <v>24.486937200000053</v>
      </c>
      <c r="J563" s="22">
        <f t="shared" si="128"/>
        <v>1619394.14483286</v>
      </c>
      <c r="K563" s="22">
        <f t="shared" si="129"/>
        <v>1552984.1965785602</v>
      </c>
      <c r="L563" s="22">
        <f t="shared" si="130"/>
        <v>66409.948254299816</v>
      </c>
      <c r="M563" s="22">
        <f t="shared" si="131"/>
        <v>1916917.2018576001</v>
      </c>
      <c r="N563" s="12">
        <f t="shared" si="132"/>
        <v>0.95899086799455235</v>
      </c>
      <c r="O563" s="12">
        <f t="shared" si="133"/>
        <v>0.55244140445072298</v>
      </c>
      <c r="P563" s="13">
        <f t="shared" si="134"/>
        <v>0.40654946354382937</v>
      </c>
      <c r="Q563" s="3">
        <v>0.56399999999999995</v>
      </c>
      <c r="U563" s="31">
        <f t="shared" si="120"/>
        <v>0.99482674999999987</v>
      </c>
    </row>
    <row r="564" spans="3:21" x14ac:dyDescent="0.2">
      <c r="C564" s="12">
        <f t="shared" si="121"/>
        <v>4220.6666159999995</v>
      </c>
      <c r="D564" s="13">
        <f t="shared" si="122"/>
        <v>24.677550000000021</v>
      </c>
      <c r="E564" s="12">
        <f t="shared" si="123"/>
        <v>-30.642709500000084</v>
      </c>
      <c r="F564" s="12">
        <f t="shared" si="124"/>
        <v>1134.6567300000002</v>
      </c>
      <c r="G564" s="12">
        <f t="shared" si="125"/>
        <v>5163.7801739999995</v>
      </c>
      <c r="H564" s="12">
        <f t="shared" si="126"/>
        <v>4910.8324500000008</v>
      </c>
      <c r="I564" s="12">
        <f t="shared" si="127"/>
        <v>24.430774500000048</v>
      </c>
      <c r="J564" s="22">
        <f t="shared" si="128"/>
        <v>1622265.9761633999</v>
      </c>
      <c r="K564" s="22">
        <f t="shared" si="129"/>
        <v>1555737.7146575998</v>
      </c>
      <c r="L564" s="22">
        <f t="shared" si="130"/>
        <v>66528.261505800067</v>
      </c>
      <c r="M564" s="22">
        <f t="shared" si="131"/>
        <v>1920389.2230864</v>
      </c>
      <c r="N564" s="12">
        <f t="shared" si="132"/>
        <v>0.95899053393011613</v>
      </c>
      <c r="O564" s="12">
        <f t="shared" si="133"/>
        <v>0.55245083320597288</v>
      </c>
      <c r="P564" s="13">
        <f t="shared" si="134"/>
        <v>0.40653970072414325</v>
      </c>
      <c r="Q564" s="5">
        <v>0.56499999999999995</v>
      </c>
      <c r="U564" s="31">
        <f t="shared" si="120"/>
        <v>0.99482674999999987</v>
      </c>
    </row>
    <row r="565" spans="3:21" x14ac:dyDescent="0.2">
      <c r="C565" s="12">
        <f t="shared" si="121"/>
        <v>4228.1368223999989</v>
      </c>
      <c r="D565" s="13">
        <f t="shared" si="122"/>
        <v>24.620820000000027</v>
      </c>
      <c r="E565" s="12">
        <f t="shared" si="123"/>
        <v>-30.699439500000079</v>
      </c>
      <c r="F565" s="12">
        <f t="shared" si="124"/>
        <v>1136.6649720000003</v>
      </c>
      <c r="G565" s="12">
        <f t="shared" si="125"/>
        <v>5173.1179319999992</v>
      </c>
      <c r="H565" s="12">
        <f t="shared" si="126"/>
        <v>4899.5431800000006</v>
      </c>
      <c r="I565" s="12">
        <f t="shared" si="127"/>
        <v>24.374611800000054</v>
      </c>
      <c r="J565" s="22">
        <f t="shared" si="128"/>
        <v>1625137.8074939395</v>
      </c>
      <c r="K565" s="22">
        <f t="shared" si="129"/>
        <v>1558491.2327366397</v>
      </c>
      <c r="L565" s="22">
        <f t="shared" si="130"/>
        <v>66646.574757299852</v>
      </c>
      <c r="M565" s="22">
        <f t="shared" si="131"/>
        <v>1923861.2443151998</v>
      </c>
      <c r="N565" s="12">
        <f t="shared" si="132"/>
        <v>0.95899020104635135</v>
      </c>
      <c r="O565" s="12">
        <f t="shared" si="133"/>
        <v>0.55246022824890528</v>
      </c>
      <c r="P565" s="13">
        <f t="shared" si="134"/>
        <v>0.40652997279744607</v>
      </c>
      <c r="Q565" s="3">
        <v>0.56599999999999995</v>
      </c>
      <c r="U565" s="31">
        <f t="shared" si="120"/>
        <v>0.99482674999999987</v>
      </c>
    </row>
    <row r="566" spans="3:21" x14ac:dyDescent="0.2">
      <c r="C566" s="12">
        <f t="shared" si="121"/>
        <v>4235.6070288000001</v>
      </c>
      <c r="D566" s="13">
        <f t="shared" si="122"/>
        <v>24.564090000000022</v>
      </c>
      <c r="E566" s="12">
        <f t="shared" si="123"/>
        <v>-30.756169500000084</v>
      </c>
      <c r="F566" s="12">
        <f t="shared" si="124"/>
        <v>1138.6732140000004</v>
      </c>
      <c r="G566" s="12">
        <f t="shared" si="125"/>
        <v>5182.4556899999998</v>
      </c>
      <c r="H566" s="12">
        <f t="shared" si="126"/>
        <v>4888.2539100000004</v>
      </c>
      <c r="I566" s="12">
        <f t="shared" si="127"/>
        <v>24.318449100000048</v>
      </c>
      <c r="J566" s="22">
        <f t="shared" si="128"/>
        <v>1628009.6388244801</v>
      </c>
      <c r="K566" s="22">
        <f t="shared" si="129"/>
        <v>1561244.75081568</v>
      </c>
      <c r="L566" s="22">
        <f t="shared" si="130"/>
        <v>66764.888008800102</v>
      </c>
      <c r="M566" s="22">
        <f t="shared" si="131"/>
        <v>1927333.2655440001</v>
      </c>
      <c r="N566" s="12">
        <f t="shared" si="132"/>
        <v>0.95898986933700936</v>
      </c>
      <c r="O566" s="12">
        <f t="shared" si="133"/>
        <v>0.55246958976000371</v>
      </c>
      <c r="P566" s="13">
        <f t="shared" si="134"/>
        <v>0.40652027957700565</v>
      </c>
      <c r="Q566" s="5">
        <v>0.56699999999999995</v>
      </c>
      <c r="U566" s="31">
        <f t="shared" si="120"/>
        <v>0.99482674999999987</v>
      </c>
    </row>
    <row r="567" spans="3:21" x14ac:dyDescent="0.2">
      <c r="C567" s="12">
        <f t="shared" si="121"/>
        <v>4243.0772351999994</v>
      </c>
      <c r="D567" s="13">
        <f t="shared" si="122"/>
        <v>24.507360000000023</v>
      </c>
      <c r="E567" s="12">
        <f t="shared" si="123"/>
        <v>-30.812899500000082</v>
      </c>
      <c r="F567" s="12">
        <f t="shared" si="124"/>
        <v>1140.6814560000003</v>
      </c>
      <c r="G567" s="12">
        <f t="shared" si="125"/>
        <v>5191.7934479999994</v>
      </c>
      <c r="H567" s="12">
        <f t="shared" si="126"/>
        <v>4876.9646400000011</v>
      </c>
      <c r="I567" s="12">
        <f t="shared" si="127"/>
        <v>24.26228640000005</v>
      </c>
      <c r="J567" s="22">
        <f t="shared" si="128"/>
        <v>1630881.4701550198</v>
      </c>
      <c r="K567" s="22">
        <f t="shared" si="129"/>
        <v>1563998.2688947199</v>
      </c>
      <c r="L567" s="22">
        <f t="shared" si="130"/>
        <v>66883.201260299888</v>
      </c>
      <c r="M567" s="22">
        <f t="shared" si="131"/>
        <v>1930805.2867727999</v>
      </c>
      <c r="N567" s="12">
        <f t="shared" si="132"/>
        <v>0.95898953879588655</v>
      </c>
      <c r="O567" s="12">
        <f t="shared" si="133"/>
        <v>0.55247891791846637</v>
      </c>
      <c r="P567" s="13">
        <f t="shared" si="134"/>
        <v>0.40651062087742018</v>
      </c>
      <c r="Q567" s="3">
        <v>0.56799999999999995</v>
      </c>
      <c r="U567" s="31">
        <f t="shared" si="120"/>
        <v>0.99482674999999987</v>
      </c>
    </row>
    <row r="568" spans="3:21" x14ac:dyDescent="0.2">
      <c r="C568" s="12">
        <f t="shared" si="121"/>
        <v>4250.5474415999997</v>
      </c>
      <c r="D568" s="13">
        <f t="shared" si="122"/>
        <v>24.450630000000022</v>
      </c>
      <c r="E568" s="12">
        <f t="shared" si="123"/>
        <v>-30.869629500000084</v>
      </c>
      <c r="F568" s="12">
        <f t="shared" si="124"/>
        <v>1142.6896980000004</v>
      </c>
      <c r="G568" s="12">
        <f t="shared" si="125"/>
        <v>5201.131206</v>
      </c>
      <c r="H568" s="12">
        <f t="shared" si="126"/>
        <v>4865.6753699999999</v>
      </c>
      <c r="I568" s="12">
        <f t="shared" si="127"/>
        <v>24.206123700000049</v>
      </c>
      <c r="J568" s="22">
        <f t="shared" si="128"/>
        <v>1633753.3014855599</v>
      </c>
      <c r="K568" s="22">
        <f t="shared" si="129"/>
        <v>1566751.78697376</v>
      </c>
      <c r="L568" s="22">
        <f t="shared" si="130"/>
        <v>67001.514511799905</v>
      </c>
      <c r="M568" s="22">
        <f t="shared" si="131"/>
        <v>1934277.3080016002</v>
      </c>
      <c r="N568" s="12">
        <f t="shared" si="132"/>
        <v>0.95898920941682209</v>
      </c>
      <c r="O568" s="12">
        <f t="shared" si="133"/>
        <v>0.55248821290221628</v>
      </c>
      <c r="P568" s="13">
        <f t="shared" si="134"/>
        <v>0.40650099651460581</v>
      </c>
      <c r="Q568" s="5">
        <v>0.56899999999999995</v>
      </c>
      <c r="U568" s="31">
        <f t="shared" si="120"/>
        <v>0.99482674999999987</v>
      </c>
    </row>
    <row r="569" spans="3:21" x14ac:dyDescent="0.2">
      <c r="C569" s="12">
        <f t="shared" si="121"/>
        <v>4258.017648</v>
      </c>
      <c r="D569" s="13">
        <f t="shared" si="122"/>
        <v>24.393900000000023</v>
      </c>
      <c r="E569" s="12">
        <f t="shared" si="123"/>
        <v>-30.926359500000082</v>
      </c>
      <c r="F569" s="12">
        <f t="shared" si="124"/>
        <v>1144.6979400000002</v>
      </c>
      <c r="G569" s="12">
        <f t="shared" si="125"/>
        <v>5210.4689639999997</v>
      </c>
      <c r="H569" s="12">
        <f t="shared" si="126"/>
        <v>4854.3861000000006</v>
      </c>
      <c r="I569" s="12">
        <f t="shared" si="127"/>
        <v>24.149961000000051</v>
      </c>
      <c r="J569" s="22">
        <f t="shared" si="128"/>
        <v>1636625.1328161</v>
      </c>
      <c r="K569" s="22">
        <f t="shared" si="129"/>
        <v>1569505.3050528001</v>
      </c>
      <c r="L569" s="22">
        <f t="shared" si="130"/>
        <v>67119.827763299923</v>
      </c>
      <c r="M569" s="22">
        <f t="shared" si="131"/>
        <v>1937749.3292304</v>
      </c>
      <c r="N569" s="12">
        <f t="shared" si="132"/>
        <v>0.95898888119369863</v>
      </c>
      <c r="O569" s="12">
        <f t="shared" si="133"/>
        <v>0.55249747488791334</v>
      </c>
      <c r="P569" s="13">
        <f t="shared" si="134"/>
        <v>0.40649140630578529</v>
      </c>
      <c r="Q569" s="3">
        <v>0.56999999999999995</v>
      </c>
      <c r="U569" s="31">
        <f t="shared" si="120"/>
        <v>0.99482674999999987</v>
      </c>
    </row>
    <row r="570" spans="3:21" x14ac:dyDescent="0.2">
      <c r="C570" s="12">
        <f t="shared" si="121"/>
        <v>4265.4878544000003</v>
      </c>
      <c r="D570" s="13">
        <f t="shared" si="122"/>
        <v>24.337170000000022</v>
      </c>
      <c r="E570" s="12">
        <f t="shared" si="123"/>
        <v>-30.983089500000084</v>
      </c>
      <c r="F570" s="12">
        <f t="shared" si="124"/>
        <v>1146.7061820000004</v>
      </c>
      <c r="G570" s="12">
        <f t="shared" si="125"/>
        <v>5219.8067220000003</v>
      </c>
      <c r="H570" s="12">
        <f t="shared" si="126"/>
        <v>4843.0968300000004</v>
      </c>
      <c r="I570" s="12">
        <f t="shared" si="127"/>
        <v>24.093798300000046</v>
      </c>
      <c r="J570" s="22">
        <f t="shared" si="128"/>
        <v>1639496.9641466402</v>
      </c>
      <c r="K570" s="22">
        <f t="shared" si="129"/>
        <v>1572258.8231318402</v>
      </c>
      <c r="L570" s="22">
        <f t="shared" si="130"/>
        <v>67238.141014799941</v>
      </c>
      <c r="M570" s="22">
        <f t="shared" si="131"/>
        <v>1941221.3504592001</v>
      </c>
      <c r="N570" s="12">
        <f t="shared" si="132"/>
        <v>0.95898855412044182</v>
      </c>
      <c r="O570" s="12">
        <f t="shared" si="133"/>
        <v>0.55250670405096558</v>
      </c>
      <c r="P570" s="13">
        <f t="shared" si="134"/>
        <v>0.40648185006947624</v>
      </c>
      <c r="Q570" s="5">
        <v>0.57099999999999995</v>
      </c>
      <c r="U570" s="31">
        <f t="shared" si="120"/>
        <v>0.99482674999999987</v>
      </c>
    </row>
    <row r="571" spans="3:21" x14ac:dyDescent="0.2">
      <c r="C571" s="12">
        <f t="shared" si="121"/>
        <v>4272.9580607999997</v>
      </c>
      <c r="D571" s="13">
        <f t="shared" si="122"/>
        <v>24.280440000000024</v>
      </c>
      <c r="E571" s="12">
        <f t="shared" si="123"/>
        <v>-31.039819500000082</v>
      </c>
      <c r="F571" s="12">
        <f t="shared" si="124"/>
        <v>1148.7144240000002</v>
      </c>
      <c r="G571" s="12">
        <f t="shared" si="125"/>
        <v>5229.1444799999999</v>
      </c>
      <c r="H571" s="12">
        <f t="shared" si="126"/>
        <v>4831.8075600000011</v>
      </c>
      <c r="I571" s="12">
        <f t="shared" si="127"/>
        <v>24.037635600000048</v>
      </c>
      <c r="J571" s="22">
        <f t="shared" si="128"/>
        <v>1642368.79547718</v>
      </c>
      <c r="K571" s="22">
        <f t="shared" si="129"/>
        <v>1575012.3412108801</v>
      </c>
      <c r="L571" s="22">
        <f t="shared" si="130"/>
        <v>67356.454266299959</v>
      </c>
      <c r="M571" s="22">
        <f t="shared" si="131"/>
        <v>1944693.3716880002</v>
      </c>
      <c r="N571" s="12">
        <f t="shared" si="132"/>
        <v>0.9589882281910197</v>
      </c>
      <c r="O571" s="12">
        <f t="shared" si="133"/>
        <v>0.55251590056553979</v>
      </c>
      <c r="P571" s="13">
        <f t="shared" si="134"/>
        <v>0.40647232762547991</v>
      </c>
      <c r="Q571" s="3">
        <v>0.57199999999999995</v>
      </c>
      <c r="U571" s="31">
        <f t="shared" si="120"/>
        <v>0.99482674999999987</v>
      </c>
    </row>
    <row r="572" spans="3:21" x14ac:dyDescent="0.2">
      <c r="C572" s="12">
        <f t="shared" si="121"/>
        <v>4280.4282671999999</v>
      </c>
      <c r="D572" s="13">
        <f t="shared" si="122"/>
        <v>24.223710000000022</v>
      </c>
      <c r="E572" s="12">
        <f t="shared" si="123"/>
        <v>-31.096549500000084</v>
      </c>
      <c r="F572" s="12">
        <f t="shared" si="124"/>
        <v>1150.7226660000003</v>
      </c>
      <c r="G572" s="12">
        <f t="shared" si="125"/>
        <v>5238.4822379999996</v>
      </c>
      <c r="H572" s="12">
        <f t="shared" si="126"/>
        <v>4820.5182900000009</v>
      </c>
      <c r="I572" s="12">
        <f t="shared" si="127"/>
        <v>23.98147290000005</v>
      </c>
      <c r="J572" s="22">
        <f t="shared" si="128"/>
        <v>1645240.6268077199</v>
      </c>
      <c r="K572" s="22">
        <f t="shared" si="129"/>
        <v>1577765.8592899202</v>
      </c>
      <c r="L572" s="22">
        <f t="shared" si="130"/>
        <v>67474.767517799744</v>
      </c>
      <c r="M572" s="22">
        <f t="shared" si="131"/>
        <v>1948165.3929168</v>
      </c>
      <c r="N572" s="12">
        <f t="shared" si="132"/>
        <v>0.95898790339944262</v>
      </c>
      <c r="O572" s="12">
        <f t="shared" si="133"/>
        <v>0.55252506460457262</v>
      </c>
      <c r="P572" s="13">
        <f t="shared" si="134"/>
        <v>0.40646283879487</v>
      </c>
      <c r="Q572" s="5">
        <v>0.57299999999999995</v>
      </c>
      <c r="U572" s="31">
        <f t="shared" si="120"/>
        <v>0.99482674999999987</v>
      </c>
    </row>
    <row r="573" spans="3:21" x14ac:dyDescent="0.2">
      <c r="C573" s="12">
        <f t="shared" si="121"/>
        <v>4287.8984735999993</v>
      </c>
      <c r="D573" s="13">
        <f t="shared" si="122"/>
        <v>24.166980000000024</v>
      </c>
      <c r="E573" s="12">
        <f t="shared" si="123"/>
        <v>-31.153279500000082</v>
      </c>
      <c r="F573" s="12">
        <f t="shared" si="124"/>
        <v>1152.7309080000002</v>
      </c>
      <c r="G573" s="12">
        <f t="shared" si="125"/>
        <v>5247.8199959999993</v>
      </c>
      <c r="H573" s="12">
        <f t="shared" si="126"/>
        <v>4809.2290200000007</v>
      </c>
      <c r="I573" s="12">
        <f t="shared" si="127"/>
        <v>23.925310200000052</v>
      </c>
      <c r="J573" s="22">
        <f t="shared" si="128"/>
        <v>1648112.4581382598</v>
      </c>
      <c r="K573" s="22">
        <f t="shared" si="129"/>
        <v>1580519.3773689598</v>
      </c>
      <c r="L573" s="22">
        <f t="shared" si="130"/>
        <v>67593.080769299995</v>
      </c>
      <c r="M573" s="22">
        <f t="shared" si="131"/>
        <v>1951637.4141455998</v>
      </c>
      <c r="N573" s="12">
        <f t="shared" si="132"/>
        <v>0.95898757973976212</v>
      </c>
      <c r="O573" s="12">
        <f t="shared" si="133"/>
        <v>0.55253419633978196</v>
      </c>
      <c r="P573" s="13">
        <f t="shared" si="134"/>
        <v>0.40645338339998016</v>
      </c>
      <c r="Q573" s="3">
        <v>0.57399999999999995</v>
      </c>
      <c r="U573" s="31">
        <f t="shared" si="120"/>
        <v>0.99482674999999987</v>
      </c>
    </row>
    <row r="574" spans="3:21" x14ac:dyDescent="0.2">
      <c r="C574" s="12">
        <f t="shared" si="121"/>
        <v>4295.3686799999996</v>
      </c>
      <c r="D574" s="13">
        <f t="shared" si="122"/>
        <v>24.110250000000025</v>
      </c>
      <c r="E574" s="12">
        <f t="shared" si="123"/>
        <v>-31.210009500000083</v>
      </c>
      <c r="F574" s="12">
        <f t="shared" si="124"/>
        <v>1154.7391500000003</v>
      </c>
      <c r="G574" s="12">
        <f t="shared" si="125"/>
        <v>5257.1577539999998</v>
      </c>
      <c r="H574" s="12">
        <f t="shared" si="126"/>
        <v>4797.9397500000005</v>
      </c>
      <c r="I574" s="12">
        <f t="shared" si="127"/>
        <v>23.86914750000005</v>
      </c>
      <c r="J574" s="22">
        <f t="shared" si="128"/>
        <v>1650984.2894688</v>
      </c>
      <c r="K574" s="22">
        <f t="shared" si="129"/>
        <v>1583272.8954479999</v>
      </c>
      <c r="L574" s="22">
        <f t="shared" si="130"/>
        <v>67711.394020800013</v>
      </c>
      <c r="M574" s="22">
        <f t="shared" si="131"/>
        <v>1955109.4353744001</v>
      </c>
      <c r="N574" s="12">
        <f t="shared" si="132"/>
        <v>0.95898725720607192</v>
      </c>
      <c r="O574" s="12">
        <f t="shared" si="133"/>
        <v>0.55254329594167639</v>
      </c>
      <c r="P574" s="13">
        <f t="shared" si="134"/>
        <v>0.40644396126439553</v>
      </c>
      <c r="Q574" s="5">
        <v>0.57499999999999996</v>
      </c>
      <c r="U574" s="31">
        <f t="shared" si="120"/>
        <v>0.99482674999999987</v>
      </c>
    </row>
    <row r="575" spans="3:21" x14ac:dyDescent="0.2">
      <c r="C575" s="12">
        <f t="shared" si="121"/>
        <v>4302.8388863999999</v>
      </c>
      <c r="D575" s="13">
        <f t="shared" si="122"/>
        <v>24.053520000000024</v>
      </c>
      <c r="E575" s="12">
        <f t="shared" si="123"/>
        <v>-31.266739500000082</v>
      </c>
      <c r="F575" s="12">
        <f t="shared" si="124"/>
        <v>1156.7473920000002</v>
      </c>
      <c r="G575" s="12">
        <f t="shared" si="125"/>
        <v>5266.4955119999995</v>
      </c>
      <c r="H575" s="12">
        <f t="shared" si="126"/>
        <v>4786.6504800000002</v>
      </c>
      <c r="I575" s="12">
        <f t="shared" si="127"/>
        <v>23.812984800000052</v>
      </c>
      <c r="J575" s="22">
        <f t="shared" si="128"/>
        <v>1653856.1207993401</v>
      </c>
      <c r="K575" s="22">
        <f t="shared" si="129"/>
        <v>1586026.41352704</v>
      </c>
      <c r="L575" s="22">
        <f t="shared" si="130"/>
        <v>67829.707272300031</v>
      </c>
      <c r="M575" s="22">
        <f t="shared" si="131"/>
        <v>1958581.4566031999</v>
      </c>
      <c r="N575" s="12">
        <f t="shared" si="132"/>
        <v>0.95898693579250616</v>
      </c>
      <c r="O575" s="12">
        <f t="shared" si="133"/>
        <v>0.55255236357956727</v>
      </c>
      <c r="P575" s="13">
        <f t="shared" si="134"/>
        <v>0.40643457221293888</v>
      </c>
      <c r="Q575" s="3">
        <v>0.57599999999999996</v>
      </c>
      <c r="U575" s="31">
        <f t="shared" si="120"/>
        <v>0.99482674999999987</v>
      </c>
    </row>
    <row r="576" spans="3:21" x14ac:dyDescent="0.2">
      <c r="C576" s="12">
        <f t="shared" si="121"/>
        <v>4310.3090928000001</v>
      </c>
      <c r="D576" s="13">
        <f t="shared" si="122"/>
        <v>23.996790000000026</v>
      </c>
      <c r="E576" s="12">
        <f t="shared" si="123"/>
        <v>-31.323469500000083</v>
      </c>
      <c r="F576" s="12">
        <f t="shared" si="124"/>
        <v>1158.7556340000003</v>
      </c>
      <c r="G576" s="12">
        <f t="shared" si="125"/>
        <v>5275.8332700000001</v>
      </c>
      <c r="H576" s="12">
        <f t="shared" si="126"/>
        <v>4775.3612100000009</v>
      </c>
      <c r="I576" s="12">
        <f t="shared" si="127"/>
        <v>23.756822100000047</v>
      </c>
      <c r="J576" s="22">
        <f t="shared" si="128"/>
        <v>1656727.9521298802</v>
      </c>
      <c r="K576" s="22">
        <f t="shared" si="129"/>
        <v>1588779.9316060802</v>
      </c>
      <c r="L576" s="22">
        <f t="shared" si="130"/>
        <v>67948.020523800049</v>
      </c>
      <c r="M576" s="22">
        <f t="shared" si="131"/>
        <v>1962053.477832</v>
      </c>
      <c r="N576" s="12">
        <f t="shared" si="132"/>
        <v>0.95898661549323994</v>
      </c>
      <c r="O576" s="12">
        <f t="shared" si="133"/>
        <v>0.55256139942157834</v>
      </c>
      <c r="P576" s="13">
        <f t="shared" si="134"/>
        <v>0.4064252160716616</v>
      </c>
      <c r="Q576" s="5">
        <v>0.57699999999999996</v>
      </c>
      <c r="U576" s="31">
        <f t="shared" si="120"/>
        <v>0.99482674999999987</v>
      </c>
    </row>
    <row r="577" spans="17:17" x14ac:dyDescent="0.2">
      <c r="Q577" s="3">
        <v>0.57800000000000096</v>
      </c>
    </row>
  </sheetData>
  <mergeCells count="19">
    <mergeCell ref="U12:U13"/>
    <mergeCell ref="Q12:Q13"/>
    <mergeCell ref="I12:I13"/>
    <mergeCell ref="J12:J13"/>
    <mergeCell ref="K12:K13"/>
    <mergeCell ref="L12:L13"/>
    <mergeCell ref="M12:M13"/>
    <mergeCell ref="N12:N13"/>
    <mergeCell ref="O2:P2"/>
    <mergeCell ref="F8:G8"/>
    <mergeCell ref="B12:B13"/>
    <mergeCell ref="C12:C13"/>
    <mergeCell ref="D12:D13"/>
    <mergeCell ref="E12:E13"/>
    <mergeCell ref="F12:F13"/>
    <mergeCell ref="G12:G13"/>
    <mergeCell ref="H12:H13"/>
    <mergeCell ref="O12:O13"/>
    <mergeCell ref="P12:P13"/>
  </mergeCells>
  <pageMargins left="0.7" right="0.7" top="0.75" bottom="0.75" header="0.3" footer="0.3"/>
  <pageSetup orientation="portrait" horizontalDpi="4294967292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M21"/>
  <sheetViews>
    <sheetView workbookViewId="0">
      <selection activeCell="A21" sqref="A21"/>
    </sheetView>
  </sheetViews>
  <sheetFormatPr baseColWidth="10" defaultColWidth="8.83203125" defaultRowHeight="15" x14ac:dyDescent="0.2"/>
  <cols>
    <col min="1" max="1" width="30.6640625" style="40" customWidth="1"/>
    <col min="2" max="2" width="20.6640625" customWidth="1"/>
    <col min="3" max="3" width="20.1640625" customWidth="1"/>
  </cols>
  <sheetData>
    <row r="1" spans="1:13" x14ac:dyDescent="0.2">
      <c r="B1" s="41" t="s">
        <v>61</v>
      </c>
      <c r="C1" s="41" t="s">
        <v>62</v>
      </c>
    </row>
    <row r="2" spans="1:13" ht="16" x14ac:dyDescent="0.2">
      <c r="A2" s="42" t="s">
        <v>63</v>
      </c>
      <c r="B2">
        <v>0.7</v>
      </c>
      <c r="C2">
        <v>1.4999999999999999E-2</v>
      </c>
    </row>
    <row r="3" spans="1:13" ht="15" customHeight="1" x14ac:dyDescent="0.2"/>
    <row r="4" spans="1:13" s="44" customFormat="1" ht="10.5" customHeight="1" x14ac:dyDescent="0.2">
      <c r="A4" s="43"/>
    </row>
    <row r="6" spans="1:13" ht="16" x14ac:dyDescent="0.2">
      <c r="A6" s="42" t="s">
        <v>64</v>
      </c>
      <c r="B6" t="s">
        <v>65</v>
      </c>
      <c r="C6">
        <f>B2</f>
        <v>0.7</v>
      </c>
      <c r="D6" t="s">
        <v>66</v>
      </c>
      <c r="E6">
        <f>(2*B2)/(1-B2)</f>
        <v>4.6666666666666661</v>
      </c>
    </row>
    <row r="8" spans="1:13" ht="16" x14ac:dyDescent="0.2">
      <c r="A8" s="42" t="s">
        <v>67</v>
      </c>
      <c r="B8" t="s">
        <v>68</v>
      </c>
      <c r="D8" t="s">
        <v>69</v>
      </c>
      <c r="E8">
        <f>(2-(C2*2))/C2</f>
        <v>131.33333333333334</v>
      </c>
    </row>
    <row r="16" spans="1:13" x14ac:dyDescent="0.2">
      <c r="I16" t="s">
        <v>56</v>
      </c>
      <c r="J16" t="s">
        <v>57</v>
      </c>
      <c r="K16" t="s">
        <v>58</v>
      </c>
      <c r="L16" t="s">
        <v>59</v>
      </c>
      <c r="M16" t="s">
        <v>60</v>
      </c>
    </row>
    <row r="17" spans="1:13" x14ac:dyDescent="0.2">
      <c r="G17" s="187" t="s">
        <v>72</v>
      </c>
      <c r="H17" s="187"/>
      <c r="I17">
        <f ca="1">_xlfn.GAMMA.INV(RAND(),L17,M17)</f>
        <v>11067.241740639833</v>
      </c>
      <c r="J17">
        <v>11000</v>
      </c>
      <c r="K17">
        <v>300</v>
      </c>
      <c r="L17">
        <f>(J17/K17)^2</f>
        <v>1344.4444444444443</v>
      </c>
      <c r="M17">
        <f>(K17^2)/J17</f>
        <v>8.1818181818181817</v>
      </c>
    </row>
    <row r="20" spans="1:13" x14ac:dyDescent="0.2">
      <c r="G20" s="187" t="s">
        <v>71</v>
      </c>
      <c r="H20" s="187"/>
      <c r="I20">
        <f ca="1">_xlfn.BETA.INV(RAND(),L20,M20,0,1)</f>
        <v>0.64882686916927779</v>
      </c>
      <c r="J20">
        <v>0.7</v>
      </c>
      <c r="K20">
        <v>0.02</v>
      </c>
      <c r="L20">
        <f>(2*J20)/(1-J20)</f>
        <v>4.6666666666666661</v>
      </c>
      <c r="M20">
        <v>2</v>
      </c>
    </row>
    <row r="21" spans="1:13" ht="80" x14ac:dyDescent="0.2">
      <c r="A21" s="45" t="s">
        <v>70</v>
      </c>
    </row>
  </sheetData>
  <mergeCells count="2">
    <mergeCell ref="G17:H17"/>
    <mergeCell ref="G20:H20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S47"/>
  <sheetViews>
    <sheetView showGridLines="0" topLeftCell="B1" zoomScaleNormal="100" workbookViewId="0">
      <selection activeCell="B4" sqref="B4"/>
    </sheetView>
  </sheetViews>
  <sheetFormatPr baseColWidth="10" defaultColWidth="8.83203125" defaultRowHeight="15" x14ac:dyDescent="0.2"/>
  <cols>
    <col min="1" max="1" width="4.1640625" customWidth="1"/>
    <col min="2" max="2" width="21.6640625" customWidth="1"/>
    <col min="3" max="3" width="12" bestFit="1" customWidth="1"/>
    <col min="4" max="4" width="18.33203125" bestFit="1" customWidth="1"/>
    <col min="5" max="5" width="12.1640625" bestFit="1" customWidth="1"/>
    <col min="6" max="6" width="9.33203125" bestFit="1" customWidth="1"/>
    <col min="7" max="7" width="9.6640625" bestFit="1" customWidth="1"/>
    <col min="8" max="9" width="12.33203125" bestFit="1" customWidth="1"/>
    <col min="10" max="10" width="10.5" bestFit="1" customWidth="1"/>
    <col min="11" max="11" width="11.5" customWidth="1"/>
    <col min="12" max="12" width="8.83203125" customWidth="1"/>
    <col min="13" max="13" width="15.33203125" customWidth="1"/>
    <col min="14" max="14" width="8.83203125" customWidth="1"/>
    <col min="15" max="15" width="9.6640625" customWidth="1"/>
    <col min="16" max="16" width="8.5" customWidth="1"/>
    <col min="17" max="17" width="15" customWidth="1"/>
    <col min="18" max="19" width="9.1640625" bestFit="1" customWidth="1"/>
  </cols>
  <sheetData>
    <row r="1" spans="2:19" s="101" customFormat="1" x14ac:dyDescent="0.2">
      <c r="E1" s="166" t="s">
        <v>116</v>
      </c>
      <c r="F1" s="166"/>
      <c r="G1" s="166"/>
      <c r="H1" s="166"/>
      <c r="I1" s="166"/>
      <c r="J1" s="166"/>
      <c r="K1" s="166"/>
      <c r="L1" s="166"/>
    </row>
    <row r="2" spans="2:19" s="101" customFormat="1" ht="16" thickBot="1" x14ac:dyDescent="0.25">
      <c r="E2" s="166"/>
      <c r="F2" s="166"/>
      <c r="G2" s="166"/>
      <c r="H2" s="166"/>
      <c r="I2" s="166"/>
      <c r="J2" s="166"/>
      <c r="K2" s="166"/>
      <c r="L2" s="166"/>
    </row>
    <row r="3" spans="2:19" ht="16" thickBot="1" x14ac:dyDescent="0.25">
      <c r="B3" s="102"/>
      <c r="C3" s="103">
        <v>3</v>
      </c>
      <c r="I3" s="70"/>
      <c r="J3" s="70"/>
      <c r="K3" s="70"/>
      <c r="L3" s="70"/>
      <c r="M3" s="207" t="s">
        <v>104</v>
      </c>
      <c r="N3" s="208"/>
      <c r="O3" s="209"/>
      <c r="Q3" s="210" t="s">
        <v>105</v>
      </c>
      <c r="R3" s="211"/>
      <c r="S3" s="212"/>
    </row>
    <row r="4" spans="2:19" x14ac:dyDescent="0.2">
      <c r="B4" s="104"/>
      <c r="C4" s="105"/>
      <c r="I4" s="188" t="s">
        <v>147</v>
      </c>
      <c r="J4" s="188"/>
      <c r="K4" s="188"/>
      <c r="M4" s="83" t="s">
        <v>18</v>
      </c>
      <c r="N4" s="82" t="s">
        <v>103</v>
      </c>
      <c r="O4" s="84" t="s">
        <v>75</v>
      </c>
      <c r="Q4" s="83" t="s">
        <v>18</v>
      </c>
      <c r="R4" s="82" t="s">
        <v>103</v>
      </c>
      <c r="S4" s="84" t="s">
        <v>75</v>
      </c>
    </row>
    <row r="5" spans="2:19" x14ac:dyDescent="0.2">
      <c r="B5" s="104"/>
      <c r="C5" s="105"/>
      <c r="I5" s="188" t="s">
        <v>148</v>
      </c>
      <c r="J5" s="188"/>
      <c r="K5" s="188"/>
      <c r="M5" s="85" t="s">
        <v>118</v>
      </c>
      <c r="N5" s="62" t="e">
        <f>AVERAGE('PSA1'!D3:D1002)</f>
        <v>#DIV/0!</v>
      </c>
      <c r="O5" s="114" t="e">
        <f>_xlfn.STDEV.S('PSA1'!D3:D1002)</f>
        <v>#DIV/0!</v>
      </c>
      <c r="Q5" s="85" t="s">
        <v>102</v>
      </c>
      <c r="R5" s="88" t="e">
        <f>AVERAGE('PSA1'!J3:J1002)</f>
        <v>#DIV/0!</v>
      </c>
      <c r="S5" s="89" t="e">
        <f>_xlfn.STDEV.S('PSA1'!J3:J1002)</f>
        <v>#DIV/0!</v>
      </c>
    </row>
    <row r="6" spans="2:19" ht="16" thickBot="1" x14ac:dyDescent="0.25">
      <c r="B6" s="106"/>
      <c r="C6" s="107"/>
      <c r="M6" s="85" t="s">
        <v>52</v>
      </c>
      <c r="N6" s="8" t="e">
        <f>AVERAGE('PSA1'!F3:F1002)</f>
        <v>#DIV/0!</v>
      </c>
      <c r="O6" s="87" t="e">
        <f>_xlfn.STDEV.S('PSA1'!F3:F1002)</f>
        <v>#DIV/0!</v>
      </c>
      <c r="Q6" s="85" t="s">
        <v>52</v>
      </c>
      <c r="R6" s="88" t="e">
        <f>AVERAGE('PSA1'!L3:L1002)</f>
        <v>#DIV/0!</v>
      </c>
      <c r="S6" s="89" t="e">
        <f>_xlfn.STDEV.S('PSA1'!L3:L1002)</f>
        <v>#DIV/0!</v>
      </c>
    </row>
    <row r="7" spans="2:19" x14ac:dyDescent="0.2">
      <c r="I7" s="70"/>
      <c r="J7" s="70"/>
      <c r="K7" s="70"/>
      <c r="M7" s="85" t="s">
        <v>95</v>
      </c>
      <c r="N7" s="62" t="e">
        <f>AVERAGE('PSA1'!H3:H1002)</f>
        <v>#DIV/0!</v>
      </c>
      <c r="O7" s="87" t="e">
        <f>_xlfn.STDEV.S('PSA1'!H3:H1002)</f>
        <v>#DIV/0!</v>
      </c>
      <c r="Q7" s="85" t="s">
        <v>95</v>
      </c>
      <c r="R7" s="88" t="e">
        <f>AVERAGE('PSA1'!N3:N1002)</f>
        <v>#DIV/0!</v>
      </c>
      <c r="S7" s="89" t="e">
        <f>_xlfn.STDEV.S('PSA1'!N3:N1002)</f>
        <v>#DIV/0!</v>
      </c>
    </row>
    <row r="8" spans="2:19" x14ac:dyDescent="0.2">
      <c r="B8" s="25" t="s">
        <v>46</v>
      </c>
      <c r="C8" s="79" t="s">
        <v>96</v>
      </c>
      <c r="D8" s="80" t="s">
        <v>59</v>
      </c>
      <c r="E8" s="79" t="s">
        <v>73</v>
      </c>
      <c r="G8" s="196" t="s">
        <v>26</v>
      </c>
      <c r="H8" s="197"/>
      <c r="I8" s="79" t="s">
        <v>96</v>
      </c>
      <c r="J8" s="79" t="s">
        <v>59</v>
      </c>
      <c r="K8" s="79" t="s">
        <v>73</v>
      </c>
      <c r="M8" s="86"/>
      <c r="N8" s="81"/>
      <c r="O8" s="75"/>
      <c r="Q8" s="86"/>
      <c r="R8" s="81"/>
      <c r="S8" s="75"/>
    </row>
    <row r="9" spans="2:19" x14ac:dyDescent="0.2">
      <c r="B9" s="4" t="s">
        <v>86</v>
      </c>
      <c r="C9" s="62">
        <f ca="1">_xlfn.GAMMA.INV(RAND(),D9,E9)</f>
        <v>11013.039856930594</v>
      </c>
      <c r="D9" s="62">
        <f>(P36/Q36)^2</f>
        <v>302500</v>
      </c>
      <c r="E9" s="62">
        <f>(Q36^2)/P36</f>
        <v>3.6363636363636362E-2</v>
      </c>
      <c r="G9" s="160" t="s">
        <v>24</v>
      </c>
      <c r="H9" s="162"/>
      <c r="I9" s="62">
        <f ca="1">_xlfn.GAMMA.INV(RAND(),J9,K9)</f>
        <v>8.119536259366491</v>
      </c>
      <c r="J9" s="62">
        <f>(O41/P41)^2</f>
        <v>114.48999999999998</v>
      </c>
      <c r="K9" s="62">
        <f>(P41^2)/O41</f>
        <v>9.3457943925233655E-2</v>
      </c>
      <c r="M9" s="86" t="s">
        <v>133</v>
      </c>
      <c r="N9" s="62" t="e">
        <f>AVERAGE('PSA1'!P3:P1002)</f>
        <v>#DIV/0!</v>
      </c>
      <c r="O9" s="87" t="e">
        <f>_xlfn.STDEV.S('PSA1'!P3:P1002)</f>
        <v>#DIV/0!</v>
      </c>
      <c r="Q9" s="86" t="s">
        <v>77</v>
      </c>
      <c r="R9" s="62" t="e">
        <f>AVERAGE('PSA1'!R3:R1002)</f>
        <v>#DIV/0!</v>
      </c>
      <c r="S9" s="87" t="e">
        <f>_xlfn.STDEV.S('PSA1'!R3:R1002)</f>
        <v>#DIV/0!</v>
      </c>
    </row>
    <row r="10" spans="2:19" ht="16" thickBot="1" x14ac:dyDescent="0.25">
      <c r="B10" s="30" t="s">
        <v>34</v>
      </c>
      <c r="C10" s="62">
        <f ca="1">_xlfn.GAMMA.INV(RAND(),D10,E10)</f>
        <v>10986.63882380396</v>
      </c>
      <c r="D10" s="62">
        <f>(P37/Q37)^2</f>
        <v>302500</v>
      </c>
      <c r="E10" s="62">
        <f>(Q37^2)/P37</f>
        <v>3.6363636363636362E-2</v>
      </c>
      <c r="G10" s="160" t="s">
        <v>23</v>
      </c>
      <c r="H10" s="162"/>
      <c r="I10" s="62">
        <f ca="1">_xlfn.GAMMA.INV(RAND(),J10,K10)</f>
        <v>52.38942448486246</v>
      </c>
      <c r="J10" s="62">
        <f>(O42/P42)^2</f>
        <v>718.24</v>
      </c>
      <c r="K10" s="62">
        <f>(P42^2)/O42</f>
        <v>7.4626865671641784E-2</v>
      </c>
      <c r="M10" s="108"/>
      <c r="N10" s="109"/>
      <c r="O10" s="110"/>
      <c r="Q10" s="108"/>
      <c r="R10" s="109"/>
      <c r="S10" s="110"/>
    </row>
    <row r="11" spans="2:19" x14ac:dyDescent="0.2">
      <c r="B11" s="30" t="s">
        <v>40</v>
      </c>
      <c r="C11" s="62">
        <f ca="1">_xlfn.BETA.INV(RAND(),D11,E11,0,1)</f>
        <v>3.0054924564358099E-2</v>
      </c>
      <c r="D11" s="62">
        <v>2</v>
      </c>
      <c r="E11" s="62">
        <f>(2-([0]!Prev*2))/[0]!Prev</f>
        <v>146.12620352540364</v>
      </c>
      <c r="G11" s="15" t="s">
        <v>22</v>
      </c>
      <c r="H11" s="15"/>
      <c r="I11" s="62">
        <f ca="1">53.6*I14</f>
        <v>197.16061783320893</v>
      </c>
      <c r="J11" s="62"/>
      <c r="K11" s="62"/>
      <c r="M11" s="102"/>
      <c r="N11" s="111"/>
      <c r="O11" s="111"/>
      <c r="P11" s="111"/>
      <c r="Q11" s="111"/>
      <c r="R11" s="111"/>
      <c r="S11" s="103"/>
    </row>
    <row r="12" spans="2:19" x14ac:dyDescent="0.2">
      <c r="B12" s="30" t="s">
        <v>35</v>
      </c>
      <c r="C12" s="62">
        <f ca="1">_xlfn.BETA.INV(RAND(),D12,E12,0,1)</f>
        <v>0.94219795335209022</v>
      </c>
      <c r="D12" s="62">
        <f>(2*[0]!SnTest1)/(1-[0]!SnTest1)</f>
        <v>7.5238095238095255</v>
      </c>
      <c r="E12" s="62">
        <v>2</v>
      </c>
      <c r="G12" s="160" t="s">
        <v>129</v>
      </c>
      <c r="H12" s="162"/>
      <c r="I12" s="62">
        <f ca="1">SUM(I10:I11)</f>
        <v>249.55004231807141</v>
      </c>
      <c r="J12" s="62"/>
      <c r="K12" s="62"/>
      <c r="M12" s="104"/>
      <c r="N12" s="112"/>
      <c r="O12" s="112"/>
      <c r="P12" s="112"/>
      <c r="Q12" s="112"/>
      <c r="R12" s="112"/>
      <c r="S12" s="105"/>
    </row>
    <row r="13" spans="2:19" x14ac:dyDescent="0.2">
      <c r="B13" s="30" t="s">
        <v>36</v>
      </c>
      <c r="C13" s="62">
        <f ca="1">_xlfn.BETA.INV(RAND(),D13,E13,0,1)</f>
        <v>0.9880941358973776</v>
      </c>
      <c r="D13" s="88">
        <f>(2*[0]!SpTest1)/(1-[0]!SpTest1)</f>
        <v>197.99999999999983</v>
      </c>
      <c r="E13" s="62">
        <v>2</v>
      </c>
      <c r="G13" s="15"/>
      <c r="H13" s="15"/>
      <c r="I13" s="62"/>
      <c r="J13" s="62"/>
      <c r="K13" s="62"/>
      <c r="M13" s="104"/>
      <c r="N13" s="112"/>
      <c r="O13" s="112"/>
      <c r="P13" s="112"/>
      <c r="Q13" s="112"/>
      <c r="R13" s="112"/>
      <c r="S13" s="105"/>
    </row>
    <row r="14" spans="2:19" x14ac:dyDescent="0.2">
      <c r="B14" s="30" t="s">
        <v>79</v>
      </c>
      <c r="C14" s="62">
        <f ca="1">_xlfn.BETA.INV(RAND(),D14,E14,0,1)</f>
        <v>0.8294138485688699</v>
      </c>
      <c r="D14" s="62">
        <f>(2*[0]!SnTest2)/(1-[0]!SnTest2)</f>
        <v>8.0000000000000018</v>
      </c>
      <c r="E14" s="62">
        <v>2</v>
      </c>
      <c r="G14" s="165" t="s">
        <v>20</v>
      </c>
      <c r="H14" s="165"/>
      <c r="I14" s="62">
        <f ca="1">_xlfn.GAMMA.INV(RAND(),J14,K14)</f>
        <v>3.6783697356941962</v>
      </c>
      <c r="J14" s="62">
        <f>(O43/P43)^2</f>
        <v>400</v>
      </c>
      <c r="K14" s="62">
        <f>(P43^2)/O43</f>
        <v>1.0000000000000002E-2</v>
      </c>
      <c r="M14" s="104"/>
      <c r="N14" s="112"/>
      <c r="O14" s="112"/>
      <c r="P14" s="112"/>
      <c r="Q14" s="112"/>
      <c r="R14" s="112"/>
      <c r="S14" s="105"/>
    </row>
    <row r="15" spans="2:19" ht="16" thickBot="1" x14ac:dyDescent="0.25">
      <c r="B15" s="30" t="s">
        <v>80</v>
      </c>
      <c r="C15" s="62">
        <f ca="1">_xlfn.BETA.INV(RAND(),D15,E15,0,1)</f>
        <v>0.99870635340366043</v>
      </c>
      <c r="D15" s="88">
        <f>(2*[0]!SpTest2)/(1-[0]!SpTest2)</f>
        <v>197.99999999999983</v>
      </c>
      <c r="E15" s="62">
        <v>2</v>
      </c>
      <c r="I15" s="3"/>
      <c r="J15" s="3"/>
      <c r="M15" s="104"/>
      <c r="N15" s="112"/>
      <c r="O15" s="112"/>
      <c r="P15" s="112"/>
      <c r="Q15" s="112"/>
      <c r="R15" s="112"/>
      <c r="S15" s="105"/>
    </row>
    <row r="16" spans="2:19" ht="14.25" customHeight="1" x14ac:dyDescent="0.2">
      <c r="B16" s="30" t="s">
        <v>39</v>
      </c>
      <c r="C16" s="62">
        <f>[0]!corr</f>
        <v>0</v>
      </c>
      <c r="D16" s="62"/>
      <c r="E16" s="62"/>
      <c r="F16" s="189" t="s">
        <v>97</v>
      </c>
      <c r="G16" s="190"/>
      <c r="H16" s="190"/>
      <c r="I16" s="190"/>
      <c r="J16" s="190"/>
      <c r="K16" s="191"/>
      <c r="M16" s="104"/>
      <c r="N16" s="112"/>
      <c r="O16" s="112"/>
      <c r="P16" s="112"/>
      <c r="Q16" s="112"/>
      <c r="R16" s="112"/>
      <c r="S16" s="105"/>
    </row>
    <row r="17" spans="2:19" ht="16" thickBot="1" x14ac:dyDescent="0.25">
      <c r="B17" s="39" t="s">
        <v>54</v>
      </c>
      <c r="C17" s="62">
        <f ca="1">_xlfn.BETA.INV(RAND(),D17,E17,0,1)</f>
        <v>0.21667117238352895</v>
      </c>
      <c r="D17" s="62">
        <v>2</v>
      </c>
      <c r="E17" s="62">
        <f>(2-([0]!Symptomatic*2))/[0]!Symptomatic</f>
        <v>12.285714285714285</v>
      </c>
      <c r="F17" s="71" t="s">
        <v>93</v>
      </c>
      <c r="G17" s="64">
        <f>'Main output'!C2</f>
        <v>1</v>
      </c>
      <c r="H17" s="192" t="s">
        <v>131</v>
      </c>
      <c r="I17" s="192"/>
      <c r="J17" s="192"/>
      <c r="K17" s="193"/>
      <c r="M17" s="106"/>
      <c r="N17" s="113"/>
      <c r="O17" s="113"/>
      <c r="P17" s="113"/>
      <c r="Q17" s="113"/>
      <c r="R17" s="113"/>
      <c r="S17" s="107"/>
    </row>
    <row r="18" spans="2:19" ht="16" thickBot="1" x14ac:dyDescent="0.25">
      <c r="B18" s="28" t="s">
        <v>44</v>
      </c>
      <c r="C18" s="117">
        <f ca="1">_xlfn.BETA.INV(RAND(),D18,E18,0,1)</f>
        <v>1.5692086982120151E-4</v>
      </c>
      <c r="D18" s="62">
        <v>2</v>
      </c>
      <c r="E18" s="62">
        <f>(2-([0]!Incid*2))/[0]!Incid</f>
        <v>4244.2845010615711</v>
      </c>
      <c r="F18" s="72" t="s">
        <v>89</v>
      </c>
      <c r="G18" s="73">
        <f>'Main output'!C3</f>
        <v>1</v>
      </c>
      <c r="H18" s="194" t="s">
        <v>92</v>
      </c>
      <c r="I18" s="194"/>
      <c r="J18" s="194"/>
      <c r="K18" s="195"/>
    </row>
    <row r="20" spans="2:19" ht="57" customHeight="1" x14ac:dyDescent="0.2">
      <c r="B20" s="181" t="s">
        <v>18</v>
      </c>
      <c r="C20" s="182" t="s">
        <v>126</v>
      </c>
      <c r="D20" s="182" t="s">
        <v>16</v>
      </c>
      <c r="E20" s="182" t="s">
        <v>15</v>
      </c>
      <c r="F20" s="182" t="s">
        <v>14</v>
      </c>
      <c r="G20" s="182" t="s">
        <v>13</v>
      </c>
      <c r="H20" s="182" t="s">
        <v>12</v>
      </c>
      <c r="I20" s="182" t="s">
        <v>11</v>
      </c>
      <c r="J20" s="186" t="s">
        <v>125</v>
      </c>
      <c r="K20" s="186" t="s">
        <v>122</v>
      </c>
      <c r="L20" s="186" t="s">
        <v>123</v>
      </c>
      <c r="M20" s="186" t="s">
        <v>124</v>
      </c>
      <c r="N20" s="183" t="s">
        <v>127</v>
      </c>
      <c r="O20" s="183" t="s">
        <v>128</v>
      </c>
      <c r="P20" s="183" t="s">
        <v>4</v>
      </c>
      <c r="Q20" s="183" t="s">
        <v>42</v>
      </c>
    </row>
    <row r="21" spans="2:19" x14ac:dyDescent="0.2">
      <c r="B21" s="181"/>
      <c r="C21" s="182"/>
      <c r="D21" s="182"/>
      <c r="E21" s="182"/>
      <c r="F21" s="182"/>
      <c r="G21" s="182"/>
      <c r="H21" s="182"/>
      <c r="I21" s="182"/>
      <c r="J21" s="186"/>
      <c r="K21" s="186"/>
      <c r="L21" s="186"/>
      <c r="M21" s="186"/>
      <c r="N21" s="183"/>
      <c r="O21" s="183"/>
      <c r="P21" s="183"/>
      <c r="Q21" s="183"/>
    </row>
    <row r="22" spans="2:19" ht="16" x14ac:dyDescent="0.2">
      <c r="B22" s="53" t="s">
        <v>53</v>
      </c>
      <c r="C22" s="56">
        <f ca="1">cohort*Prev*SnTest2</f>
        <v>273.87461015700177</v>
      </c>
      <c r="D22" s="56">
        <v>0</v>
      </c>
      <c r="E22" s="56">
        <f ca="1">cohort*(1-Prev)*(1-SpTest2)</f>
        <v>13.785662448655609</v>
      </c>
      <c r="F22" s="56">
        <v>0</v>
      </c>
      <c r="G22" s="56">
        <f ca="1">cohort*Prev*(1-SnTest2)</f>
        <v>56.327990908274209</v>
      </c>
      <c r="H22" s="56">
        <v>0</v>
      </c>
      <c r="I22" s="56">
        <f ca="1">cohort*(1-Prev)*SpTest2</f>
        <v>10642.650560290029</v>
      </c>
      <c r="J22" s="36">
        <f ca="1">(C22*AbsPos)+(E22*AbsPos)</f>
        <v>71785.633201969758</v>
      </c>
      <c r="K22" s="36">
        <f ca="1">C22*AbsPos</f>
        <v>68345.420554525102</v>
      </c>
      <c r="L22" s="37">
        <f ca="1">J22-K22</f>
        <v>3440.2126474446559</v>
      </c>
      <c r="M22" s="37">
        <f ca="1">G22*AbsPos</f>
        <v>14056.65251485177</v>
      </c>
      <c r="N22" s="33">
        <f ca="1">K22/J22</f>
        <v>0.95207658560640429</v>
      </c>
      <c r="O22" s="33">
        <f ca="1">M22/(M22+K22)</f>
        <v>0.1705861514311301</v>
      </c>
      <c r="P22" s="32">
        <f ca="1">N22-O22</f>
        <v>0.7814904341752742</v>
      </c>
      <c r="Q22" s="34">
        <f ca="1">(Prev*Total_SnParallel)+((1-Prev)*Total_SpParallel)</f>
        <v>0.98691579024535026</v>
      </c>
    </row>
    <row r="23" spans="2:19" ht="16" x14ac:dyDescent="0.2">
      <c r="B23" s="53" t="s">
        <v>52</v>
      </c>
      <c r="C23" s="56">
        <f ca="1">cohort_all*Prev*Symptomatic</f>
        <v>71.717309168230841</v>
      </c>
      <c r="D23" s="56">
        <v>0</v>
      </c>
      <c r="E23" s="57">
        <v>0</v>
      </c>
      <c r="F23" s="56">
        <v>0</v>
      </c>
      <c r="G23" s="56">
        <f ca="1">cohort_all*Prev*(1-Symptomatic)</f>
        <v>259.27877295608732</v>
      </c>
      <c r="H23" s="56">
        <v>0</v>
      </c>
      <c r="I23" s="56">
        <f ca="1">cohort_all*(1-Prev)</f>
        <v>10682.043774806276</v>
      </c>
      <c r="J23" s="36">
        <f ca="1">(C23*AbsPos)+(E23*AbsPos)</f>
        <v>17897.057537870216</v>
      </c>
      <c r="K23" s="36">
        <f ca="1">C23*AbsPos</f>
        <v>17897.057537870216</v>
      </c>
      <c r="L23" s="37">
        <f ca="1">J23-K23</f>
        <v>0</v>
      </c>
      <c r="M23" s="37">
        <f ca="1">G23*AbsPos</f>
        <v>64703.028763369221</v>
      </c>
      <c r="N23" s="33">
        <f ca="1">K23/J23</f>
        <v>1</v>
      </c>
      <c r="O23" s="33">
        <f ca="1">M23/(M23+K23)</f>
        <v>0.78332882761647105</v>
      </c>
      <c r="P23" s="32">
        <f ca="1">N23-O23</f>
        <v>0.21667117238352895</v>
      </c>
      <c r="Q23" s="34">
        <f ca="1">(Prev*Total_SnParallel)+((1-Prev)*Total_SpParallel)</f>
        <v>0.98691579024535026</v>
      </c>
    </row>
    <row r="24" spans="2:19" ht="18" hidden="1" customHeight="1" x14ac:dyDescent="0.2">
      <c r="B24" s="52" t="s">
        <v>3</v>
      </c>
      <c r="C24" s="58">
        <f ca="1">cohort*Prev*(SnTest1+SnTest2-(SnTest1* SnTest2)-(corr*(SnTest1*(1-SnTest1)* SnTest2*(1- SnTest2))^0.5))</f>
        <v>326.9467279072129</v>
      </c>
      <c r="D24" s="57">
        <v>0</v>
      </c>
      <c r="E24" s="57">
        <f ca="1">cohort*(1-Prev)*(1-(SpTest1*SpTest2)+corr*(SpTest1*(1-SpTest2)*SpTest2*(1-SpTest2))^0.5)</f>
        <v>140.49561371116707</v>
      </c>
      <c r="F24" s="57">
        <v>0</v>
      </c>
      <c r="G24" s="57">
        <f ca="1">cohort*Prev*(1-(SnTest1+SnTest2-(SnTest1* SnTest2)-(corr*(SnTest1*(1-SnTest1)* SnTest2*(1- SnTest2))^0.5)))</f>
        <v>3.2558731580631011</v>
      </c>
      <c r="H24" s="57">
        <v>0</v>
      </c>
      <c r="I24" s="58">
        <f ca="1">cohort*(1-Prev)*((SpTest1*SpTest2)+corr*(SpTest1*(1-SpTest2)*SpTest2*(1-SpTest2))^0.5)</f>
        <v>10515.940609027517</v>
      </c>
      <c r="J24" s="36">
        <f ca="1">(C24*$I$13)+(E24*$I$13)</f>
        <v>0</v>
      </c>
      <c r="K24" s="36">
        <f ca="1">C24*$I$13</f>
        <v>0</v>
      </c>
      <c r="L24" s="37">
        <f ca="1">J24-K24</f>
        <v>0</v>
      </c>
      <c r="M24" s="37">
        <f ca="1">G24*I13</f>
        <v>0</v>
      </c>
      <c r="N24" s="33" t="e">
        <f ca="1">K24/J24</f>
        <v>#DIV/0!</v>
      </c>
      <c r="O24" s="33" t="e">
        <f ca="1">M24/(M24+K24)</f>
        <v>#DIV/0!</v>
      </c>
      <c r="P24" s="32" t="e">
        <f ca="1">N24-O24</f>
        <v>#DIV/0!</v>
      </c>
      <c r="Q24" s="34">
        <f ca="1">(Prev*Total_SnParallel)+((1-Prev)*Total_SpParallel)</f>
        <v>0.98691579024535026</v>
      </c>
    </row>
    <row r="25" spans="2:19" ht="15" customHeight="1" x14ac:dyDescent="0.2">
      <c r="B25" s="53" t="s">
        <v>119</v>
      </c>
      <c r="C25" s="22">
        <f ca="1">cohort*Prev*SnTest1*((corr*(SQRT(SnTest1*(1-SnTest1)*SnTest2*(1-SnTest2)))+SnTest1*SnTest2)/SnTest1)</f>
        <v>258.04409716502863</v>
      </c>
      <c r="D25" s="59">
        <f ca="1">(1-Prev)*(1-SpTest1)*cohort</f>
        <v>126.87408148618952</v>
      </c>
      <c r="E25" s="22">
        <f ca="1">(cohort*(1-Prev)*(1-SpTest1))-TNTest2</f>
        <v>0.16413022367807173</v>
      </c>
      <c r="F25" s="22">
        <f ca="1">cohort*Prev*(1-SnTest1)</f>
        <v>19.086386150036226</v>
      </c>
      <c r="G25" s="22">
        <f ca="1">(cohort*Prev*SnTest1)-TPSeq</f>
        <v>53.072117750211135</v>
      </c>
      <c r="H25" s="22">
        <f ca="1">(1-Prev)*SpTest1*cohort</f>
        <v>10529.562141252494</v>
      </c>
      <c r="I25" s="22">
        <f ca="1">cohort*(1-Prev)*(1-SpTest1)*(SpTest2-(corr*(SQRT(SpTest1*(1-SpTest1)*SpTest2*(1-SpTest2)))+SpTest2*SpTest1))/(1-SpTest1)</f>
        <v>126.70995126251147</v>
      </c>
      <c r="J25" s="22">
        <f ca="1">(TPSeq*AbsPos)+(TNTest2*AbsTest1Posi)+(FPTest2*AbsPos)+(FNTest2*AbsTest1Posi)</f>
        <v>65895.62109985869</v>
      </c>
      <c r="K25" s="22">
        <f ca="1">(TPSeq*AbsPos)+(FNTest2*AbsTest1Posi)</f>
        <v>64825.836351895632</v>
      </c>
      <c r="L25" s="22">
        <f ca="1">J25-K25</f>
        <v>1069.7847479630582</v>
      </c>
      <c r="M25" s="22">
        <f ca="1">(FNTest1*AbsPos)+(FNTest2*(AbsPos-AbsTest1Posi))</f>
        <v>17576.236717481243</v>
      </c>
      <c r="N25" s="12">
        <f ca="1">K25/J25</f>
        <v>0.98376546529029751</v>
      </c>
      <c r="O25" s="12">
        <f ca="1">M25/(M25+K25)</f>
        <v>0.21329847736577284</v>
      </c>
      <c r="P25" s="13">
        <f ca="1">N25-O25</f>
        <v>0.77046698792452473</v>
      </c>
      <c r="Q25" s="31">
        <f ca="1">(Prev*Total_SnSeq)+((1-Prev)*Total_SpSeq)</f>
        <v>0.99341721928937643</v>
      </c>
    </row>
    <row r="26" spans="2:19" x14ac:dyDescent="0.2">
      <c r="B26" s="35" t="s">
        <v>2</v>
      </c>
      <c r="C26" s="57">
        <f ca="1">Cohort2ndRound*Prev2ndRound*SnTest1*((corr*(SQRT(SnTest1*(1-SnTest1)*SnTest2*(1-SnTest2)))+SnTest1*SnTest2)/SnTest1)</f>
        <v>57.705472188921647</v>
      </c>
      <c r="D26" s="57">
        <f ca="1">(1-Prev2ndRound)*(1-SpTest1)*Cohort2ndRound</f>
        <v>126.85208367728256</v>
      </c>
      <c r="E26" s="57">
        <f ca="1">(Cohort2ndRound*(1-Prev2ndRound)*(1-SpTest1))-TNTest2_2ndRound</f>
        <v>0.16410176628745887</v>
      </c>
      <c r="F26" s="60">
        <f ca="1">Cohort2ndRound*Prev2ndRound*(1-SnTest1)</f>
        <v>4.2682198014533776</v>
      </c>
      <c r="G26" s="60">
        <f ca="1">(Cohort2ndRound*Prev2ndRound*SnTest1)-TPs2ndRound</f>
        <v>11.868326570878182</v>
      </c>
      <c r="H26" s="60">
        <f ca="1">(1-Prev2ndRound)*SpTest1*Cohort2ndRound</f>
        <v>10527.736494176717</v>
      </c>
      <c r="I26" s="60">
        <f ca="1">Cohort2ndRound*(1-Prev2ndRound)*(1-SpTest1)*(SpTest2-(corr*(SQRT(SpTest1*(1-SpTest1)*SpTest2*(1-SpTest2)))+SpTest2*SpTest1))/(1-SpTest1)</f>
        <v>126.68798191099511</v>
      </c>
      <c r="J26" s="37"/>
      <c r="K26" s="37"/>
      <c r="L26" s="37"/>
      <c r="M26" s="37"/>
      <c r="N26" s="33"/>
      <c r="O26" s="33"/>
      <c r="P26" s="32"/>
      <c r="Q26" s="34"/>
    </row>
    <row r="27" spans="2:19" x14ac:dyDescent="0.2">
      <c r="B27" s="35" t="s">
        <v>1</v>
      </c>
      <c r="C27" s="57">
        <f ca="1">Cohort3rdRound*Prev3rdRound*SnTest1*((corr*(SQRT(SnTest1*(1-SnTest1)*SnTest2*(1-SnTest2)))+SnTest1*SnTest2)/SnTest1)</f>
        <v>13.918782293215409</v>
      </c>
      <c r="D27" s="57">
        <f ca="1">(1-Prev3rdRound)*(1-SpTest1)*Cohort3rdRound</f>
        <v>126.83014730829454</v>
      </c>
      <c r="E27" s="57">
        <f ca="1">(Cohort3rdRound*(1-Prev3rdRound)*(1-SpTest1))-TNTest2_3rdRound</f>
        <v>0.1640733883783696</v>
      </c>
      <c r="F27" s="60">
        <f ca="1">Cohort3rdRound*Prev3rdRound*(1-SnTest1)</f>
        <v>1.0295110661519888</v>
      </c>
      <c r="G27" s="60">
        <f ca="1">(Cohort3rdRound*Prev3rdRound*SnTest1)-TPs3rdRound</f>
        <v>2.862686110322672</v>
      </c>
      <c r="H27" s="60">
        <f ca="1">(1-Prev3rdRound)*SpTest1*Cohort3rdRound</f>
        <v>10525.915946136431</v>
      </c>
      <c r="I27" s="60">
        <f ca="1">Cohort3rdRound*(1-Prev3rdRound)*(1-SpTest1)*(SpTest2-(corr*(SQRT(SpTest1*(1-SpTest1)*SpTest2*(1-SpTest2)))+SpTest2*SpTest1))/(1-SpTest1)</f>
        <v>126.66607391991617</v>
      </c>
      <c r="J27" s="37"/>
      <c r="K27" s="37"/>
      <c r="L27" s="37"/>
      <c r="M27" s="37"/>
      <c r="N27" s="33"/>
      <c r="O27" s="33"/>
      <c r="P27" s="32"/>
      <c r="Q27" s="34"/>
    </row>
    <row r="28" spans="2:19" x14ac:dyDescent="0.2">
      <c r="B28" s="54" t="s">
        <v>0</v>
      </c>
      <c r="C28" s="57">
        <f t="shared" ref="C28:I28" ca="1" si="0">SUM(C25:C27)</f>
        <v>329.66835164716571</v>
      </c>
      <c r="D28" s="57">
        <f t="shared" ca="1" si="0"/>
        <v>380.55631247176666</v>
      </c>
      <c r="E28" s="57">
        <f t="shared" ca="1" si="0"/>
        <v>0.4923053783439002</v>
      </c>
      <c r="F28" s="57">
        <f t="shared" ca="1" si="0"/>
        <v>24.384117017641593</v>
      </c>
      <c r="G28" s="57">
        <f t="shared" ca="1" si="0"/>
        <v>67.803130431411986</v>
      </c>
      <c r="H28" s="57">
        <f t="shared" ca="1" si="0"/>
        <v>31583.21458156564</v>
      </c>
      <c r="I28" s="57">
        <f t="shared" ca="1" si="0"/>
        <v>380.06400709342273</v>
      </c>
      <c r="J28" s="37">
        <f ca="1">(C28*AbsPos)+(I28*AbsTest1Posi)+(E28*AbsPos)+(G28*AbsTest1Posi)</f>
        <v>86028.079394989749</v>
      </c>
      <c r="K28" s="37">
        <f ca="1">(C28*AbsPos)+(G28*AbsTest1Posi)</f>
        <v>82819.281080515444</v>
      </c>
      <c r="L28" s="37">
        <f ca="1">J28-K28</f>
        <v>3208.7983144743048</v>
      </c>
      <c r="M28" s="37">
        <f ca="1">(F28*AbsPos)+(G28*(AbsPos-AbsTest1Posi))</f>
        <v>22454.801526061434</v>
      </c>
      <c r="N28" s="33">
        <f ca="1">K28/J28</f>
        <v>0.96270057012732535</v>
      </c>
      <c r="O28" s="33">
        <f ca="1">M28/(M28+K28)</f>
        <v>0.21329847736577279</v>
      </c>
      <c r="P28" s="32">
        <f ca="1">N28-O28</f>
        <v>0.74940209276155256</v>
      </c>
      <c r="Q28" s="34">
        <f ca="1">(Prev3rdRound*Total_SnSeq)+((1-Prev3rdRound)*Total_SpSeq)</f>
        <v>0.99961986328013286</v>
      </c>
    </row>
    <row r="29" spans="2:19" x14ac:dyDescent="0.2">
      <c r="B29" s="54" t="s">
        <v>27</v>
      </c>
      <c r="C29" s="57">
        <f t="shared" ref="C29:I29" ca="1" si="1">SUM(C25:C26)</f>
        <v>315.74956935395028</v>
      </c>
      <c r="D29" s="57">
        <f t="shared" ca="1" si="1"/>
        <v>253.7261651634721</v>
      </c>
      <c r="E29" s="57">
        <f t="shared" ca="1" si="1"/>
        <v>0.3282319899655306</v>
      </c>
      <c r="F29" s="57">
        <f t="shared" ca="1" si="1"/>
        <v>23.354605951489603</v>
      </c>
      <c r="G29" s="57">
        <f t="shared" ca="1" si="1"/>
        <v>64.940444321089316</v>
      </c>
      <c r="H29" s="57">
        <f t="shared" ca="1" si="1"/>
        <v>21057.298635429212</v>
      </c>
      <c r="I29" s="57">
        <f t="shared" ca="1" si="1"/>
        <v>253.39793317350657</v>
      </c>
      <c r="J29" s="37">
        <f ca="1">(C29*AbsPos)+(I29*AbsTest1Posi)+(E29*AbsPos)+(G29*AbsTest1Posi)</f>
        <v>81461.98869999242</v>
      </c>
      <c r="K29" s="37">
        <f ca="1">(C29*AbsPos)+(G29*AbsTest1Posi)</f>
        <v>79322.604686555569</v>
      </c>
      <c r="L29" s="37">
        <f ca="1">J29-K29</f>
        <v>2139.3840134368511</v>
      </c>
      <c r="M29" s="37">
        <f ca="1">(F29*AbsPos)+(G29*(AbsPos-AbsTest1Posi))</f>
        <v>21506.747239633856</v>
      </c>
      <c r="N29" s="33">
        <f ca="1">K29/J29</f>
        <v>0.97373764073799185</v>
      </c>
      <c r="O29" s="33">
        <f ca="1">M29/(M29+K29)</f>
        <v>0.21329847736577282</v>
      </c>
      <c r="P29" s="32">
        <f ca="1">N29-O29</f>
        <v>0.76043916337221906</v>
      </c>
      <c r="Q29" s="34">
        <f ca="1">(Prev2ndRound*Total_SnSeq)+((1-Prev2ndRound)*Total_SpSeq)</f>
        <v>0.99848061205298133</v>
      </c>
    </row>
    <row r="30" spans="2:19" x14ac:dyDescent="0.2">
      <c r="B30" s="55" t="s">
        <v>133</v>
      </c>
      <c r="C30" s="56">
        <f ca="1">cohort*Prev*SnTest1</f>
        <v>311.11621491523977</v>
      </c>
      <c r="D30" s="56">
        <v>0</v>
      </c>
      <c r="E30" s="56">
        <f ca="1">cohort*(1-Prev)*(1-SpTest1)</f>
        <v>126.87408148618954</v>
      </c>
      <c r="F30" s="56">
        <v>0</v>
      </c>
      <c r="G30" s="56">
        <f ca="1">cohort*Prev*(1-SnTest1)</f>
        <v>19.086386150036226</v>
      </c>
      <c r="H30" s="56">
        <v>0</v>
      </c>
      <c r="I30" s="56">
        <f ca="1">cohort*(1-Prev)*SpTest1</f>
        <v>10529.562141252494</v>
      </c>
      <c r="J30" s="37">
        <f ca="1">(C30*AbsPos)+(E30*AbsPos)</f>
        <v>109300.49700188133</v>
      </c>
      <c r="K30" s="37">
        <f ca="1">(C30*AbsPos)</f>
        <v>77639.064597936289</v>
      </c>
      <c r="L30" s="37">
        <f ca="1">J30-K30</f>
        <v>31661.432403945044</v>
      </c>
      <c r="M30" s="37">
        <f ca="1">(G30*AbsPos)</f>
        <v>4763.0084714405921</v>
      </c>
      <c r="N30" s="33">
        <f ca="1">K30/J30</f>
        <v>0.71032672977324085</v>
      </c>
      <c r="O30" s="33">
        <f ca="1">M30/(M30+K30)</f>
        <v>5.780204664790977E-2</v>
      </c>
      <c r="P30" s="32">
        <f ca="1">N30-O30</f>
        <v>0.65252468312533107</v>
      </c>
      <c r="Q30" s="34">
        <f ca="1">(Prev*Total_SnSeq)+((1-Prev)*Total_SpSeq)</f>
        <v>0.99341721928937643</v>
      </c>
    </row>
    <row r="31" spans="2:19" x14ac:dyDescent="0.2">
      <c r="B31" s="55" t="s">
        <v>134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2:19" ht="17" customHeight="1" x14ac:dyDescent="0.2"/>
    <row r="33" spans="3:17" ht="16" thickBot="1" x14ac:dyDescent="0.25"/>
    <row r="34" spans="3:17" x14ac:dyDescent="0.2">
      <c r="J34" s="200" t="s">
        <v>98</v>
      </c>
      <c r="K34" s="201"/>
      <c r="M34" s="205" t="s">
        <v>99</v>
      </c>
      <c r="N34" s="206"/>
      <c r="P34" s="204" t="s">
        <v>100</v>
      </c>
      <c r="Q34" s="204"/>
    </row>
    <row r="35" spans="3:17" x14ac:dyDescent="0.2">
      <c r="J35" s="202"/>
      <c r="K35" s="203"/>
      <c r="M35" s="28" t="s">
        <v>48</v>
      </c>
      <c r="N35" s="4">
        <f ca="1">(SnTest1*SnTest2)+corr*(SnTest1*(1-SnTest1)*SnTest2*(1-SnTest2))^0.5</f>
        <v>0.7814720306034697</v>
      </c>
      <c r="P35" s="47" t="s">
        <v>74</v>
      </c>
      <c r="Q35" s="47" t="s">
        <v>75</v>
      </c>
    </row>
    <row r="36" spans="3:17" x14ac:dyDescent="0.2">
      <c r="C36">
        <f>AVERAGE('PSA2'!C3:C10002)</f>
        <v>78.713764111143604</v>
      </c>
      <c r="E36">
        <f>AVERAGE('PSA2'!D3:D10002)</f>
        <v>42.765461068513147</v>
      </c>
      <c r="F36">
        <f>AVERAGE('PSA2'!E3:E10002)</f>
        <v>72.573867231869315</v>
      </c>
      <c r="G36">
        <f>AVERAGE('PSA2'!F3:F10002)</f>
        <v>19.705530133059668</v>
      </c>
      <c r="J36" s="74" t="s">
        <v>30</v>
      </c>
      <c r="K36" s="75">
        <f ca="1">(FN1stRound/Cohort2ndRound)+Incid</f>
        <v>6.8828350892185886E-3</v>
      </c>
      <c r="M36" s="28" t="s">
        <v>49</v>
      </c>
      <c r="N36" s="4">
        <f ca="1">(SpTest1+SpTest2-(SpTest1*SpTest2))-(corr*(SpTest1*(1-SpTest1)*SpTest2*(1- SpTest2))^0.5)</f>
        <v>0.99998459801942718</v>
      </c>
      <c r="P36" s="4">
        <v>11000</v>
      </c>
      <c r="Q36" s="4">
        <v>20</v>
      </c>
    </row>
    <row r="37" spans="3:17" x14ac:dyDescent="0.2">
      <c r="C37">
        <f>STDEV('PSA2'!C3:C10002)</f>
        <v>68.658528057744604</v>
      </c>
      <c r="E37">
        <f>STDEV('PSA2'!D3:D10002)</f>
        <v>29.589944500466249</v>
      </c>
      <c r="F37">
        <f>STDEV('PSA2'!E3:E10002)</f>
        <v>63.169668109050235</v>
      </c>
      <c r="G37">
        <f>STDEV('PSA2'!F3:F10002)</f>
        <v>20.410760256611162</v>
      </c>
      <c r="J37" s="74" t="s">
        <v>31</v>
      </c>
      <c r="K37" s="75">
        <f ca="1">(FN2ndRound/Cohort3rdRound)+Incid</f>
        <v>1.6691705360819943E-3</v>
      </c>
      <c r="M37" s="28" t="s">
        <v>50</v>
      </c>
      <c r="N37" s="4">
        <f ca="1">SnTest1+SnTest2-(SnTest1* SnTest2)-(corr*(SnTest1*(1-SnTest1)* SnTest2*(1- SnTest2))^0.5)</f>
        <v>0.99013977131749042</v>
      </c>
      <c r="P37" s="4">
        <v>11000</v>
      </c>
      <c r="Q37" s="4">
        <v>20</v>
      </c>
    </row>
    <row r="38" spans="3:17" x14ac:dyDescent="0.2">
      <c r="J38" s="76" t="s">
        <v>29</v>
      </c>
      <c r="K38" s="75">
        <f ca="1">cohort1stRound-((cohort1stRound*prev1stRound*SnTest1*((corr*(SQRT(SnTest1*(1-SnTest1)*SnTest2*(1-SnTest2)))+SnTest1*SnTest2)/SnTest1)) + (cohort1stRound*(1-prev1stRound)*(1-SpTest1)* (1-(SpTest2-(corr*(SQRT(SpTest1*(1-SpTest1)*SpTest2*(1-SpTest2)))+SpTest2*SpTest1))/(1-SpTest1))))</f>
        <v>10728.430596415254</v>
      </c>
      <c r="M38" s="28" t="s">
        <v>51</v>
      </c>
      <c r="N38" s="4">
        <f ca="1">(SpTest1*SpTest2)+(corr*(SpTest1*(1-SpTest2)*SpTest2*(1-SpTest2))^0.5)</f>
        <v>0.98681589128161085</v>
      </c>
    </row>
    <row r="39" spans="3:17" x14ac:dyDescent="0.2">
      <c r="D39" t="s">
        <v>141</v>
      </c>
      <c r="E39" t="s">
        <v>142</v>
      </c>
      <c r="J39" s="74" t="s">
        <v>43</v>
      </c>
      <c r="K39" s="75">
        <f ca="1">Cohort2ndRound-((Cohort2ndRound*Prev2ndRound*SnTest1*((corr*(SQRT(SnTest1*(1-SnTest1)*SnTest2*(1-SnTest2)))+SnTest1*SnTest2)/SnTest1)) + (cohort1stRound*(1-Prev2ndRound)*(1-SpTest1)* (1-(SpTest2-(corr*(SQRT(SpTest1*(1-SpTest1)*SpTest2*(1-SpTest2)))+SpTest2*SpTest1))/(1-SpTest1))))</f>
        <v>10670.557072914415</v>
      </c>
    </row>
    <row r="40" spans="3:17" x14ac:dyDescent="0.2">
      <c r="J40" s="76" t="s">
        <v>32</v>
      </c>
      <c r="K40" s="75">
        <f ca="1">(prev1stRound*(1-(SnTest1* SnTest2)+corr*(SnTest1*(1-SnTest1)*SnTest2*(1- SnTest2))^0.5))*cohort1stRound</f>
        <v>72.158503900247339</v>
      </c>
      <c r="M40" s="198" t="s">
        <v>101</v>
      </c>
      <c r="N40" s="199"/>
      <c r="O40" s="46" t="s">
        <v>74</v>
      </c>
      <c r="P40" s="46" t="s">
        <v>75</v>
      </c>
    </row>
    <row r="41" spans="3:17" ht="16" thickBot="1" x14ac:dyDescent="0.25">
      <c r="J41" s="77" t="s">
        <v>33</v>
      </c>
      <c r="K41" s="78">
        <f ca="1">(Prev2ndRound*(1-(SnTest1* SnTest2)+corr*(SnTest1*(1-SnTest1)*SnTest2*(1- SnTest2))^0.5))*Cohort2ndRound</f>
        <v>16.136546372331566</v>
      </c>
      <c r="M41" s="160" t="s">
        <v>24</v>
      </c>
      <c r="N41" s="162"/>
      <c r="O41" s="5">
        <v>10.7</v>
      </c>
      <c r="P41" s="4">
        <v>1</v>
      </c>
    </row>
    <row r="42" spans="3:17" x14ac:dyDescent="0.2">
      <c r="M42" s="50" t="s">
        <v>23</v>
      </c>
      <c r="N42" s="51"/>
      <c r="O42" s="5">
        <v>53.6</v>
      </c>
      <c r="P42" s="4">
        <v>2</v>
      </c>
    </row>
    <row r="43" spans="3:17" x14ac:dyDescent="0.2">
      <c r="M43" s="165" t="s">
        <v>20</v>
      </c>
      <c r="N43" s="165"/>
      <c r="O43" s="26">
        <v>4</v>
      </c>
      <c r="P43" s="4">
        <v>0.2</v>
      </c>
    </row>
    <row r="46" spans="3:17" ht="16" thickBot="1" x14ac:dyDescent="0.25"/>
    <row r="47" spans="3:17" ht="40" x14ac:dyDescent="0.2">
      <c r="C47" s="133" t="s">
        <v>140</v>
      </c>
      <c r="D47" s="133" t="s">
        <v>136</v>
      </c>
    </row>
  </sheetData>
  <mergeCells count="35">
    <mergeCell ref="M3:O3"/>
    <mergeCell ref="Q3:S3"/>
    <mergeCell ref="O20:O21"/>
    <mergeCell ref="P20:P21"/>
    <mergeCell ref="Q20:Q21"/>
    <mergeCell ref="M43:N43"/>
    <mergeCell ref="J34:K35"/>
    <mergeCell ref="P34:Q34"/>
    <mergeCell ref="M34:N34"/>
    <mergeCell ref="B20:B21"/>
    <mergeCell ref="C20:C21"/>
    <mergeCell ref="D20:D21"/>
    <mergeCell ref="E20:E21"/>
    <mergeCell ref="F20:F21"/>
    <mergeCell ref="H18:K18"/>
    <mergeCell ref="G9:H9"/>
    <mergeCell ref="G10:H10"/>
    <mergeCell ref="G8:H8"/>
    <mergeCell ref="M41:N41"/>
    <mergeCell ref="M40:N40"/>
    <mergeCell ref="G14:H14"/>
    <mergeCell ref="G20:G21"/>
    <mergeCell ref="H20:H21"/>
    <mergeCell ref="I20:I21"/>
    <mergeCell ref="J20:J21"/>
    <mergeCell ref="K20:K21"/>
    <mergeCell ref="L20:L21"/>
    <mergeCell ref="M20:M21"/>
    <mergeCell ref="N20:N21"/>
    <mergeCell ref="E1:L2"/>
    <mergeCell ref="I4:K4"/>
    <mergeCell ref="I5:K5"/>
    <mergeCell ref="F16:K16"/>
    <mergeCell ref="H17:K17"/>
    <mergeCell ref="G12:H12"/>
  </mergeCells>
  <pageMargins left="0.7" right="0.7" top="0.75" bottom="0.75" header="0.3" footer="0.3"/>
  <pageSetup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4" name="Button 11">
              <controlPr defaultSize="0" print="0" autoFill="0" autoPict="0" macro="[0]!LFA_PSASheet">
                <anchor moveWithCells="1" sizeWithCells="1">
                  <from>
                    <xdr:col>1</xdr:col>
                    <xdr:colOff>177800</xdr:colOff>
                    <xdr:row>2</xdr:row>
                    <xdr:rowOff>38100</xdr:rowOff>
                  </from>
                  <to>
                    <xdr:col>1</xdr:col>
                    <xdr:colOff>800100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5" name="Button 12">
              <controlPr defaultSize="0" print="0" autoFill="0" autoPict="0" macro="[0]!LAMPPSA">
                <anchor moveWithCells="1" sizeWithCells="1">
                  <from>
                    <xdr:col>1</xdr:col>
                    <xdr:colOff>165100</xdr:colOff>
                    <xdr:row>4</xdr:row>
                    <xdr:rowOff>0</xdr:rowOff>
                  </from>
                  <to>
                    <xdr:col>1</xdr:col>
                    <xdr:colOff>812800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6" name="Button 13">
              <controlPr defaultSize="0" print="0" autoFill="0" autoPict="0" macro="[0]!WorstCasePSA">
                <anchor moveWithCells="1" sizeWithCells="1">
                  <from>
                    <xdr:col>1</xdr:col>
                    <xdr:colOff>1016000</xdr:colOff>
                    <xdr:row>3</xdr:row>
                    <xdr:rowOff>101600</xdr:rowOff>
                  </from>
                  <to>
                    <xdr:col>2</xdr:col>
                    <xdr:colOff>596900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aselinePSA">
                <anchor moveWithCells="1" sizeWithCells="1">
                  <from>
                    <xdr:col>1</xdr:col>
                    <xdr:colOff>1003300</xdr:colOff>
                    <xdr:row>2</xdr:row>
                    <xdr:rowOff>12700</xdr:rowOff>
                  </from>
                  <to>
                    <xdr:col>2</xdr:col>
                    <xdr:colOff>609600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MonteCarlo_AccuracySeq">
                <anchor moveWithCells="1" sizeWithCells="1">
                  <from>
                    <xdr:col>12</xdr:col>
                    <xdr:colOff>482600</xdr:colOff>
                    <xdr:row>13</xdr:row>
                    <xdr:rowOff>127000</xdr:rowOff>
                  </from>
                  <to>
                    <xdr:col>13</xdr:col>
                    <xdr:colOff>533400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9" name="Button 17">
              <controlPr defaultSize="0" print="0" autoFill="0" autoPict="0" macro="[0]!MonteCarlo_AbsenteeismSeq">
                <anchor moveWithCells="1" sizeWithCells="1">
                  <from>
                    <xdr:col>16</xdr:col>
                    <xdr:colOff>647700</xdr:colOff>
                    <xdr:row>13</xdr:row>
                    <xdr:rowOff>152400</xdr:rowOff>
                  </from>
                  <to>
                    <xdr:col>18</xdr:col>
                    <xdr:colOff>76200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0" name="Button 19">
              <controlPr defaultSize="0" print="0" autoFill="0" autoPict="0" macro="[0]!MonteCarlo_AccuracyBaseline">
                <anchor moveWithCells="1" sizeWithCells="1">
                  <from>
                    <xdr:col>12</xdr:col>
                    <xdr:colOff>469900</xdr:colOff>
                    <xdr:row>10</xdr:row>
                    <xdr:rowOff>63500</xdr:rowOff>
                  </from>
                  <to>
                    <xdr:col>13</xdr:col>
                    <xdr:colOff>520700</xdr:colOff>
                    <xdr:row>11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1" name="Button 20">
              <controlPr defaultSize="0" print="0" autoFill="0" autoPict="0" macro="[0]!MonteCarlo_AccuracyNoTest">
                <anchor moveWithCells="1" sizeWithCells="1">
                  <from>
                    <xdr:col>12</xdr:col>
                    <xdr:colOff>457200</xdr:colOff>
                    <xdr:row>12</xdr:row>
                    <xdr:rowOff>0</xdr:rowOff>
                  </from>
                  <to>
                    <xdr:col>13</xdr:col>
                    <xdr:colOff>508000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2" name="Button 23">
              <controlPr defaultSize="0" print="0" autoFill="0" autoPict="0" macro="[0]!MonteCarlo_AbsenteeismNoTest">
                <anchor moveWithCells="1" sizeWithCells="1">
                  <from>
                    <xdr:col>16</xdr:col>
                    <xdr:colOff>647700</xdr:colOff>
                    <xdr:row>12</xdr:row>
                    <xdr:rowOff>12700</xdr:rowOff>
                  </from>
                  <to>
                    <xdr:col>18</xdr:col>
                    <xdr:colOff>88900</xdr:colOff>
                    <xdr:row>13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3" name="Button 24">
              <controlPr defaultSize="0" print="0" autoFill="0" autoPict="0" macro="[0]!MonteCarlo_AbsenteeismBaseline">
                <anchor moveWithCells="1" sizeWithCells="1">
                  <from>
                    <xdr:col>16</xdr:col>
                    <xdr:colOff>622300</xdr:colOff>
                    <xdr:row>10</xdr:row>
                    <xdr:rowOff>63500</xdr:rowOff>
                  </from>
                  <to>
                    <xdr:col>18</xdr:col>
                    <xdr:colOff>63500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14" name="Button 26">
              <controlPr defaultSize="0" print="0" autoFill="0" autoPict="0" macro="[0]!BestCasePSA">
                <anchor moveWithCells="1" sizeWithCells="1">
                  <from>
                    <xdr:col>1</xdr:col>
                    <xdr:colOff>1016000</xdr:colOff>
                    <xdr:row>4</xdr:row>
                    <xdr:rowOff>165100</xdr:rowOff>
                  </from>
                  <to>
                    <xdr:col>2</xdr:col>
                    <xdr:colOff>596900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15" name="Button 27">
              <controlPr defaultSize="0" print="0" autoFill="0" autoPict="0" macro="[0]!MonteCarlo_AccuracyLFA">
                <anchor moveWithCells="1" sizeWithCells="1">
                  <from>
                    <xdr:col>12</xdr:col>
                    <xdr:colOff>495300</xdr:colOff>
                    <xdr:row>15</xdr:row>
                    <xdr:rowOff>63500</xdr:rowOff>
                  </from>
                  <to>
                    <xdr:col>13</xdr:col>
                    <xdr:colOff>546100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16" name="Button 28">
              <controlPr defaultSize="0" print="0" autoFill="0" autoPict="0" macro="[0]!MonteCarlo_AbsenteeismLFA">
                <anchor moveWithCells="1" sizeWithCells="1">
                  <from>
                    <xdr:col>16</xdr:col>
                    <xdr:colOff>660400</xdr:colOff>
                    <xdr:row>15</xdr:row>
                    <xdr:rowOff>101600</xdr:rowOff>
                  </from>
                  <to>
                    <xdr:col>18</xdr:col>
                    <xdr:colOff>76200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17" name="Button 30">
              <controlPr defaultSize="0" print="0" autoFill="0" autoPict="0" macro="[0]!MonteCarlo_TP_Seq">
                <anchor moveWithCells="1" sizeWithCells="1">
                  <from>
                    <xdr:col>2</xdr:col>
                    <xdr:colOff>469900</xdr:colOff>
                    <xdr:row>33</xdr:row>
                    <xdr:rowOff>63500</xdr:rowOff>
                  </from>
                  <to>
                    <xdr:col>3</xdr:col>
                    <xdr:colOff>749300</xdr:colOff>
                    <xdr:row>34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18" name="Button 31">
              <controlPr defaultSize="0" print="0" autoFill="0" autoPict="0" macro="[0]!MonteCarlo_FP1_Seq">
                <anchor moveWithCells="1" sizeWithCells="1">
                  <from>
                    <xdr:col>3</xdr:col>
                    <xdr:colOff>977900</xdr:colOff>
                    <xdr:row>33</xdr:row>
                    <xdr:rowOff>76200</xdr:rowOff>
                  </from>
                  <to>
                    <xdr:col>4</xdr:col>
                    <xdr:colOff>800100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19" name="Button 32">
              <controlPr defaultSize="0" print="0" autoFill="0" autoPict="0" macro="[0]!MonteCarlo_FN1_Seq">
                <anchor moveWithCells="1" sizeWithCells="1">
                  <from>
                    <xdr:col>5</xdr:col>
                    <xdr:colOff>165100</xdr:colOff>
                    <xdr:row>33</xdr:row>
                    <xdr:rowOff>101600</xdr:rowOff>
                  </from>
                  <to>
                    <xdr:col>6</xdr:col>
                    <xdr:colOff>622300</xdr:colOff>
                    <xdr:row>34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20" name="Button 33">
              <controlPr defaultSize="0" print="0" autoFill="0" autoPict="0" macro="[0]!MonteCarlo_FN2_Seq">
                <anchor moveWithCells="1" sizeWithCells="1">
                  <from>
                    <xdr:col>7</xdr:col>
                    <xdr:colOff>25400</xdr:colOff>
                    <xdr:row>33</xdr:row>
                    <xdr:rowOff>114300</xdr:rowOff>
                  </from>
                  <to>
                    <xdr:col>8</xdr:col>
                    <xdr:colOff>279400</xdr:colOff>
                    <xdr:row>34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S1018"/>
  <sheetViews>
    <sheetView showGridLines="0" workbookViewId="0">
      <selection activeCell="B3" sqref="B3:R1546"/>
    </sheetView>
  </sheetViews>
  <sheetFormatPr baseColWidth="10" defaultColWidth="9" defaultRowHeight="15" x14ac:dyDescent="0.2"/>
  <cols>
    <col min="1" max="3" width="9" style="3"/>
    <col min="4" max="4" width="11.33203125" style="5" customWidth="1"/>
    <col min="5" max="5" width="9" style="3"/>
    <col min="6" max="6" width="15.33203125" style="5" customWidth="1"/>
    <col min="7" max="7" width="9" style="3"/>
    <col min="8" max="8" width="12" style="3" customWidth="1"/>
    <col min="9" max="9" width="9" style="3"/>
    <col min="10" max="10" width="13" style="3" customWidth="1"/>
    <col min="11" max="11" width="9" style="3"/>
    <col min="12" max="12" width="11.6640625" style="3" customWidth="1"/>
    <col min="13" max="13" width="9" style="3"/>
    <col min="14" max="14" width="16.33203125" style="3" customWidth="1"/>
    <col min="15" max="15" width="6.1640625" style="3" customWidth="1"/>
    <col min="16" max="16" width="12.33203125" style="3" customWidth="1"/>
    <col min="17" max="16384" width="9" style="3"/>
  </cols>
  <sheetData>
    <row r="1" spans="1:19" x14ac:dyDescent="0.2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  <c r="L1" s="3">
        <v>12</v>
      </c>
      <c r="M1" s="3">
        <v>13</v>
      </c>
      <c r="N1" s="3">
        <v>14</v>
      </c>
      <c r="O1" s="3">
        <v>15</v>
      </c>
      <c r="P1" s="3">
        <v>16</v>
      </c>
      <c r="Q1" s="3">
        <v>17</v>
      </c>
      <c r="R1" s="3">
        <v>18</v>
      </c>
      <c r="S1" s="3">
        <v>19</v>
      </c>
    </row>
    <row r="2" spans="1:19" ht="32" x14ac:dyDescent="0.2">
      <c r="B2" s="90" t="s">
        <v>76</v>
      </c>
      <c r="D2" s="91" t="s">
        <v>110</v>
      </c>
      <c r="F2" s="91" t="s">
        <v>107</v>
      </c>
      <c r="H2" s="91" t="s">
        <v>106</v>
      </c>
      <c r="J2" s="91" t="s">
        <v>111</v>
      </c>
      <c r="L2" s="91" t="s">
        <v>108</v>
      </c>
      <c r="N2" s="91" t="s">
        <v>109</v>
      </c>
      <c r="P2" s="91" t="s">
        <v>120</v>
      </c>
      <c r="R2" s="91" t="s">
        <v>121</v>
      </c>
    </row>
    <row r="3" spans="1:19" x14ac:dyDescent="0.2">
      <c r="B3" s="5"/>
      <c r="D3" s="48"/>
      <c r="H3" s="5"/>
      <c r="J3" s="5"/>
      <c r="L3" s="5"/>
      <c r="N3" s="5"/>
      <c r="P3" s="5"/>
      <c r="R3" s="5"/>
    </row>
    <row r="4" spans="1:19" x14ac:dyDescent="0.2">
      <c r="B4" s="5"/>
      <c r="H4" s="5"/>
      <c r="J4" s="5"/>
      <c r="L4" s="5"/>
      <c r="N4" s="5"/>
      <c r="P4" s="5"/>
      <c r="R4" s="5"/>
    </row>
    <row r="5" spans="1:19" x14ac:dyDescent="0.2">
      <c r="B5" s="5"/>
      <c r="H5" s="5"/>
      <c r="J5" s="5"/>
      <c r="L5" s="5"/>
      <c r="N5" s="5"/>
      <c r="P5" s="5"/>
      <c r="R5" s="5"/>
    </row>
    <row r="6" spans="1:19" x14ac:dyDescent="0.2">
      <c r="B6" s="5"/>
      <c r="H6" s="5"/>
      <c r="J6" s="5"/>
      <c r="L6" s="5"/>
      <c r="N6" s="5"/>
      <c r="P6" s="5"/>
      <c r="R6" s="5"/>
    </row>
    <row r="7" spans="1:19" x14ac:dyDescent="0.2">
      <c r="B7" s="5"/>
      <c r="H7" s="5"/>
      <c r="J7" s="5"/>
      <c r="L7" s="5"/>
      <c r="N7" s="5"/>
      <c r="P7" s="5"/>
      <c r="R7" s="5"/>
    </row>
    <row r="8" spans="1:19" x14ac:dyDescent="0.2">
      <c r="B8" s="5"/>
      <c r="H8" s="5"/>
      <c r="J8" s="5"/>
      <c r="L8" s="5"/>
      <c r="N8" s="5"/>
      <c r="P8" s="5"/>
      <c r="R8" s="5"/>
    </row>
    <row r="9" spans="1:19" x14ac:dyDescent="0.2">
      <c r="B9" s="5"/>
      <c r="H9" s="5"/>
      <c r="J9" s="5"/>
      <c r="L9" s="5"/>
      <c r="N9" s="5"/>
      <c r="P9" s="5"/>
      <c r="R9" s="5"/>
    </row>
    <row r="10" spans="1:19" x14ac:dyDescent="0.2">
      <c r="B10" s="5"/>
      <c r="H10" s="5"/>
      <c r="J10" s="5"/>
      <c r="L10" s="5"/>
      <c r="N10" s="5"/>
      <c r="P10" s="5"/>
      <c r="R10" s="5"/>
    </row>
    <row r="11" spans="1:19" x14ac:dyDescent="0.2">
      <c r="B11" s="5"/>
      <c r="H11" s="5"/>
      <c r="J11" s="5"/>
      <c r="L11" s="5"/>
      <c r="N11" s="5"/>
      <c r="P11" s="5"/>
      <c r="R11" s="5"/>
    </row>
    <row r="12" spans="1:19" x14ac:dyDescent="0.2">
      <c r="B12" s="5"/>
      <c r="H12" s="5"/>
      <c r="J12" s="5"/>
      <c r="L12" s="5"/>
      <c r="N12" s="5"/>
      <c r="P12" s="5"/>
      <c r="R12" s="5"/>
    </row>
    <row r="13" spans="1:19" x14ac:dyDescent="0.2">
      <c r="B13" s="5"/>
      <c r="H13" s="5"/>
      <c r="J13" s="5"/>
      <c r="L13" s="5"/>
      <c r="N13" s="5"/>
      <c r="P13" s="5"/>
      <c r="R13" s="5"/>
    </row>
    <row r="14" spans="1:19" x14ac:dyDescent="0.2">
      <c r="B14" s="5"/>
      <c r="H14" s="5"/>
      <c r="J14" s="5"/>
      <c r="L14" s="5"/>
      <c r="N14" s="5"/>
      <c r="P14" s="5"/>
      <c r="R14" s="5"/>
    </row>
    <row r="15" spans="1:19" x14ac:dyDescent="0.2">
      <c r="B15" s="5"/>
      <c r="H15" s="5"/>
      <c r="J15" s="5"/>
      <c r="L15" s="5"/>
      <c r="N15" s="5"/>
      <c r="P15" s="5"/>
      <c r="R15" s="5"/>
    </row>
    <row r="16" spans="1:19" x14ac:dyDescent="0.2">
      <c r="B16" s="5"/>
      <c r="H16" s="5"/>
      <c r="J16" s="5"/>
      <c r="L16" s="5"/>
      <c r="N16" s="5"/>
      <c r="P16" s="5"/>
      <c r="R16" s="5"/>
    </row>
    <row r="17" spans="2:18" x14ac:dyDescent="0.2">
      <c r="B17" s="5"/>
      <c r="H17" s="5"/>
      <c r="J17" s="5"/>
      <c r="L17" s="5"/>
      <c r="N17" s="5"/>
      <c r="P17" s="5"/>
      <c r="R17" s="5"/>
    </row>
    <row r="18" spans="2:18" x14ac:dyDescent="0.2">
      <c r="B18" s="5"/>
      <c r="H18" s="5"/>
      <c r="J18" s="5"/>
      <c r="L18" s="5"/>
      <c r="N18" s="5"/>
      <c r="P18" s="5"/>
      <c r="R18" s="5"/>
    </row>
    <row r="19" spans="2:18" x14ac:dyDescent="0.2">
      <c r="B19" s="5"/>
      <c r="H19" s="5"/>
      <c r="J19" s="5"/>
      <c r="L19" s="5"/>
      <c r="N19" s="5"/>
      <c r="P19" s="5"/>
      <c r="R19" s="5"/>
    </row>
    <row r="20" spans="2:18" x14ac:dyDescent="0.2">
      <c r="B20" s="5"/>
      <c r="H20" s="5"/>
      <c r="J20" s="5"/>
      <c r="L20" s="5"/>
      <c r="N20" s="5"/>
      <c r="P20" s="5"/>
      <c r="R20" s="5"/>
    </row>
    <row r="21" spans="2:18" x14ac:dyDescent="0.2">
      <c r="B21" s="5"/>
      <c r="H21" s="5"/>
      <c r="J21" s="5"/>
      <c r="L21" s="5"/>
      <c r="N21" s="5"/>
      <c r="P21" s="5"/>
      <c r="R21" s="5"/>
    </row>
    <row r="22" spans="2:18" x14ac:dyDescent="0.2">
      <c r="B22" s="5"/>
      <c r="H22" s="5"/>
      <c r="J22" s="5"/>
      <c r="L22" s="5"/>
      <c r="N22" s="5"/>
      <c r="P22" s="5"/>
      <c r="R22" s="5"/>
    </row>
    <row r="23" spans="2:18" x14ac:dyDescent="0.2">
      <c r="B23" s="5"/>
      <c r="H23" s="5"/>
      <c r="J23" s="5"/>
      <c r="L23" s="5"/>
      <c r="N23" s="5"/>
      <c r="P23" s="5"/>
      <c r="R23" s="5"/>
    </row>
    <row r="24" spans="2:18" x14ac:dyDescent="0.2">
      <c r="B24" s="5"/>
      <c r="H24" s="5"/>
      <c r="J24" s="5"/>
      <c r="L24" s="5"/>
      <c r="N24" s="5"/>
      <c r="P24" s="5"/>
      <c r="R24" s="5"/>
    </row>
    <row r="25" spans="2:18" x14ac:dyDescent="0.2">
      <c r="B25" s="5"/>
      <c r="H25" s="5"/>
      <c r="J25" s="5"/>
      <c r="L25" s="5"/>
      <c r="N25" s="5"/>
      <c r="P25" s="5"/>
      <c r="R25" s="5"/>
    </row>
    <row r="26" spans="2:18" x14ac:dyDescent="0.2">
      <c r="B26" s="5"/>
      <c r="H26" s="5"/>
      <c r="J26" s="5"/>
      <c r="L26" s="5"/>
      <c r="N26" s="5"/>
      <c r="P26" s="5"/>
      <c r="R26" s="5"/>
    </row>
    <row r="27" spans="2:18" x14ac:dyDescent="0.2">
      <c r="B27" s="5"/>
      <c r="H27" s="5"/>
      <c r="J27" s="5"/>
      <c r="L27" s="5"/>
      <c r="N27" s="5"/>
      <c r="P27" s="5"/>
      <c r="R27" s="5"/>
    </row>
    <row r="28" spans="2:18" x14ac:dyDescent="0.2">
      <c r="B28" s="5"/>
      <c r="H28" s="5"/>
      <c r="J28" s="5"/>
      <c r="L28" s="5"/>
      <c r="N28" s="5"/>
      <c r="P28" s="5"/>
      <c r="R28" s="5"/>
    </row>
    <row r="29" spans="2:18" x14ac:dyDescent="0.2">
      <c r="B29" s="5"/>
      <c r="H29" s="5"/>
      <c r="J29" s="5"/>
      <c r="L29" s="5"/>
      <c r="N29" s="5"/>
      <c r="P29" s="5"/>
      <c r="R29" s="5"/>
    </row>
    <row r="30" spans="2:18" x14ac:dyDescent="0.2">
      <c r="B30" s="5"/>
      <c r="H30" s="5"/>
      <c r="J30" s="5"/>
      <c r="L30" s="5"/>
      <c r="N30" s="5"/>
      <c r="P30" s="5"/>
      <c r="R30" s="5"/>
    </row>
    <row r="31" spans="2:18" x14ac:dyDescent="0.2">
      <c r="B31" s="5"/>
      <c r="H31" s="5"/>
      <c r="J31" s="5"/>
      <c r="L31" s="5"/>
      <c r="N31" s="5"/>
      <c r="P31" s="5"/>
      <c r="R31" s="5"/>
    </row>
    <row r="32" spans="2:18" x14ac:dyDescent="0.2">
      <c r="B32" s="5"/>
      <c r="H32" s="5"/>
      <c r="J32" s="5"/>
      <c r="L32" s="5"/>
      <c r="N32" s="5"/>
      <c r="P32" s="5"/>
      <c r="R32" s="5"/>
    </row>
    <row r="33" spans="2:18" x14ac:dyDescent="0.2">
      <c r="B33" s="5"/>
      <c r="H33" s="5"/>
      <c r="J33" s="5"/>
      <c r="L33" s="5"/>
      <c r="N33" s="5"/>
      <c r="P33" s="5"/>
      <c r="R33" s="5"/>
    </row>
    <row r="34" spans="2:18" x14ac:dyDescent="0.2">
      <c r="B34" s="5"/>
      <c r="H34" s="5"/>
      <c r="J34" s="5"/>
      <c r="L34" s="5"/>
      <c r="N34" s="5"/>
      <c r="P34" s="5"/>
      <c r="R34" s="5"/>
    </row>
    <row r="35" spans="2:18" x14ac:dyDescent="0.2">
      <c r="B35" s="5"/>
      <c r="H35" s="5"/>
      <c r="J35" s="5"/>
      <c r="L35" s="5"/>
      <c r="N35" s="5"/>
      <c r="P35" s="5"/>
      <c r="R35" s="5"/>
    </row>
    <row r="36" spans="2:18" x14ac:dyDescent="0.2">
      <c r="B36" s="5"/>
      <c r="H36" s="5"/>
      <c r="J36" s="5"/>
      <c r="L36" s="5"/>
      <c r="N36" s="5"/>
      <c r="P36" s="5"/>
      <c r="R36" s="5"/>
    </row>
    <row r="37" spans="2:18" x14ac:dyDescent="0.2">
      <c r="B37" s="5"/>
      <c r="H37" s="5"/>
      <c r="J37" s="5"/>
      <c r="L37" s="5"/>
      <c r="N37" s="5"/>
      <c r="P37" s="5"/>
      <c r="R37" s="5"/>
    </row>
    <row r="38" spans="2:18" x14ac:dyDescent="0.2">
      <c r="B38" s="5"/>
      <c r="H38" s="5"/>
      <c r="J38" s="5"/>
      <c r="L38" s="5"/>
      <c r="N38" s="5"/>
      <c r="P38" s="5"/>
      <c r="R38" s="5"/>
    </row>
    <row r="39" spans="2:18" x14ac:dyDescent="0.2">
      <c r="B39" s="5"/>
      <c r="H39" s="5"/>
      <c r="J39" s="5"/>
      <c r="L39" s="5"/>
      <c r="N39" s="5"/>
      <c r="P39" s="5"/>
      <c r="R39" s="5"/>
    </row>
    <row r="40" spans="2:18" x14ac:dyDescent="0.2">
      <c r="B40" s="5"/>
      <c r="H40" s="5"/>
      <c r="J40" s="5"/>
      <c r="L40" s="5"/>
      <c r="N40" s="5"/>
      <c r="P40" s="5"/>
      <c r="R40" s="5"/>
    </row>
    <row r="41" spans="2:18" x14ac:dyDescent="0.2">
      <c r="B41" s="5"/>
      <c r="H41" s="5"/>
      <c r="J41" s="5"/>
      <c r="L41" s="5"/>
      <c r="N41" s="5"/>
      <c r="P41" s="5"/>
      <c r="R41" s="5"/>
    </row>
    <row r="42" spans="2:18" x14ac:dyDescent="0.2">
      <c r="B42" s="5"/>
      <c r="H42" s="5"/>
      <c r="J42" s="5"/>
      <c r="L42" s="5"/>
      <c r="N42" s="5"/>
      <c r="P42" s="5"/>
      <c r="R42" s="5"/>
    </row>
    <row r="43" spans="2:18" x14ac:dyDescent="0.2">
      <c r="B43" s="5"/>
      <c r="H43" s="5"/>
      <c r="J43" s="5"/>
      <c r="L43" s="5"/>
      <c r="N43" s="5"/>
      <c r="P43" s="5"/>
      <c r="R43" s="5"/>
    </row>
    <row r="44" spans="2:18" x14ac:dyDescent="0.2">
      <c r="B44" s="5"/>
      <c r="H44" s="5"/>
      <c r="J44" s="5"/>
      <c r="L44" s="5"/>
      <c r="N44" s="5"/>
      <c r="P44" s="5"/>
      <c r="R44" s="5"/>
    </row>
    <row r="45" spans="2:18" x14ac:dyDescent="0.2">
      <c r="B45" s="5"/>
      <c r="H45" s="5"/>
      <c r="J45" s="5"/>
      <c r="L45" s="5"/>
      <c r="N45" s="5"/>
      <c r="P45" s="5"/>
      <c r="R45" s="5"/>
    </row>
    <row r="46" spans="2:18" x14ac:dyDescent="0.2">
      <c r="B46" s="5"/>
      <c r="H46" s="5"/>
      <c r="J46" s="5"/>
      <c r="L46" s="5"/>
      <c r="N46" s="5"/>
      <c r="P46" s="5"/>
      <c r="R46" s="5"/>
    </row>
    <row r="47" spans="2:18" x14ac:dyDescent="0.2">
      <c r="B47" s="5"/>
      <c r="H47" s="5"/>
      <c r="J47" s="5"/>
      <c r="L47" s="5"/>
      <c r="N47" s="5"/>
      <c r="P47" s="5"/>
      <c r="R47" s="5"/>
    </row>
    <row r="48" spans="2:18" x14ac:dyDescent="0.2">
      <c r="B48" s="5"/>
      <c r="H48" s="5"/>
      <c r="J48" s="5"/>
      <c r="L48" s="5"/>
      <c r="N48" s="5"/>
      <c r="P48" s="5"/>
      <c r="R48" s="5"/>
    </row>
    <row r="49" spans="2:18" x14ac:dyDescent="0.2">
      <c r="B49" s="5"/>
      <c r="H49" s="5"/>
      <c r="J49" s="5"/>
      <c r="L49" s="5"/>
      <c r="N49" s="5"/>
      <c r="P49" s="5"/>
      <c r="R49" s="5"/>
    </row>
    <row r="50" spans="2:18" x14ac:dyDescent="0.2">
      <c r="B50" s="5"/>
      <c r="H50" s="5"/>
      <c r="J50" s="5"/>
      <c r="L50" s="5"/>
      <c r="N50" s="5"/>
      <c r="P50" s="5"/>
      <c r="R50" s="5"/>
    </row>
    <row r="51" spans="2:18" x14ac:dyDescent="0.2">
      <c r="B51" s="5"/>
      <c r="H51" s="5"/>
      <c r="J51" s="5"/>
      <c r="L51" s="5"/>
      <c r="N51" s="5"/>
      <c r="P51" s="5"/>
      <c r="R51" s="5"/>
    </row>
    <row r="52" spans="2:18" x14ac:dyDescent="0.2">
      <c r="B52" s="5"/>
      <c r="H52" s="5"/>
      <c r="J52" s="5"/>
      <c r="L52" s="5"/>
      <c r="N52" s="5"/>
      <c r="P52" s="5"/>
      <c r="R52" s="5"/>
    </row>
    <row r="53" spans="2:18" x14ac:dyDescent="0.2">
      <c r="B53" s="5"/>
      <c r="H53" s="5"/>
      <c r="J53" s="5"/>
      <c r="L53" s="5"/>
      <c r="N53" s="5"/>
      <c r="P53" s="5"/>
      <c r="R53" s="5"/>
    </row>
    <row r="54" spans="2:18" x14ac:dyDescent="0.2">
      <c r="B54" s="5"/>
      <c r="H54" s="5"/>
      <c r="J54" s="5"/>
      <c r="L54" s="5"/>
      <c r="N54" s="5"/>
      <c r="P54" s="5"/>
      <c r="R54" s="5"/>
    </row>
    <row r="55" spans="2:18" x14ac:dyDescent="0.2">
      <c r="B55" s="5"/>
      <c r="H55" s="5"/>
      <c r="J55" s="5"/>
      <c r="L55" s="5"/>
      <c r="N55" s="5"/>
      <c r="P55" s="5"/>
      <c r="R55" s="5"/>
    </row>
    <row r="56" spans="2:18" x14ac:dyDescent="0.2">
      <c r="B56" s="5"/>
      <c r="H56" s="5"/>
      <c r="J56" s="5"/>
      <c r="L56" s="5"/>
      <c r="N56" s="5"/>
      <c r="P56" s="5"/>
      <c r="R56" s="5"/>
    </row>
    <row r="57" spans="2:18" x14ac:dyDescent="0.2">
      <c r="B57" s="5"/>
      <c r="H57" s="5"/>
      <c r="J57" s="5"/>
      <c r="L57" s="5"/>
      <c r="N57" s="5"/>
      <c r="P57" s="5"/>
      <c r="R57" s="5"/>
    </row>
    <row r="58" spans="2:18" x14ac:dyDescent="0.2">
      <c r="B58" s="5"/>
      <c r="H58" s="5"/>
      <c r="J58" s="5"/>
      <c r="L58" s="5"/>
      <c r="N58" s="5"/>
      <c r="P58" s="5"/>
      <c r="R58" s="5"/>
    </row>
    <row r="59" spans="2:18" x14ac:dyDescent="0.2">
      <c r="B59" s="5"/>
      <c r="H59" s="5"/>
      <c r="J59" s="5"/>
      <c r="L59" s="5"/>
      <c r="N59" s="5"/>
      <c r="P59" s="5"/>
      <c r="R59" s="5"/>
    </row>
    <row r="60" spans="2:18" x14ac:dyDescent="0.2">
      <c r="B60" s="5"/>
      <c r="H60" s="5"/>
      <c r="J60" s="5"/>
      <c r="L60" s="5"/>
      <c r="N60" s="5"/>
      <c r="P60" s="5"/>
      <c r="R60" s="5"/>
    </row>
    <row r="61" spans="2:18" x14ac:dyDescent="0.2">
      <c r="B61" s="5"/>
      <c r="H61" s="5"/>
      <c r="J61" s="5"/>
      <c r="L61" s="5"/>
      <c r="N61" s="5"/>
      <c r="P61" s="5"/>
      <c r="R61" s="5"/>
    </row>
    <row r="62" spans="2:18" x14ac:dyDescent="0.2">
      <c r="B62" s="5"/>
      <c r="H62" s="5"/>
      <c r="J62" s="5"/>
      <c r="L62" s="5"/>
      <c r="N62" s="5"/>
      <c r="P62" s="5"/>
      <c r="R62" s="5"/>
    </row>
    <row r="63" spans="2:18" x14ac:dyDescent="0.2">
      <c r="B63" s="5"/>
      <c r="H63" s="5"/>
      <c r="J63" s="5"/>
      <c r="L63" s="5"/>
      <c r="N63" s="5"/>
      <c r="P63" s="5"/>
      <c r="R63" s="5"/>
    </row>
    <row r="64" spans="2:18" x14ac:dyDescent="0.2">
      <c r="B64" s="5"/>
      <c r="H64" s="5"/>
      <c r="J64" s="5"/>
      <c r="L64" s="5"/>
      <c r="N64" s="5"/>
      <c r="P64" s="5"/>
      <c r="R64" s="5"/>
    </row>
    <row r="65" spans="2:18" x14ac:dyDescent="0.2">
      <c r="B65" s="5"/>
      <c r="H65" s="5"/>
      <c r="J65" s="5"/>
      <c r="L65" s="5"/>
      <c r="N65" s="5"/>
      <c r="P65" s="5"/>
      <c r="R65" s="5"/>
    </row>
    <row r="66" spans="2:18" x14ac:dyDescent="0.2">
      <c r="B66" s="5"/>
      <c r="H66" s="5"/>
      <c r="J66" s="5"/>
      <c r="L66" s="5"/>
      <c r="N66" s="5"/>
      <c r="P66" s="5"/>
      <c r="R66" s="5"/>
    </row>
    <row r="67" spans="2:18" x14ac:dyDescent="0.2">
      <c r="B67" s="5"/>
      <c r="H67" s="5"/>
      <c r="J67" s="5"/>
      <c r="L67" s="5"/>
      <c r="N67" s="5"/>
      <c r="P67" s="5"/>
      <c r="R67" s="5"/>
    </row>
    <row r="68" spans="2:18" x14ac:dyDescent="0.2">
      <c r="B68" s="5"/>
      <c r="H68" s="5"/>
      <c r="J68" s="5"/>
      <c r="L68" s="5"/>
      <c r="N68" s="5"/>
      <c r="P68" s="5"/>
      <c r="R68" s="5"/>
    </row>
    <row r="69" spans="2:18" x14ac:dyDescent="0.2">
      <c r="B69" s="5"/>
      <c r="H69" s="5"/>
      <c r="J69" s="5"/>
      <c r="L69" s="5"/>
      <c r="N69" s="5"/>
      <c r="P69" s="5"/>
      <c r="R69" s="5"/>
    </row>
    <row r="70" spans="2:18" x14ac:dyDescent="0.2">
      <c r="B70" s="5"/>
      <c r="H70" s="5"/>
      <c r="J70" s="5"/>
      <c r="L70" s="5"/>
      <c r="N70" s="5"/>
      <c r="P70" s="5"/>
      <c r="R70" s="5"/>
    </row>
    <row r="71" spans="2:18" x14ac:dyDescent="0.2">
      <c r="B71" s="5"/>
      <c r="H71" s="5"/>
      <c r="J71" s="5"/>
      <c r="L71" s="5"/>
      <c r="N71" s="5"/>
      <c r="P71" s="5"/>
      <c r="R71" s="5"/>
    </row>
    <row r="72" spans="2:18" x14ac:dyDescent="0.2">
      <c r="B72" s="5"/>
      <c r="H72" s="5"/>
      <c r="J72" s="5"/>
      <c r="L72" s="5"/>
      <c r="N72" s="5"/>
      <c r="P72" s="5"/>
      <c r="R72" s="5"/>
    </row>
    <row r="73" spans="2:18" x14ac:dyDescent="0.2">
      <c r="B73" s="5"/>
      <c r="H73" s="5"/>
      <c r="J73" s="5"/>
      <c r="L73" s="5"/>
      <c r="N73" s="5"/>
      <c r="P73" s="5"/>
      <c r="R73" s="5"/>
    </row>
    <row r="74" spans="2:18" x14ac:dyDescent="0.2">
      <c r="B74" s="5"/>
      <c r="H74" s="5"/>
      <c r="J74" s="5"/>
      <c r="L74" s="5"/>
      <c r="N74" s="5"/>
      <c r="P74" s="5"/>
      <c r="R74" s="5"/>
    </row>
    <row r="75" spans="2:18" x14ac:dyDescent="0.2">
      <c r="B75" s="5"/>
      <c r="H75" s="5"/>
      <c r="J75" s="5"/>
      <c r="L75" s="5"/>
      <c r="N75" s="5"/>
      <c r="P75" s="5"/>
      <c r="R75" s="5"/>
    </row>
    <row r="76" spans="2:18" x14ac:dyDescent="0.2">
      <c r="B76" s="5"/>
      <c r="H76" s="5"/>
      <c r="J76" s="5"/>
      <c r="L76" s="5"/>
      <c r="N76" s="5"/>
      <c r="P76" s="5"/>
      <c r="R76" s="5"/>
    </row>
    <row r="77" spans="2:18" x14ac:dyDescent="0.2">
      <c r="B77" s="5"/>
      <c r="H77" s="5"/>
      <c r="J77" s="5"/>
      <c r="L77" s="5"/>
      <c r="N77" s="5"/>
      <c r="P77" s="5"/>
      <c r="R77" s="5"/>
    </row>
    <row r="78" spans="2:18" x14ac:dyDescent="0.2">
      <c r="B78" s="5"/>
      <c r="H78" s="5"/>
      <c r="J78" s="5"/>
      <c r="L78" s="5"/>
      <c r="N78" s="5"/>
      <c r="P78" s="5"/>
      <c r="R78" s="5"/>
    </row>
    <row r="79" spans="2:18" x14ac:dyDescent="0.2">
      <c r="B79" s="5"/>
      <c r="H79" s="5"/>
      <c r="J79" s="5"/>
      <c r="L79" s="5"/>
      <c r="N79" s="5"/>
      <c r="P79" s="5"/>
      <c r="R79" s="5"/>
    </row>
    <row r="80" spans="2:18" x14ac:dyDescent="0.2">
      <c r="B80" s="5"/>
      <c r="H80" s="5"/>
      <c r="J80" s="5"/>
      <c r="L80" s="5"/>
      <c r="N80" s="5"/>
      <c r="P80" s="5"/>
      <c r="R80" s="5"/>
    </row>
    <row r="81" spans="2:18" x14ac:dyDescent="0.2">
      <c r="B81" s="5"/>
      <c r="H81" s="5"/>
      <c r="J81" s="5"/>
      <c r="L81" s="5"/>
      <c r="N81" s="5"/>
      <c r="P81" s="5"/>
      <c r="R81" s="5"/>
    </row>
    <row r="82" spans="2:18" x14ac:dyDescent="0.2">
      <c r="B82" s="5"/>
      <c r="H82" s="5"/>
      <c r="J82" s="5"/>
      <c r="L82" s="5"/>
      <c r="N82" s="5"/>
      <c r="P82" s="5"/>
      <c r="R82" s="5"/>
    </row>
    <row r="83" spans="2:18" x14ac:dyDescent="0.2">
      <c r="B83" s="5"/>
      <c r="H83" s="5"/>
      <c r="J83" s="5"/>
      <c r="L83" s="5"/>
      <c r="N83" s="5"/>
      <c r="P83" s="5"/>
      <c r="R83" s="5"/>
    </row>
    <row r="84" spans="2:18" x14ac:dyDescent="0.2">
      <c r="B84" s="5"/>
      <c r="H84" s="5"/>
      <c r="J84" s="5"/>
      <c r="L84" s="5"/>
      <c r="N84" s="5"/>
      <c r="P84" s="5"/>
      <c r="R84" s="5"/>
    </row>
    <row r="85" spans="2:18" x14ac:dyDescent="0.2">
      <c r="B85" s="5"/>
      <c r="H85" s="5"/>
      <c r="J85" s="5"/>
      <c r="L85" s="5"/>
      <c r="N85" s="5"/>
      <c r="P85" s="5"/>
      <c r="R85" s="5"/>
    </row>
    <row r="86" spans="2:18" x14ac:dyDescent="0.2">
      <c r="B86" s="5"/>
      <c r="H86" s="5"/>
      <c r="J86" s="5"/>
      <c r="L86" s="5"/>
      <c r="N86" s="5"/>
      <c r="P86" s="5"/>
      <c r="R86" s="5"/>
    </row>
    <row r="87" spans="2:18" x14ac:dyDescent="0.2">
      <c r="B87" s="5"/>
      <c r="H87" s="5"/>
      <c r="J87" s="5"/>
      <c r="L87" s="5"/>
      <c r="N87" s="5"/>
      <c r="P87" s="5"/>
      <c r="R87" s="5"/>
    </row>
    <row r="88" spans="2:18" x14ac:dyDescent="0.2">
      <c r="B88" s="5"/>
      <c r="H88" s="5"/>
      <c r="J88" s="5"/>
      <c r="L88" s="5"/>
      <c r="N88" s="5"/>
      <c r="P88" s="5"/>
      <c r="R88" s="5"/>
    </row>
    <row r="89" spans="2:18" x14ac:dyDescent="0.2">
      <c r="B89" s="5"/>
      <c r="H89" s="5"/>
      <c r="J89" s="5"/>
      <c r="L89" s="5"/>
      <c r="N89" s="5"/>
      <c r="P89" s="5"/>
      <c r="R89" s="5"/>
    </row>
    <row r="90" spans="2:18" x14ac:dyDescent="0.2">
      <c r="B90" s="5"/>
      <c r="H90" s="5"/>
      <c r="J90" s="5"/>
      <c r="L90" s="5"/>
      <c r="N90" s="5"/>
      <c r="P90" s="5"/>
      <c r="R90" s="5"/>
    </row>
    <row r="91" spans="2:18" x14ac:dyDescent="0.2">
      <c r="B91" s="5"/>
      <c r="H91" s="5"/>
      <c r="J91" s="5"/>
      <c r="L91" s="5"/>
      <c r="N91" s="5"/>
      <c r="P91" s="5"/>
      <c r="R91" s="5"/>
    </row>
    <row r="92" spans="2:18" x14ac:dyDescent="0.2">
      <c r="B92" s="5"/>
      <c r="H92" s="5"/>
      <c r="J92" s="5"/>
      <c r="L92" s="5"/>
      <c r="N92" s="5"/>
      <c r="P92" s="5"/>
      <c r="R92" s="5"/>
    </row>
    <row r="93" spans="2:18" x14ac:dyDescent="0.2">
      <c r="B93" s="5"/>
      <c r="H93" s="5"/>
      <c r="J93" s="5"/>
      <c r="L93" s="5"/>
      <c r="N93" s="5"/>
      <c r="P93" s="5"/>
      <c r="R93" s="5"/>
    </row>
    <row r="94" spans="2:18" x14ac:dyDescent="0.2">
      <c r="B94" s="5"/>
      <c r="H94" s="5"/>
      <c r="J94" s="5"/>
      <c r="L94" s="5"/>
      <c r="N94" s="5"/>
      <c r="P94" s="5"/>
      <c r="R94" s="5"/>
    </row>
    <row r="95" spans="2:18" x14ac:dyDescent="0.2">
      <c r="B95" s="5"/>
      <c r="H95" s="5"/>
      <c r="J95" s="5"/>
      <c r="L95" s="5"/>
      <c r="N95" s="5"/>
      <c r="P95" s="5"/>
      <c r="R95" s="5"/>
    </row>
    <row r="96" spans="2:18" x14ac:dyDescent="0.2">
      <c r="B96" s="5"/>
      <c r="H96" s="5"/>
      <c r="J96" s="5"/>
      <c r="L96" s="5"/>
      <c r="N96" s="5"/>
      <c r="P96" s="5"/>
      <c r="R96" s="5"/>
    </row>
    <row r="97" spans="2:18" x14ac:dyDescent="0.2">
      <c r="B97" s="5"/>
      <c r="H97" s="5"/>
      <c r="J97" s="5"/>
      <c r="L97" s="5"/>
      <c r="N97" s="5"/>
      <c r="P97" s="5"/>
      <c r="R97" s="5"/>
    </row>
    <row r="98" spans="2:18" x14ac:dyDescent="0.2">
      <c r="B98" s="5"/>
      <c r="H98" s="5"/>
      <c r="J98" s="5"/>
      <c r="L98" s="5"/>
      <c r="N98" s="5"/>
      <c r="P98" s="5"/>
      <c r="R98" s="5"/>
    </row>
    <row r="99" spans="2:18" x14ac:dyDescent="0.2">
      <c r="B99" s="5"/>
      <c r="H99" s="5"/>
      <c r="J99" s="5"/>
      <c r="L99" s="5"/>
      <c r="N99" s="5"/>
      <c r="P99" s="5"/>
      <c r="R99" s="5"/>
    </row>
    <row r="100" spans="2:18" x14ac:dyDescent="0.2">
      <c r="B100" s="5"/>
      <c r="H100" s="5"/>
      <c r="J100" s="5"/>
      <c r="L100" s="5"/>
      <c r="N100" s="5"/>
      <c r="P100" s="5"/>
      <c r="R100" s="5"/>
    </row>
    <row r="101" spans="2:18" x14ac:dyDescent="0.2">
      <c r="B101" s="5"/>
      <c r="H101" s="5"/>
      <c r="J101" s="5"/>
      <c r="L101" s="5"/>
      <c r="N101" s="5"/>
      <c r="P101" s="5"/>
      <c r="R101" s="5"/>
    </row>
    <row r="102" spans="2:18" x14ac:dyDescent="0.2">
      <c r="B102" s="5"/>
      <c r="H102" s="5"/>
      <c r="J102" s="5"/>
      <c r="L102" s="5"/>
      <c r="N102" s="5"/>
      <c r="P102" s="5"/>
      <c r="R102" s="5"/>
    </row>
    <row r="103" spans="2:18" x14ac:dyDescent="0.2">
      <c r="B103" s="5"/>
      <c r="H103" s="5"/>
      <c r="J103" s="5"/>
      <c r="L103" s="5"/>
      <c r="N103" s="5"/>
      <c r="P103" s="5"/>
      <c r="R103" s="5"/>
    </row>
    <row r="104" spans="2:18" x14ac:dyDescent="0.2">
      <c r="B104" s="5"/>
      <c r="H104" s="5"/>
      <c r="J104" s="5"/>
      <c r="L104" s="5"/>
      <c r="N104" s="5"/>
      <c r="P104" s="5"/>
      <c r="R104" s="5"/>
    </row>
    <row r="105" spans="2:18" x14ac:dyDescent="0.2">
      <c r="B105" s="5"/>
      <c r="H105" s="5"/>
      <c r="J105" s="5"/>
      <c r="L105" s="5"/>
      <c r="N105" s="5"/>
      <c r="P105" s="5"/>
      <c r="R105" s="5"/>
    </row>
    <row r="106" spans="2:18" x14ac:dyDescent="0.2">
      <c r="B106" s="5"/>
      <c r="H106" s="5"/>
      <c r="J106" s="5"/>
      <c r="L106" s="5"/>
      <c r="N106" s="5"/>
      <c r="P106" s="5"/>
      <c r="R106" s="5"/>
    </row>
    <row r="107" spans="2:18" x14ac:dyDescent="0.2">
      <c r="B107" s="5"/>
      <c r="H107" s="5"/>
      <c r="J107" s="5"/>
      <c r="L107" s="5"/>
      <c r="N107" s="5"/>
      <c r="P107" s="5"/>
      <c r="R107" s="5"/>
    </row>
    <row r="108" spans="2:18" x14ac:dyDescent="0.2">
      <c r="B108" s="5"/>
      <c r="H108" s="5"/>
      <c r="J108" s="5"/>
      <c r="L108" s="5"/>
      <c r="N108" s="5"/>
      <c r="P108" s="5"/>
      <c r="R108" s="5"/>
    </row>
    <row r="109" spans="2:18" x14ac:dyDescent="0.2">
      <c r="B109" s="5"/>
      <c r="H109" s="5"/>
      <c r="J109" s="5"/>
      <c r="L109" s="5"/>
      <c r="N109" s="5"/>
      <c r="P109" s="5"/>
      <c r="R109" s="5"/>
    </row>
    <row r="110" spans="2:18" x14ac:dyDescent="0.2">
      <c r="B110" s="5"/>
      <c r="H110" s="5"/>
      <c r="J110" s="5"/>
      <c r="L110" s="5"/>
      <c r="N110" s="5"/>
      <c r="P110" s="5"/>
      <c r="R110" s="5"/>
    </row>
    <row r="111" spans="2:18" x14ac:dyDescent="0.2">
      <c r="B111" s="5"/>
      <c r="H111" s="5"/>
      <c r="J111" s="5"/>
      <c r="L111" s="5"/>
      <c r="N111" s="5"/>
      <c r="P111" s="5"/>
      <c r="R111" s="5"/>
    </row>
    <row r="112" spans="2:18" x14ac:dyDescent="0.2">
      <c r="B112" s="5"/>
      <c r="H112" s="5"/>
      <c r="J112" s="5"/>
      <c r="L112" s="5"/>
      <c r="N112" s="5"/>
      <c r="P112" s="5"/>
      <c r="R112" s="5"/>
    </row>
    <row r="113" spans="2:18" x14ac:dyDescent="0.2">
      <c r="B113" s="5"/>
      <c r="H113" s="5"/>
      <c r="J113" s="5"/>
      <c r="L113" s="5"/>
      <c r="N113" s="5"/>
      <c r="P113" s="5"/>
      <c r="R113" s="5"/>
    </row>
    <row r="114" spans="2:18" x14ac:dyDescent="0.2">
      <c r="B114" s="5"/>
      <c r="H114" s="5"/>
      <c r="J114" s="5"/>
      <c r="L114" s="5"/>
      <c r="N114" s="5"/>
      <c r="P114" s="5"/>
      <c r="R114" s="5"/>
    </row>
    <row r="115" spans="2:18" x14ac:dyDescent="0.2">
      <c r="B115" s="5"/>
      <c r="H115" s="5"/>
      <c r="J115" s="5"/>
      <c r="L115" s="5"/>
      <c r="N115" s="5"/>
      <c r="P115" s="5"/>
      <c r="R115" s="5"/>
    </row>
    <row r="116" spans="2:18" x14ac:dyDescent="0.2">
      <c r="B116" s="5"/>
      <c r="H116" s="5"/>
      <c r="J116" s="5"/>
      <c r="L116" s="5"/>
      <c r="N116" s="5"/>
      <c r="P116" s="5"/>
      <c r="R116" s="5"/>
    </row>
    <row r="117" spans="2:18" x14ac:dyDescent="0.2">
      <c r="B117" s="5"/>
      <c r="H117" s="5"/>
      <c r="J117" s="5"/>
      <c r="L117" s="5"/>
      <c r="N117" s="5"/>
      <c r="P117" s="5"/>
      <c r="R117" s="5"/>
    </row>
    <row r="118" spans="2:18" x14ac:dyDescent="0.2">
      <c r="B118" s="5"/>
      <c r="H118" s="5"/>
      <c r="J118" s="5"/>
      <c r="L118" s="5"/>
      <c r="N118" s="5"/>
      <c r="P118" s="5"/>
      <c r="R118" s="5"/>
    </row>
    <row r="119" spans="2:18" x14ac:dyDescent="0.2">
      <c r="B119" s="5"/>
      <c r="H119" s="5"/>
      <c r="J119" s="5"/>
      <c r="L119" s="5"/>
      <c r="N119" s="5"/>
      <c r="P119" s="5"/>
      <c r="R119" s="5"/>
    </row>
    <row r="120" spans="2:18" x14ac:dyDescent="0.2">
      <c r="B120" s="5"/>
      <c r="H120" s="5"/>
      <c r="J120" s="5"/>
      <c r="L120" s="5"/>
      <c r="N120" s="5"/>
      <c r="P120" s="5"/>
      <c r="R120" s="5"/>
    </row>
    <row r="121" spans="2:18" x14ac:dyDescent="0.2">
      <c r="B121" s="5"/>
      <c r="H121" s="5"/>
      <c r="J121" s="5"/>
      <c r="L121" s="5"/>
      <c r="N121" s="5"/>
      <c r="P121" s="5"/>
      <c r="R121" s="5"/>
    </row>
    <row r="122" spans="2:18" x14ac:dyDescent="0.2">
      <c r="B122" s="5"/>
      <c r="H122" s="5"/>
      <c r="J122" s="5"/>
      <c r="L122" s="5"/>
      <c r="N122" s="5"/>
      <c r="P122" s="5"/>
      <c r="R122" s="5"/>
    </row>
    <row r="123" spans="2:18" x14ac:dyDescent="0.2">
      <c r="B123" s="5"/>
      <c r="H123" s="5"/>
      <c r="J123" s="5"/>
      <c r="L123" s="5"/>
      <c r="N123" s="5"/>
      <c r="P123" s="5"/>
      <c r="R123" s="5"/>
    </row>
    <row r="124" spans="2:18" x14ac:dyDescent="0.2">
      <c r="B124" s="5"/>
      <c r="H124" s="5"/>
      <c r="J124" s="5"/>
      <c r="L124" s="5"/>
      <c r="N124" s="5"/>
      <c r="P124" s="5"/>
      <c r="R124" s="5"/>
    </row>
    <row r="125" spans="2:18" x14ac:dyDescent="0.2">
      <c r="B125" s="5"/>
      <c r="H125" s="5"/>
      <c r="J125" s="5"/>
      <c r="L125" s="5"/>
      <c r="N125" s="5"/>
      <c r="P125" s="5"/>
      <c r="R125" s="5"/>
    </row>
    <row r="126" spans="2:18" x14ac:dyDescent="0.2">
      <c r="B126" s="5"/>
      <c r="H126" s="5"/>
      <c r="J126" s="5"/>
      <c r="L126" s="5"/>
      <c r="N126" s="5"/>
      <c r="P126" s="5"/>
      <c r="R126" s="5"/>
    </row>
    <row r="127" spans="2:18" x14ac:dyDescent="0.2">
      <c r="B127" s="5"/>
      <c r="H127" s="5"/>
      <c r="J127" s="5"/>
      <c r="L127" s="5"/>
      <c r="N127" s="5"/>
      <c r="P127" s="5"/>
      <c r="R127" s="5"/>
    </row>
    <row r="128" spans="2:18" x14ac:dyDescent="0.2">
      <c r="B128" s="5"/>
      <c r="H128" s="5"/>
      <c r="J128" s="5"/>
      <c r="L128" s="5"/>
      <c r="N128" s="5"/>
      <c r="P128" s="5"/>
      <c r="R128" s="5"/>
    </row>
    <row r="129" spans="2:18" x14ac:dyDescent="0.2">
      <c r="B129" s="5"/>
      <c r="H129" s="5"/>
      <c r="J129" s="5"/>
      <c r="L129" s="5"/>
      <c r="N129" s="5"/>
      <c r="P129" s="5"/>
      <c r="R129" s="5"/>
    </row>
    <row r="130" spans="2:18" x14ac:dyDescent="0.2">
      <c r="B130" s="5"/>
      <c r="H130" s="5"/>
      <c r="J130" s="5"/>
      <c r="L130" s="5"/>
      <c r="N130" s="5"/>
      <c r="P130" s="5"/>
      <c r="R130" s="5"/>
    </row>
    <row r="131" spans="2:18" x14ac:dyDescent="0.2">
      <c r="B131" s="5"/>
      <c r="H131" s="5"/>
      <c r="J131" s="5"/>
      <c r="L131" s="5"/>
      <c r="N131" s="5"/>
      <c r="P131" s="5"/>
      <c r="R131" s="5"/>
    </row>
    <row r="132" spans="2:18" x14ac:dyDescent="0.2">
      <c r="B132" s="5"/>
      <c r="H132" s="5"/>
      <c r="J132" s="5"/>
      <c r="L132" s="5"/>
      <c r="N132" s="5"/>
      <c r="P132" s="5"/>
      <c r="R132" s="5"/>
    </row>
    <row r="133" spans="2:18" x14ac:dyDescent="0.2">
      <c r="B133" s="5"/>
      <c r="H133" s="5"/>
      <c r="J133" s="5"/>
      <c r="L133" s="5"/>
      <c r="N133" s="5"/>
      <c r="P133" s="5"/>
      <c r="R133" s="5"/>
    </row>
    <row r="134" spans="2:18" x14ac:dyDescent="0.2">
      <c r="B134" s="5"/>
      <c r="H134" s="5"/>
      <c r="J134" s="5"/>
      <c r="L134" s="5"/>
      <c r="N134" s="5"/>
      <c r="P134" s="5"/>
      <c r="R134" s="5"/>
    </row>
    <row r="135" spans="2:18" x14ac:dyDescent="0.2">
      <c r="B135" s="5"/>
      <c r="H135" s="5"/>
      <c r="J135" s="5"/>
      <c r="L135" s="5"/>
      <c r="N135" s="5"/>
      <c r="P135" s="5"/>
      <c r="R135" s="5"/>
    </row>
    <row r="136" spans="2:18" x14ac:dyDescent="0.2">
      <c r="B136" s="5"/>
      <c r="H136" s="5"/>
      <c r="J136" s="5"/>
      <c r="L136" s="5"/>
      <c r="N136" s="5"/>
      <c r="P136" s="5"/>
      <c r="R136" s="5"/>
    </row>
    <row r="137" spans="2:18" x14ac:dyDescent="0.2">
      <c r="B137" s="5"/>
      <c r="H137" s="5"/>
      <c r="J137" s="5"/>
      <c r="L137" s="5"/>
      <c r="N137" s="5"/>
      <c r="P137" s="5"/>
      <c r="R137" s="5"/>
    </row>
    <row r="138" spans="2:18" x14ac:dyDescent="0.2">
      <c r="B138" s="5"/>
      <c r="H138" s="5"/>
      <c r="J138" s="5"/>
      <c r="L138" s="5"/>
      <c r="N138" s="5"/>
      <c r="P138" s="5"/>
      <c r="R138" s="5"/>
    </row>
    <row r="139" spans="2:18" x14ac:dyDescent="0.2">
      <c r="B139" s="5"/>
      <c r="H139" s="5"/>
      <c r="J139" s="5"/>
      <c r="L139" s="5"/>
      <c r="N139" s="5"/>
      <c r="P139" s="5"/>
      <c r="R139" s="5"/>
    </row>
    <row r="140" spans="2:18" x14ac:dyDescent="0.2">
      <c r="B140" s="5"/>
      <c r="H140" s="5"/>
      <c r="J140" s="5"/>
      <c r="L140" s="5"/>
      <c r="N140" s="5"/>
      <c r="P140" s="5"/>
      <c r="R140" s="5"/>
    </row>
    <row r="141" spans="2:18" x14ac:dyDescent="0.2">
      <c r="B141" s="5"/>
      <c r="H141" s="5"/>
      <c r="J141" s="5"/>
      <c r="L141" s="5"/>
      <c r="N141" s="5"/>
      <c r="P141" s="5"/>
      <c r="R141" s="5"/>
    </row>
    <row r="142" spans="2:18" x14ac:dyDescent="0.2">
      <c r="B142" s="5"/>
      <c r="H142" s="5"/>
      <c r="J142" s="5"/>
      <c r="L142" s="5"/>
      <c r="N142" s="5"/>
      <c r="P142" s="5"/>
      <c r="R142" s="5"/>
    </row>
    <row r="143" spans="2:18" x14ac:dyDescent="0.2">
      <c r="B143" s="5"/>
      <c r="H143" s="5"/>
      <c r="J143" s="5"/>
      <c r="L143" s="5"/>
      <c r="N143" s="5"/>
      <c r="P143" s="5"/>
      <c r="R143" s="5"/>
    </row>
    <row r="144" spans="2:18" x14ac:dyDescent="0.2">
      <c r="B144" s="5"/>
      <c r="H144" s="5"/>
      <c r="J144" s="5"/>
      <c r="L144" s="5"/>
      <c r="N144" s="5"/>
      <c r="P144" s="5"/>
      <c r="R144" s="5"/>
    </row>
    <row r="145" spans="2:18" x14ac:dyDescent="0.2">
      <c r="B145" s="5"/>
      <c r="H145" s="5"/>
      <c r="J145" s="5"/>
      <c r="L145" s="5"/>
      <c r="N145" s="5"/>
      <c r="P145" s="5"/>
      <c r="R145" s="5"/>
    </row>
    <row r="146" spans="2:18" x14ac:dyDescent="0.2">
      <c r="B146" s="5"/>
      <c r="H146" s="5"/>
      <c r="J146" s="5"/>
      <c r="L146" s="5"/>
      <c r="N146" s="5"/>
      <c r="P146" s="5"/>
      <c r="R146" s="5"/>
    </row>
    <row r="147" spans="2:18" x14ac:dyDescent="0.2">
      <c r="B147" s="5"/>
      <c r="H147" s="5"/>
      <c r="J147" s="5"/>
      <c r="L147" s="5"/>
      <c r="N147" s="5"/>
      <c r="P147" s="5"/>
      <c r="R147" s="5"/>
    </row>
    <row r="148" spans="2:18" x14ac:dyDescent="0.2">
      <c r="B148" s="5"/>
      <c r="H148" s="5"/>
      <c r="J148" s="5"/>
      <c r="L148" s="5"/>
      <c r="N148" s="5"/>
      <c r="P148" s="5"/>
      <c r="R148" s="5"/>
    </row>
    <row r="149" spans="2:18" x14ac:dyDescent="0.2">
      <c r="B149" s="5"/>
      <c r="H149" s="5"/>
      <c r="J149" s="5"/>
      <c r="L149" s="5"/>
      <c r="N149" s="5"/>
      <c r="P149" s="5"/>
      <c r="R149" s="5"/>
    </row>
    <row r="150" spans="2:18" x14ac:dyDescent="0.2">
      <c r="B150" s="5"/>
      <c r="H150" s="5"/>
      <c r="J150" s="5"/>
      <c r="L150" s="5"/>
      <c r="N150" s="5"/>
      <c r="P150" s="5"/>
      <c r="R150" s="5"/>
    </row>
    <row r="151" spans="2:18" x14ac:dyDescent="0.2">
      <c r="B151" s="5"/>
      <c r="H151" s="5"/>
      <c r="J151" s="5"/>
      <c r="L151" s="5"/>
      <c r="N151" s="5"/>
      <c r="P151" s="5"/>
      <c r="R151" s="5"/>
    </row>
    <row r="152" spans="2:18" x14ac:dyDescent="0.2">
      <c r="B152" s="5"/>
      <c r="H152" s="5"/>
      <c r="J152" s="5"/>
      <c r="L152" s="5"/>
      <c r="N152" s="5"/>
      <c r="P152" s="5"/>
      <c r="R152" s="5"/>
    </row>
    <row r="153" spans="2:18" x14ac:dyDescent="0.2">
      <c r="B153" s="5"/>
      <c r="H153" s="5"/>
      <c r="J153" s="5"/>
      <c r="L153" s="5"/>
      <c r="N153" s="5"/>
      <c r="P153" s="5"/>
      <c r="R153" s="5"/>
    </row>
    <row r="154" spans="2:18" x14ac:dyDescent="0.2">
      <c r="B154" s="5"/>
      <c r="H154" s="5"/>
      <c r="J154" s="5"/>
      <c r="L154" s="5"/>
      <c r="N154" s="5"/>
      <c r="P154" s="5"/>
      <c r="R154" s="5"/>
    </row>
    <row r="155" spans="2:18" x14ac:dyDescent="0.2">
      <c r="B155" s="5"/>
      <c r="H155" s="5"/>
      <c r="J155" s="5"/>
      <c r="L155" s="5"/>
      <c r="N155" s="5"/>
      <c r="P155" s="5"/>
      <c r="R155" s="5"/>
    </row>
    <row r="156" spans="2:18" x14ac:dyDescent="0.2">
      <c r="B156" s="5"/>
      <c r="H156" s="5"/>
      <c r="J156" s="5"/>
      <c r="L156" s="5"/>
      <c r="N156" s="5"/>
      <c r="P156" s="5"/>
      <c r="R156" s="5"/>
    </row>
    <row r="157" spans="2:18" x14ac:dyDescent="0.2">
      <c r="B157" s="5"/>
      <c r="H157" s="5"/>
      <c r="J157" s="5"/>
      <c r="L157" s="5"/>
      <c r="N157" s="5"/>
      <c r="P157" s="5"/>
      <c r="R157" s="5"/>
    </row>
    <row r="158" spans="2:18" x14ac:dyDescent="0.2">
      <c r="B158" s="5"/>
      <c r="H158" s="5"/>
      <c r="J158" s="5"/>
      <c r="L158" s="5"/>
      <c r="N158" s="5"/>
      <c r="P158" s="5"/>
      <c r="R158" s="5"/>
    </row>
    <row r="159" spans="2:18" x14ac:dyDescent="0.2">
      <c r="B159" s="5"/>
      <c r="H159" s="5"/>
      <c r="J159" s="5"/>
      <c r="L159" s="5"/>
      <c r="N159" s="5"/>
      <c r="P159" s="5"/>
      <c r="R159" s="5"/>
    </row>
    <row r="160" spans="2:18" x14ac:dyDescent="0.2">
      <c r="B160" s="5"/>
      <c r="H160" s="5"/>
      <c r="J160" s="5"/>
      <c r="L160" s="5"/>
      <c r="N160" s="5"/>
      <c r="P160" s="5"/>
      <c r="R160" s="5"/>
    </row>
    <row r="161" spans="2:18" x14ac:dyDescent="0.2">
      <c r="B161" s="5"/>
      <c r="H161" s="5"/>
      <c r="J161" s="5"/>
      <c r="L161" s="5"/>
      <c r="N161" s="5"/>
      <c r="P161" s="5"/>
      <c r="R161" s="5"/>
    </row>
    <row r="162" spans="2:18" x14ac:dyDescent="0.2">
      <c r="B162" s="5"/>
      <c r="H162" s="5"/>
      <c r="J162" s="5"/>
      <c r="L162" s="5"/>
      <c r="N162" s="5"/>
      <c r="P162" s="5"/>
      <c r="R162" s="5"/>
    </row>
    <row r="163" spans="2:18" x14ac:dyDescent="0.2">
      <c r="B163" s="5"/>
      <c r="H163" s="5"/>
      <c r="J163" s="5"/>
      <c r="L163" s="5"/>
      <c r="N163" s="5"/>
      <c r="P163" s="5"/>
      <c r="R163" s="5"/>
    </row>
    <row r="164" spans="2:18" x14ac:dyDescent="0.2">
      <c r="B164" s="5"/>
      <c r="H164" s="5"/>
      <c r="J164" s="5"/>
      <c r="L164" s="5"/>
      <c r="N164" s="5"/>
      <c r="P164" s="5"/>
      <c r="R164" s="5"/>
    </row>
    <row r="165" spans="2:18" x14ac:dyDescent="0.2">
      <c r="B165" s="5"/>
      <c r="H165" s="5"/>
      <c r="J165" s="5"/>
      <c r="L165" s="5"/>
      <c r="N165" s="5"/>
      <c r="P165" s="5"/>
      <c r="R165" s="5"/>
    </row>
    <row r="166" spans="2:18" x14ac:dyDescent="0.2">
      <c r="B166" s="5"/>
      <c r="H166" s="5"/>
      <c r="J166" s="5"/>
      <c r="L166" s="5"/>
      <c r="N166" s="5"/>
      <c r="P166" s="5"/>
      <c r="R166" s="5"/>
    </row>
    <row r="167" spans="2:18" x14ac:dyDescent="0.2">
      <c r="B167" s="5"/>
      <c r="H167" s="5"/>
      <c r="J167" s="5"/>
      <c r="L167" s="5"/>
      <c r="N167" s="5"/>
      <c r="P167" s="5"/>
      <c r="R167" s="5"/>
    </row>
    <row r="168" spans="2:18" x14ac:dyDescent="0.2">
      <c r="B168" s="5"/>
      <c r="H168" s="5"/>
      <c r="J168" s="5"/>
      <c r="L168" s="5"/>
      <c r="N168" s="5"/>
      <c r="P168" s="5"/>
      <c r="R168" s="5"/>
    </row>
    <row r="169" spans="2:18" x14ac:dyDescent="0.2">
      <c r="B169" s="5"/>
      <c r="H169" s="5"/>
      <c r="J169" s="5"/>
      <c r="L169" s="5"/>
      <c r="N169" s="5"/>
      <c r="P169" s="5"/>
      <c r="R169" s="5"/>
    </row>
    <row r="170" spans="2:18" x14ac:dyDescent="0.2">
      <c r="B170" s="5"/>
      <c r="H170" s="5"/>
      <c r="J170" s="5"/>
      <c r="L170" s="5"/>
      <c r="N170" s="5"/>
      <c r="P170" s="5"/>
      <c r="R170" s="5"/>
    </row>
    <row r="171" spans="2:18" x14ac:dyDescent="0.2">
      <c r="B171" s="5"/>
      <c r="H171" s="5"/>
      <c r="J171" s="5"/>
      <c r="L171" s="5"/>
      <c r="N171" s="5"/>
      <c r="P171" s="5"/>
      <c r="R171" s="5"/>
    </row>
    <row r="172" spans="2:18" x14ac:dyDescent="0.2">
      <c r="B172" s="5"/>
      <c r="H172" s="5"/>
      <c r="J172" s="5"/>
      <c r="L172" s="5"/>
      <c r="N172" s="5"/>
      <c r="P172" s="5"/>
      <c r="R172" s="5"/>
    </row>
    <row r="173" spans="2:18" x14ac:dyDescent="0.2">
      <c r="B173" s="5"/>
      <c r="H173" s="5"/>
      <c r="J173" s="5"/>
      <c r="L173" s="5"/>
      <c r="N173" s="5"/>
      <c r="P173" s="5"/>
      <c r="R173" s="5"/>
    </row>
    <row r="174" spans="2:18" x14ac:dyDescent="0.2">
      <c r="B174" s="5"/>
      <c r="H174" s="5"/>
      <c r="J174" s="5"/>
      <c r="L174" s="5"/>
      <c r="N174" s="5"/>
      <c r="P174" s="5"/>
      <c r="R174" s="5"/>
    </row>
    <row r="175" spans="2:18" x14ac:dyDescent="0.2">
      <c r="B175" s="5"/>
      <c r="H175" s="5"/>
      <c r="J175" s="5"/>
      <c r="L175" s="5"/>
      <c r="N175" s="5"/>
      <c r="P175" s="5"/>
      <c r="R175" s="5"/>
    </row>
    <row r="176" spans="2:18" x14ac:dyDescent="0.2">
      <c r="B176" s="5"/>
      <c r="H176" s="5"/>
      <c r="J176" s="5"/>
      <c r="L176" s="5"/>
      <c r="N176" s="5"/>
      <c r="P176" s="5"/>
      <c r="R176" s="5"/>
    </row>
    <row r="177" spans="2:18" x14ac:dyDescent="0.2">
      <c r="B177" s="5"/>
      <c r="H177" s="5"/>
      <c r="J177" s="5"/>
      <c r="L177" s="5"/>
      <c r="N177" s="5"/>
      <c r="P177" s="5"/>
      <c r="R177" s="5"/>
    </row>
    <row r="178" spans="2:18" x14ac:dyDescent="0.2">
      <c r="B178" s="5"/>
      <c r="H178" s="5"/>
      <c r="J178" s="5"/>
      <c r="L178" s="5"/>
      <c r="N178" s="5"/>
      <c r="P178" s="5"/>
      <c r="R178" s="5"/>
    </row>
    <row r="179" spans="2:18" x14ac:dyDescent="0.2">
      <c r="B179" s="5"/>
      <c r="H179" s="5"/>
      <c r="J179" s="5"/>
      <c r="L179" s="5"/>
      <c r="N179" s="5"/>
      <c r="P179" s="5"/>
      <c r="R179" s="5"/>
    </row>
    <row r="180" spans="2:18" x14ac:dyDescent="0.2">
      <c r="B180" s="5"/>
      <c r="H180" s="5"/>
      <c r="J180" s="5"/>
      <c r="L180" s="5"/>
      <c r="N180" s="5"/>
      <c r="P180" s="5"/>
      <c r="R180" s="5"/>
    </row>
    <row r="181" spans="2:18" x14ac:dyDescent="0.2">
      <c r="B181" s="5"/>
      <c r="H181" s="5"/>
      <c r="J181" s="5"/>
      <c r="L181" s="5"/>
      <c r="N181" s="5"/>
      <c r="P181" s="5"/>
      <c r="R181" s="5"/>
    </row>
    <row r="182" spans="2:18" x14ac:dyDescent="0.2">
      <c r="B182" s="5"/>
      <c r="H182" s="5"/>
      <c r="J182" s="5"/>
      <c r="L182" s="5"/>
      <c r="N182" s="5"/>
      <c r="P182" s="5"/>
      <c r="R182" s="5"/>
    </row>
    <row r="183" spans="2:18" x14ac:dyDescent="0.2">
      <c r="B183" s="5"/>
      <c r="H183" s="5"/>
      <c r="J183" s="5"/>
      <c r="L183" s="5"/>
      <c r="N183" s="5"/>
      <c r="P183" s="5"/>
      <c r="R183" s="5"/>
    </row>
    <row r="184" spans="2:18" x14ac:dyDescent="0.2">
      <c r="B184" s="5"/>
      <c r="H184" s="5"/>
      <c r="J184" s="5"/>
      <c r="L184" s="5"/>
      <c r="N184" s="5"/>
      <c r="P184" s="5"/>
      <c r="R184" s="5"/>
    </row>
    <row r="185" spans="2:18" x14ac:dyDescent="0.2">
      <c r="B185" s="5"/>
      <c r="H185" s="5"/>
      <c r="J185" s="5"/>
      <c r="L185" s="5"/>
      <c r="N185" s="5"/>
      <c r="P185" s="5"/>
      <c r="R185" s="5"/>
    </row>
    <row r="186" spans="2:18" x14ac:dyDescent="0.2">
      <c r="B186" s="5"/>
      <c r="H186" s="5"/>
      <c r="J186" s="5"/>
      <c r="L186" s="5"/>
      <c r="N186" s="5"/>
      <c r="P186" s="5"/>
      <c r="R186" s="5"/>
    </row>
    <row r="187" spans="2:18" x14ac:dyDescent="0.2">
      <c r="B187" s="5"/>
      <c r="H187" s="5"/>
      <c r="J187" s="5"/>
      <c r="L187" s="5"/>
      <c r="N187" s="5"/>
      <c r="P187" s="5"/>
      <c r="R187" s="5"/>
    </row>
    <row r="188" spans="2:18" x14ac:dyDescent="0.2">
      <c r="B188" s="5"/>
      <c r="H188" s="5"/>
      <c r="J188" s="5"/>
      <c r="L188" s="5"/>
      <c r="N188" s="5"/>
      <c r="P188" s="5"/>
      <c r="R188" s="5"/>
    </row>
    <row r="189" spans="2:18" x14ac:dyDescent="0.2">
      <c r="B189" s="5"/>
      <c r="H189" s="5"/>
      <c r="J189" s="5"/>
      <c r="L189" s="5"/>
      <c r="N189" s="5"/>
      <c r="P189" s="5"/>
      <c r="R189" s="5"/>
    </row>
    <row r="190" spans="2:18" x14ac:dyDescent="0.2">
      <c r="B190" s="5"/>
      <c r="H190" s="5"/>
      <c r="J190" s="5"/>
      <c r="L190" s="5"/>
      <c r="N190" s="5"/>
      <c r="P190" s="5"/>
      <c r="R190" s="5"/>
    </row>
    <row r="191" spans="2:18" x14ac:dyDescent="0.2">
      <c r="B191" s="5"/>
      <c r="H191" s="5"/>
      <c r="J191" s="5"/>
      <c r="L191" s="5"/>
      <c r="N191" s="5"/>
      <c r="P191" s="5"/>
      <c r="R191" s="5"/>
    </row>
    <row r="192" spans="2:18" x14ac:dyDescent="0.2">
      <c r="B192" s="5"/>
      <c r="H192" s="5"/>
      <c r="J192" s="5"/>
      <c r="L192" s="5"/>
      <c r="N192" s="5"/>
      <c r="P192" s="5"/>
      <c r="R192" s="5"/>
    </row>
    <row r="193" spans="2:18" x14ac:dyDescent="0.2">
      <c r="B193" s="5"/>
      <c r="H193" s="5"/>
      <c r="J193" s="5"/>
      <c r="L193" s="5"/>
      <c r="N193" s="5"/>
      <c r="P193" s="5"/>
      <c r="R193" s="5"/>
    </row>
    <row r="194" spans="2:18" x14ac:dyDescent="0.2">
      <c r="B194" s="5"/>
      <c r="H194" s="5"/>
      <c r="J194" s="5"/>
      <c r="L194" s="5"/>
      <c r="N194" s="5"/>
      <c r="P194" s="5"/>
      <c r="R194" s="5"/>
    </row>
    <row r="195" spans="2:18" x14ac:dyDescent="0.2">
      <c r="B195" s="5"/>
      <c r="H195" s="5"/>
      <c r="J195" s="5"/>
      <c r="L195" s="5"/>
      <c r="N195" s="5"/>
      <c r="P195" s="5"/>
      <c r="R195" s="5"/>
    </row>
    <row r="196" spans="2:18" x14ac:dyDescent="0.2">
      <c r="B196" s="5"/>
      <c r="H196" s="5"/>
      <c r="J196" s="5"/>
      <c r="L196" s="5"/>
      <c r="N196" s="5"/>
      <c r="P196" s="5"/>
      <c r="R196" s="5"/>
    </row>
    <row r="197" spans="2:18" x14ac:dyDescent="0.2">
      <c r="B197" s="5"/>
      <c r="H197" s="5"/>
      <c r="J197" s="5"/>
      <c r="L197" s="5"/>
      <c r="N197" s="5"/>
      <c r="P197" s="5"/>
      <c r="R197" s="5"/>
    </row>
    <row r="198" spans="2:18" x14ac:dyDescent="0.2">
      <c r="B198" s="5"/>
      <c r="H198" s="5"/>
      <c r="J198" s="5"/>
      <c r="L198" s="5"/>
      <c r="N198" s="5"/>
      <c r="P198" s="5"/>
      <c r="R198" s="5"/>
    </row>
    <row r="199" spans="2:18" x14ac:dyDescent="0.2">
      <c r="B199" s="5"/>
      <c r="H199" s="5"/>
      <c r="J199" s="5"/>
      <c r="L199" s="5"/>
      <c r="N199" s="5"/>
      <c r="P199" s="5"/>
      <c r="R199" s="5"/>
    </row>
    <row r="200" spans="2:18" x14ac:dyDescent="0.2">
      <c r="B200" s="5"/>
      <c r="H200" s="5"/>
      <c r="J200" s="5"/>
      <c r="L200" s="5"/>
      <c r="N200" s="5"/>
      <c r="P200" s="5"/>
      <c r="R200" s="5"/>
    </row>
    <row r="201" spans="2:18" x14ac:dyDescent="0.2">
      <c r="B201" s="5"/>
      <c r="H201" s="5"/>
      <c r="J201" s="5"/>
      <c r="L201" s="5"/>
      <c r="N201" s="5"/>
      <c r="P201" s="5"/>
      <c r="R201" s="5"/>
    </row>
    <row r="202" spans="2:18" x14ac:dyDescent="0.2">
      <c r="B202" s="5"/>
      <c r="H202" s="5"/>
      <c r="J202" s="5"/>
      <c r="L202" s="5"/>
      <c r="N202" s="5"/>
      <c r="P202" s="5"/>
      <c r="R202" s="5"/>
    </row>
    <row r="203" spans="2:18" x14ac:dyDescent="0.2">
      <c r="B203" s="5"/>
      <c r="H203" s="5"/>
      <c r="J203" s="5"/>
      <c r="L203" s="5"/>
      <c r="N203" s="5"/>
      <c r="P203" s="5"/>
      <c r="R203" s="5"/>
    </row>
    <row r="204" spans="2:18" x14ac:dyDescent="0.2">
      <c r="B204" s="5"/>
      <c r="H204" s="5"/>
      <c r="J204" s="5"/>
      <c r="L204" s="5"/>
      <c r="N204" s="5"/>
      <c r="P204" s="5"/>
      <c r="R204" s="5"/>
    </row>
    <row r="205" spans="2:18" x14ac:dyDescent="0.2">
      <c r="B205" s="5"/>
      <c r="H205" s="5"/>
      <c r="J205" s="5"/>
      <c r="L205" s="5"/>
      <c r="N205" s="5"/>
      <c r="P205" s="5"/>
      <c r="R205" s="5"/>
    </row>
    <row r="206" spans="2:18" x14ac:dyDescent="0.2">
      <c r="B206" s="5"/>
      <c r="H206" s="5"/>
      <c r="J206" s="5"/>
      <c r="L206" s="5"/>
      <c r="N206" s="5"/>
      <c r="P206" s="5"/>
      <c r="R206" s="5"/>
    </row>
    <row r="207" spans="2:18" x14ac:dyDescent="0.2">
      <c r="B207" s="5"/>
      <c r="H207" s="5"/>
      <c r="J207" s="5"/>
      <c r="L207" s="5"/>
      <c r="N207" s="5"/>
      <c r="P207" s="5"/>
      <c r="R207" s="5"/>
    </row>
    <row r="208" spans="2:18" x14ac:dyDescent="0.2">
      <c r="B208" s="5"/>
      <c r="H208" s="5"/>
      <c r="J208" s="5"/>
      <c r="L208" s="5"/>
      <c r="N208" s="5"/>
      <c r="P208" s="5"/>
      <c r="R208" s="5"/>
    </row>
    <row r="209" spans="2:18" x14ac:dyDescent="0.2">
      <c r="B209" s="5"/>
      <c r="H209" s="5"/>
      <c r="J209" s="5"/>
      <c r="L209" s="5"/>
      <c r="N209" s="5"/>
      <c r="P209" s="5"/>
      <c r="R209" s="5"/>
    </row>
    <row r="210" spans="2:18" x14ac:dyDescent="0.2">
      <c r="B210" s="5"/>
      <c r="H210" s="5"/>
      <c r="J210" s="5"/>
      <c r="L210" s="5"/>
      <c r="N210" s="5"/>
      <c r="P210" s="5"/>
      <c r="R210" s="5"/>
    </row>
    <row r="211" spans="2:18" x14ac:dyDescent="0.2">
      <c r="B211" s="5"/>
      <c r="H211" s="5"/>
      <c r="J211" s="5"/>
      <c r="L211" s="5"/>
      <c r="N211" s="5"/>
      <c r="P211" s="5"/>
      <c r="R211" s="5"/>
    </row>
    <row r="212" spans="2:18" x14ac:dyDescent="0.2">
      <c r="B212" s="5"/>
      <c r="H212" s="5"/>
      <c r="J212" s="5"/>
      <c r="L212" s="5"/>
      <c r="N212" s="5"/>
      <c r="P212" s="5"/>
      <c r="R212" s="5"/>
    </row>
    <row r="213" spans="2:18" x14ac:dyDescent="0.2">
      <c r="B213" s="5"/>
      <c r="H213" s="5"/>
      <c r="J213" s="5"/>
      <c r="L213" s="5"/>
      <c r="N213" s="5"/>
      <c r="P213" s="5"/>
      <c r="R213" s="5"/>
    </row>
    <row r="214" spans="2:18" x14ac:dyDescent="0.2">
      <c r="B214" s="5"/>
      <c r="H214" s="5"/>
      <c r="J214" s="5"/>
      <c r="L214" s="5"/>
      <c r="N214" s="5"/>
      <c r="P214" s="5"/>
      <c r="R214" s="5"/>
    </row>
    <row r="215" spans="2:18" x14ac:dyDescent="0.2">
      <c r="B215" s="5"/>
      <c r="H215" s="5"/>
      <c r="J215" s="5"/>
      <c r="L215" s="5"/>
      <c r="N215" s="5"/>
      <c r="P215" s="5"/>
      <c r="R215" s="5"/>
    </row>
    <row r="216" spans="2:18" x14ac:dyDescent="0.2">
      <c r="B216" s="5"/>
      <c r="H216" s="5"/>
      <c r="J216" s="5"/>
      <c r="L216" s="5"/>
      <c r="N216" s="5"/>
      <c r="P216" s="5"/>
      <c r="R216" s="5"/>
    </row>
    <row r="217" spans="2:18" x14ac:dyDescent="0.2">
      <c r="B217" s="5"/>
      <c r="H217" s="5"/>
      <c r="J217" s="5"/>
      <c r="L217" s="5"/>
      <c r="N217" s="5"/>
      <c r="P217" s="5"/>
      <c r="R217" s="5"/>
    </row>
    <row r="218" spans="2:18" x14ac:dyDescent="0.2">
      <c r="B218" s="5"/>
      <c r="H218" s="5"/>
      <c r="J218" s="5"/>
      <c r="L218" s="5"/>
      <c r="N218" s="5"/>
      <c r="P218" s="5"/>
      <c r="R218" s="5"/>
    </row>
    <row r="219" spans="2:18" x14ac:dyDescent="0.2">
      <c r="B219" s="5"/>
      <c r="H219" s="5"/>
      <c r="J219" s="5"/>
      <c r="L219" s="5"/>
      <c r="N219" s="5"/>
      <c r="P219" s="5"/>
      <c r="R219" s="5"/>
    </row>
    <row r="220" spans="2:18" x14ac:dyDescent="0.2">
      <c r="B220" s="5"/>
      <c r="H220" s="5"/>
      <c r="J220" s="5"/>
      <c r="L220" s="5"/>
      <c r="N220" s="5"/>
      <c r="P220" s="5"/>
      <c r="R220" s="5"/>
    </row>
    <row r="221" spans="2:18" x14ac:dyDescent="0.2">
      <c r="B221" s="5"/>
      <c r="H221" s="5"/>
      <c r="J221" s="5"/>
      <c r="L221" s="5"/>
      <c r="N221" s="5"/>
      <c r="P221" s="5"/>
      <c r="R221" s="5"/>
    </row>
    <row r="222" spans="2:18" x14ac:dyDescent="0.2">
      <c r="B222" s="5"/>
      <c r="H222" s="5"/>
      <c r="J222" s="5"/>
      <c r="L222" s="5"/>
      <c r="N222" s="5"/>
      <c r="P222" s="5"/>
      <c r="R222" s="5"/>
    </row>
    <row r="223" spans="2:18" x14ac:dyDescent="0.2">
      <c r="B223" s="5"/>
      <c r="H223" s="5"/>
      <c r="J223" s="5"/>
      <c r="L223" s="5"/>
      <c r="N223" s="5"/>
      <c r="P223" s="5"/>
      <c r="R223" s="5"/>
    </row>
    <row r="224" spans="2:18" x14ac:dyDescent="0.2">
      <c r="B224" s="5"/>
      <c r="H224" s="5"/>
      <c r="J224" s="5"/>
      <c r="L224" s="5"/>
      <c r="N224" s="5"/>
      <c r="P224" s="5"/>
      <c r="R224" s="5"/>
    </row>
    <row r="225" spans="2:18" x14ac:dyDescent="0.2">
      <c r="B225" s="5"/>
      <c r="H225" s="5"/>
      <c r="J225" s="5"/>
      <c r="L225" s="5"/>
      <c r="N225" s="5"/>
      <c r="P225" s="5"/>
      <c r="R225" s="5"/>
    </row>
    <row r="226" spans="2:18" x14ac:dyDescent="0.2">
      <c r="B226" s="5"/>
      <c r="H226" s="5"/>
      <c r="J226" s="5"/>
      <c r="L226" s="5"/>
      <c r="N226" s="5"/>
      <c r="P226" s="5"/>
      <c r="R226" s="5"/>
    </row>
    <row r="227" spans="2:18" x14ac:dyDescent="0.2">
      <c r="B227" s="5"/>
      <c r="H227" s="5"/>
      <c r="J227" s="5"/>
      <c r="L227" s="5"/>
      <c r="N227" s="5"/>
      <c r="P227" s="5"/>
      <c r="R227" s="5"/>
    </row>
    <row r="228" spans="2:18" x14ac:dyDescent="0.2">
      <c r="B228" s="5"/>
      <c r="H228" s="5"/>
      <c r="J228" s="5"/>
      <c r="L228" s="5"/>
      <c r="N228" s="5"/>
      <c r="P228" s="5"/>
      <c r="R228" s="5"/>
    </row>
    <row r="229" spans="2:18" x14ac:dyDescent="0.2">
      <c r="B229" s="5"/>
      <c r="H229" s="5"/>
      <c r="J229" s="5"/>
      <c r="L229" s="5"/>
      <c r="N229" s="5"/>
      <c r="P229" s="5"/>
      <c r="R229" s="5"/>
    </row>
    <row r="230" spans="2:18" x14ac:dyDescent="0.2">
      <c r="B230" s="5"/>
      <c r="H230" s="5"/>
      <c r="J230" s="5"/>
      <c r="L230" s="5"/>
      <c r="N230" s="5"/>
      <c r="P230" s="5"/>
      <c r="R230" s="5"/>
    </row>
    <row r="231" spans="2:18" x14ac:dyDescent="0.2">
      <c r="B231" s="5"/>
      <c r="H231" s="5"/>
      <c r="J231" s="5"/>
      <c r="L231" s="5"/>
      <c r="N231" s="5"/>
      <c r="P231" s="5"/>
      <c r="R231" s="5"/>
    </row>
    <row r="232" spans="2:18" x14ac:dyDescent="0.2">
      <c r="B232" s="5"/>
      <c r="H232" s="5"/>
      <c r="J232" s="5"/>
      <c r="L232" s="5"/>
      <c r="N232" s="5"/>
      <c r="P232" s="5"/>
      <c r="R232" s="5"/>
    </row>
    <row r="233" spans="2:18" x14ac:dyDescent="0.2">
      <c r="B233" s="5"/>
      <c r="H233" s="5"/>
      <c r="J233" s="5"/>
      <c r="L233" s="5"/>
      <c r="N233" s="5"/>
      <c r="P233" s="5"/>
      <c r="R233" s="5"/>
    </row>
    <row r="234" spans="2:18" x14ac:dyDescent="0.2">
      <c r="B234" s="5"/>
      <c r="H234" s="5"/>
      <c r="J234" s="5"/>
      <c r="L234" s="5"/>
      <c r="N234" s="5"/>
      <c r="P234" s="5"/>
      <c r="R234" s="5"/>
    </row>
    <row r="235" spans="2:18" x14ac:dyDescent="0.2">
      <c r="B235" s="5"/>
      <c r="H235" s="5"/>
      <c r="J235" s="5"/>
      <c r="L235" s="5"/>
      <c r="N235" s="5"/>
      <c r="P235" s="5"/>
      <c r="R235" s="5"/>
    </row>
    <row r="236" spans="2:18" x14ac:dyDescent="0.2">
      <c r="B236" s="5"/>
      <c r="H236" s="5"/>
      <c r="J236" s="5"/>
      <c r="L236" s="5"/>
      <c r="N236" s="5"/>
      <c r="P236" s="5"/>
      <c r="R236" s="5"/>
    </row>
    <row r="237" spans="2:18" x14ac:dyDescent="0.2">
      <c r="B237" s="5"/>
      <c r="H237" s="5"/>
      <c r="J237" s="5"/>
      <c r="L237" s="5"/>
      <c r="N237" s="5"/>
      <c r="P237" s="5"/>
      <c r="R237" s="5"/>
    </row>
    <row r="238" spans="2:18" x14ac:dyDescent="0.2">
      <c r="B238" s="5"/>
      <c r="H238" s="5"/>
      <c r="J238" s="5"/>
      <c r="L238" s="5"/>
      <c r="N238" s="5"/>
      <c r="P238" s="5"/>
      <c r="R238" s="5"/>
    </row>
    <row r="239" spans="2:18" x14ac:dyDescent="0.2">
      <c r="B239" s="5"/>
      <c r="H239" s="5"/>
      <c r="J239" s="5"/>
      <c r="L239" s="5"/>
      <c r="N239" s="5"/>
      <c r="P239" s="5"/>
      <c r="R239" s="5"/>
    </row>
    <row r="240" spans="2:18" x14ac:dyDescent="0.2">
      <c r="B240" s="5"/>
      <c r="H240" s="5"/>
      <c r="J240" s="5"/>
      <c r="L240" s="5"/>
      <c r="N240" s="5"/>
      <c r="P240" s="5"/>
      <c r="R240" s="5"/>
    </row>
    <row r="241" spans="2:18" x14ac:dyDescent="0.2">
      <c r="B241" s="5"/>
      <c r="H241" s="5"/>
      <c r="J241" s="5"/>
      <c r="L241" s="5"/>
      <c r="N241" s="5"/>
      <c r="P241" s="5"/>
      <c r="R241" s="5"/>
    </row>
    <row r="242" spans="2:18" x14ac:dyDescent="0.2">
      <c r="B242" s="5"/>
      <c r="H242" s="5"/>
      <c r="J242" s="5"/>
      <c r="L242" s="5"/>
      <c r="N242" s="5"/>
      <c r="P242" s="5"/>
      <c r="R242" s="5"/>
    </row>
    <row r="243" spans="2:18" x14ac:dyDescent="0.2">
      <c r="B243" s="5"/>
      <c r="H243" s="5"/>
      <c r="J243" s="5"/>
      <c r="L243" s="5"/>
      <c r="N243" s="5"/>
      <c r="P243" s="5"/>
      <c r="R243" s="5"/>
    </row>
    <row r="244" spans="2:18" x14ac:dyDescent="0.2">
      <c r="B244" s="5"/>
      <c r="H244" s="5"/>
      <c r="J244" s="5"/>
      <c r="L244" s="5"/>
      <c r="N244" s="5"/>
      <c r="P244" s="5"/>
      <c r="R244" s="5"/>
    </row>
    <row r="245" spans="2:18" x14ac:dyDescent="0.2">
      <c r="B245" s="5"/>
      <c r="H245" s="5"/>
      <c r="J245" s="5"/>
      <c r="L245" s="5"/>
      <c r="N245" s="5"/>
      <c r="P245" s="5"/>
      <c r="R245" s="5"/>
    </row>
    <row r="246" spans="2:18" x14ac:dyDescent="0.2">
      <c r="B246" s="5"/>
      <c r="H246" s="5"/>
      <c r="J246" s="5"/>
      <c r="L246" s="5"/>
      <c r="N246" s="5"/>
      <c r="P246" s="5"/>
      <c r="R246" s="5"/>
    </row>
    <row r="247" spans="2:18" x14ac:dyDescent="0.2">
      <c r="B247" s="5"/>
      <c r="H247" s="5"/>
      <c r="J247" s="5"/>
      <c r="L247" s="5"/>
      <c r="N247" s="5"/>
      <c r="P247" s="5"/>
      <c r="R247" s="5"/>
    </row>
    <row r="248" spans="2:18" x14ac:dyDescent="0.2">
      <c r="B248" s="5"/>
      <c r="H248" s="5"/>
      <c r="J248" s="5"/>
      <c r="L248" s="5"/>
      <c r="N248" s="5"/>
      <c r="P248" s="5"/>
      <c r="R248" s="5"/>
    </row>
    <row r="249" spans="2:18" x14ac:dyDescent="0.2">
      <c r="B249" s="5"/>
      <c r="H249" s="5"/>
      <c r="J249" s="5"/>
      <c r="L249" s="5"/>
      <c r="N249" s="5"/>
      <c r="P249" s="5"/>
      <c r="R249" s="5"/>
    </row>
    <row r="250" spans="2:18" x14ac:dyDescent="0.2">
      <c r="B250" s="5"/>
      <c r="H250" s="5"/>
      <c r="J250" s="5"/>
      <c r="L250" s="5"/>
      <c r="N250" s="5"/>
      <c r="P250" s="5"/>
      <c r="R250" s="5"/>
    </row>
    <row r="251" spans="2:18" x14ac:dyDescent="0.2">
      <c r="B251" s="5"/>
      <c r="H251" s="5"/>
      <c r="J251" s="5"/>
      <c r="L251" s="5"/>
      <c r="N251" s="5"/>
      <c r="P251" s="5"/>
      <c r="R251" s="5"/>
    </row>
    <row r="252" spans="2:18" x14ac:dyDescent="0.2">
      <c r="B252" s="5"/>
      <c r="H252" s="5"/>
      <c r="J252" s="5"/>
      <c r="L252" s="5"/>
      <c r="N252" s="5"/>
      <c r="P252" s="5"/>
      <c r="R252" s="5"/>
    </row>
    <row r="253" spans="2:18" x14ac:dyDescent="0.2">
      <c r="B253" s="5"/>
      <c r="H253" s="5"/>
      <c r="J253" s="5"/>
      <c r="L253" s="5"/>
      <c r="N253" s="5"/>
      <c r="P253" s="5"/>
      <c r="R253" s="5"/>
    </row>
    <row r="254" spans="2:18" x14ac:dyDescent="0.2">
      <c r="B254" s="5"/>
      <c r="H254" s="5"/>
      <c r="J254" s="5"/>
      <c r="L254" s="5"/>
      <c r="N254" s="5"/>
      <c r="P254" s="5"/>
      <c r="R254" s="5"/>
    </row>
    <row r="255" spans="2:18" x14ac:dyDescent="0.2">
      <c r="B255" s="5"/>
      <c r="H255" s="5"/>
      <c r="J255" s="5"/>
      <c r="L255" s="5"/>
      <c r="N255" s="5"/>
      <c r="P255" s="5"/>
      <c r="R255" s="5"/>
    </row>
    <row r="256" spans="2:18" x14ac:dyDescent="0.2">
      <c r="B256" s="5"/>
      <c r="H256" s="5"/>
      <c r="J256" s="5"/>
      <c r="L256" s="5"/>
      <c r="N256" s="5"/>
      <c r="P256" s="5"/>
      <c r="R256" s="5"/>
    </row>
    <row r="257" spans="2:18" x14ac:dyDescent="0.2">
      <c r="B257" s="5"/>
      <c r="H257" s="5"/>
      <c r="J257" s="5"/>
      <c r="L257" s="5"/>
      <c r="N257" s="5"/>
      <c r="P257" s="5"/>
      <c r="R257" s="5"/>
    </row>
    <row r="258" spans="2:18" x14ac:dyDescent="0.2">
      <c r="B258" s="5"/>
      <c r="H258" s="5"/>
      <c r="J258" s="5"/>
      <c r="L258" s="5"/>
      <c r="N258" s="5"/>
      <c r="P258" s="5"/>
      <c r="R258" s="5"/>
    </row>
    <row r="259" spans="2:18" x14ac:dyDescent="0.2">
      <c r="B259" s="5"/>
      <c r="H259" s="5"/>
      <c r="J259" s="5"/>
      <c r="L259" s="5"/>
      <c r="N259" s="5"/>
      <c r="P259" s="5"/>
      <c r="R259" s="5"/>
    </row>
    <row r="260" spans="2:18" x14ac:dyDescent="0.2">
      <c r="B260" s="5"/>
      <c r="H260" s="5"/>
      <c r="J260" s="5"/>
      <c r="L260" s="5"/>
      <c r="N260" s="5"/>
      <c r="P260" s="5"/>
      <c r="R260" s="5"/>
    </row>
    <row r="261" spans="2:18" x14ac:dyDescent="0.2">
      <c r="B261" s="5"/>
      <c r="H261" s="5"/>
      <c r="J261" s="5"/>
      <c r="L261" s="5"/>
      <c r="N261" s="5"/>
      <c r="P261" s="5"/>
      <c r="R261" s="5"/>
    </row>
    <row r="262" spans="2:18" x14ac:dyDescent="0.2">
      <c r="B262" s="5"/>
      <c r="H262" s="5"/>
      <c r="J262" s="5"/>
      <c r="L262" s="5"/>
      <c r="N262" s="5"/>
      <c r="P262" s="5"/>
      <c r="R262" s="5"/>
    </row>
    <row r="263" spans="2:18" x14ac:dyDescent="0.2">
      <c r="B263" s="5"/>
      <c r="H263" s="5"/>
      <c r="J263" s="5"/>
      <c r="L263" s="5"/>
      <c r="N263" s="5"/>
      <c r="P263" s="5"/>
      <c r="R263" s="5"/>
    </row>
    <row r="264" spans="2:18" x14ac:dyDescent="0.2">
      <c r="B264" s="5"/>
      <c r="H264" s="5"/>
      <c r="J264" s="5"/>
      <c r="L264" s="5"/>
      <c r="N264" s="5"/>
      <c r="P264" s="5"/>
      <c r="R264" s="5"/>
    </row>
    <row r="265" spans="2:18" x14ac:dyDescent="0.2">
      <c r="B265" s="5"/>
      <c r="H265" s="5"/>
      <c r="J265" s="5"/>
      <c r="L265" s="5"/>
      <c r="N265" s="5"/>
      <c r="P265" s="5"/>
      <c r="R265" s="5"/>
    </row>
    <row r="266" spans="2:18" x14ac:dyDescent="0.2">
      <c r="B266" s="5"/>
      <c r="H266" s="5"/>
      <c r="J266" s="5"/>
      <c r="L266" s="5"/>
      <c r="N266" s="5"/>
      <c r="P266" s="5"/>
      <c r="R266" s="5"/>
    </row>
    <row r="267" spans="2:18" x14ac:dyDescent="0.2">
      <c r="B267" s="5"/>
      <c r="H267" s="5"/>
      <c r="J267" s="5"/>
      <c r="L267" s="5"/>
      <c r="N267" s="5"/>
      <c r="P267" s="5"/>
      <c r="R267" s="5"/>
    </row>
    <row r="268" spans="2:18" x14ac:dyDescent="0.2">
      <c r="B268" s="5"/>
      <c r="H268" s="5"/>
      <c r="J268" s="5"/>
      <c r="L268" s="5"/>
      <c r="N268" s="5"/>
      <c r="P268" s="5"/>
      <c r="R268" s="5"/>
    </row>
    <row r="269" spans="2:18" x14ac:dyDescent="0.2">
      <c r="B269" s="5"/>
      <c r="H269" s="5"/>
      <c r="J269" s="5"/>
      <c r="L269" s="5"/>
      <c r="N269" s="5"/>
      <c r="P269" s="5"/>
      <c r="R269" s="5"/>
    </row>
    <row r="270" spans="2:18" x14ac:dyDescent="0.2">
      <c r="B270" s="5"/>
      <c r="H270" s="5"/>
      <c r="J270" s="5"/>
      <c r="L270" s="5"/>
      <c r="N270" s="5"/>
      <c r="P270" s="5"/>
      <c r="R270" s="5"/>
    </row>
    <row r="271" spans="2:18" x14ac:dyDescent="0.2">
      <c r="B271" s="5"/>
      <c r="H271" s="5"/>
      <c r="J271" s="5"/>
      <c r="L271" s="5"/>
      <c r="N271" s="5"/>
      <c r="P271" s="5"/>
      <c r="R271" s="5"/>
    </row>
    <row r="272" spans="2:18" x14ac:dyDescent="0.2">
      <c r="B272" s="5"/>
      <c r="H272" s="5"/>
      <c r="J272" s="5"/>
      <c r="L272" s="5"/>
      <c r="N272" s="5"/>
      <c r="P272" s="5"/>
      <c r="R272" s="5"/>
    </row>
    <row r="273" spans="2:18" x14ac:dyDescent="0.2">
      <c r="B273" s="5"/>
      <c r="H273" s="5"/>
      <c r="J273" s="5"/>
      <c r="L273" s="5"/>
      <c r="N273" s="5"/>
      <c r="P273" s="5"/>
      <c r="R273" s="5"/>
    </row>
    <row r="274" spans="2:18" x14ac:dyDescent="0.2">
      <c r="B274" s="5"/>
      <c r="H274" s="5"/>
      <c r="J274" s="5"/>
      <c r="L274" s="5"/>
      <c r="N274" s="5"/>
      <c r="P274" s="5"/>
      <c r="R274" s="5"/>
    </row>
    <row r="275" spans="2:18" x14ac:dyDescent="0.2">
      <c r="B275" s="5"/>
      <c r="H275" s="5"/>
      <c r="J275" s="5"/>
      <c r="L275" s="5"/>
      <c r="N275" s="5"/>
      <c r="P275" s="5"/>
      <c r="R275" s="5"/>
    </row>
    <row r="276" spans="2:18" x14ac:dyDescent="0.2">
      <c r="B276" s="5"/>
      <c r="H276" s="5"/>
      <c r="J276" s="5"/>
      <c r="L276" s="5"/>
      <c r="N276" s="5"/>
      <c r="P276" s="5"/>
      <c r="R276" s="5"/>
    </row>
    <row r="277" spans="2:18" x14ac:dyDescent="0.2">
      <c r="B277" s="5"/>
      <c r="H277" s="5"/>
      <c r="J277" s="5"/>
      <c r="L277" s="5"/>
      <c r="N277" s="5"/>
      <c r="P277" s="5"/>
      <c r="R277" s="5"/>
    </row>
    <row r="278" spans="2:18" x14ac:dyDescent="0.2">
      <c r="B278" s="5"/>
      <c r="H278" s="5"/>
      <c r="J278" s="5"/>
      <c r="L278" s="5"/>
      <c r="N278" s="5"/>
      <c r="P278" s="5"/>
      <c r="R278" s="5"/>
    </row>
    <row r="279" spans="2:18" x14ac:dyDescent="0.2">
      <c r="B279" s="5"/>
      <c r="H279" s="5"/>
      <c r="J279" s="5"/>
      <c r="L279" s="5"/>
      <c r="N279" s="5"/>
      <c r="P279" s="5"/>
      <c r="R279" s="5"/>
    </row>
    <row r="280" spans="2:18" x14ac:dyDescent="0.2">
      <c r="B280" s="5"/>
      <c r="H280" s="5"/>
      <c r="J280" s="5"/>
      <c r="L280" s="5"/>
      <c r="N280" s="5"/>
      <c r="P280" s="5"/>
      <c r="R280" s="5"/>
    </row>
    <row r="281" spans="2:18" x14ac:dyDescent="0.2">
      <c r="B281" s="5"/>
      <c r="H281" s="5"/>
      <c r="J281" s="5"/>
      <c r="L281" s="5"/>
      <c r="N281" s="5"/>
      <c r="P281" s="5"/>
      <c r="R281" s="5"/>
    </row>
    <row r="282" spans="2:18" x14ac:dyDescent="0.2">
      <c r="B282" s="5"/>
      <c r="H282" s="5"/>
      <c r="J282" s="5"/>
      <c r="L282" s="5"/>
      <c r="N282" s="5"/>
      <c r="P282" s="5"/>
      <c r="R282" s="5"/>
    </row>
    <row r="283" spans="2:18" x14ac:dyDescent="0.2">
      <c r="B283" s="5"/>
      <c r="H283" s="5"/>
      <c r="J283" s="5"/>
      <c r="L283" s="5"/>
      <c r="N283" s="5"/>
      <c r="P283" s="5"/>
      <c r="R283" s="5"/>
    </row>
    <row r="284" spans="2:18" x14ac:dyDescent="0.2">
      <c r="B284" s="5"/>
      <c r="H284" s="5"/>
      <c r="J284" s="5"/>
      <c r="L284" s="5"/>
      <c r="N284" s="5"/>
      <c r="P284" s="5"/>
      <c r="R284" s="5"/>
    </row>
    <row r="285" spans="2:18" x14ac:dyDescent="0.2">
      <c r="B285" s="5"/>
      <c r="H285" s="5"/>
      <c r="J285" s="5"/>
      <c r="L285" s="5"/>
      <c r="N285" s="5"/>
      <c r="P285" s="5"/>
      <c r="R285" s="5"/>
    </row>
    <row r="286" spans="2:18" x14ac:dyDescent="0.2">
      <c r="B286" s="5"/>
      <c r="H286" s="5"/>
      <c r="J286" s="5"/>
      <c r="L286" s="5"/>
      <c r="N286" s="5"/>
      <c r="P286" s="5"/>
      <c r="R286" s="5"/>
    </row>
    <row r="287" spans="2:18" x14ac:dyDescent="0.2">
      <c r="B287" s="5"/>
      <c r="H287" s="5"/>
      <c r="J287" s="5"/>
      <c r="L287" s="5"/>
      <c r="N287" s="5"/>
      <c r="P287" s="5"/>
      <c r="R287" s="5"/>
    </row>
    <row r="288" spans="2:18" x14ac:dyDescent="0.2">
      <c r="B288" s="5"/>
      <c r="H288" s="5"/>
      <c r="J288" s="5"/>
      <c r="L288" s="5"/>
      <c r="N288" s="5"/>
      <c r="P288" s="5"/>
      <c r="R288" s="5"/>
    </row>
    <row r="289" spans="2:18" x14ac:dyDescent="0.2">
      <c r="B289" s="5"/>
      <c r="H289" s="5"/>
      <c r="J289" s="5"/>
      <c r="L289" s="5"/>
      <c r="N289" s="5"/>
      <c r="P289" s="5"/>
      <c r="R289" s="5"/>
    </row>
    <row r="290" spans="2:18" x14ac:dyDescent="0.2">
      <c r="B290" s="5"/>
      <c r="H290" s="5"/>
      <c r="J290" s="5"/>
      <c r="L290" s="5"/>
      <c r="N290" s="5"/>
      <c r="P290" s="5"/>
      <c r="R290" s="5"/>
    </row>
    <row r="291" spans="2:18" x14ac:dyDescent="0.2">
      <c r="B291" s="5"/>
      <c r="H291" s="5"/>
      <c r="J291" s="5"/>
      <c r="L291" s="5"/>
      <c r="N291" s="5"/>
      <c r="P291" s="5"/>
      <c r="R291" s="5"/>
    </row>
    <row r="292" spans="2:18" x14ac:dyDescent="0.2">
      <c r="B292" s="5"/>
      <c r="H292" s="5"/>
      <c r="J292" s="5"/>
      <c r="L292" s="5"/>
      <c r="N292" s="5"/>
      <c r="P292" s="5"/>
      <c r="R292" s="5"/>
    </row>
    <row r="293" spans="2:18" x14ac:dyDescent="0.2">
      <c r="B293" s="5"/>
      <c r="H293" s="5"/>
      <c r="J293" s="5"/>
      <c r="L293" s="5"/>
      <c r="N293" s="5"/>
      <c r="P293" s="5"/>
      <c r="R293" s="5"/>
    </row>
    <row r="294" spans="2:18" x14ac:dyDescent="0.2">
      <c r="B294" s="5"/>
      <c r="H294" s="5"/>
      <c r="J294" s="5"/>
      <c r="L294" s="5"/>
      <c r="N294" s="5"/>
      <c r="P294" s="5"/>
      <c r="R294" s="5"/>
    </row>
    <row r="295" spans="2:18" x14ac:dyDescent="0.2">
      <c r="B295" s="5"/>
      <c r="H295" s="5"/>
      <c r="J295" s="5"/>
      <c r="L295" s="5"/>
      <c r="N295" s="5"/>
      <c r="P295" s="5"/>
      <c r="R295" s="5"/>
    </row>
    <row r="296" spans="2:18" x14ac:dyDescent="0.2">
      <c r="B296" s="5"/>
      <c r="H296" s="5"/>
      <c r="J296" s="5"/>
      <c r="L296" s="5"/>
      <c r="N296" s="5"/>
      <c r="P296" s="5"/>
      <c r="R296" s="5"/>
    </row>
    <row r="297" spans="2:18" x14ac:dyDescent="0.2">
      <c r="B297" s="5"/>
      <c r="H297" s="5"/>
      <c r="J297" s="5"/>
      <c r="L297" s="5"/>
      <c r="N297" s="5"/>
      <c r="P297" s="5"/>
      <c r="R297" s="5"/>
    </row>
    <row r="298" spans="2:18" x14ac:dyDescent="0.2">
      <c r="B298" s="5"/>
      <c r="H298" s="5"/>
      <c r="J298" s="5"/>
      <c r="L298" s="5"/>
      <c r="N298" s="5"/>
      <c r="P298" s="5"/>
      <c r="R298" s="5"/>
    </row>
    <row r="299" spans="2:18" x14ac:dyDescent="0.2">
      <c r="B299" s="5"/>
      <c r="H299" s="5"/>
      <c r="J299" s="5"/>
      <c r="L299" s="5"/>
      <c r="N299" s="5"/>
      <c r="P299" s="5"/>
      <c r="R299" s="5"/>
    </row>
    <row r="300" spans="2:18" x14ac:dyDescent="0.2">
      <c r="B300" s="5"/>
      <c r="H300" s="5"/>
      <c r="J300" s="5"/>
      <c r="L300" s="5"/>
      <c r="N300" s="5"/>
      <c r="P300" s="5"/>
      <c r="R300" s="5"/>
    </row>
    <row r="301" spans="2:18" x14ac:dyDescent="0.2">
      <c r="B301" s="5"/>
      <c r="H301" s="5"/>
      <c r="J301" s="5"/>
      <c r="L301" s="5"/>
      <c r="N301" s="5"/>
      <c r="P301" s="5"/>
      <c r="R301" s="5"/>
    </row>
    <row r="302" spans="2:18" x14ac:dyDescent="0.2">
      <c r="B302" s="5"/>
      <c r="H302" s="5"/>
      <c r="J302" s="5"/>
      <c r="L302" s="5"/>
      <c r="N302" s="5"/>
      <c r="P302" s="5"/>
      <c r="R302" s="5"/>
    </row>
    <row r="303" spans="2:18" x14ac:dyDescent="0.2">
      <c r="B303" s="5"/>
      <c r="H303" s="5"/>
      <c r="J303" s="5"/>
      <c r="L303" s="5"/>
      <c r="N303" s="5"/>
      <c r="P303" s="5"/>
      <c r="R303" s="5"/>
    </row>
    <row r="304" spans="2:18" x14ac:dyDescent="0.2">
      <c r="B304" s="5"/>
      <c r="H304" s="5"/>
      <c r="J304" s="5"/>
      <c r="L304" s="5"/>
      <c r="N304" s="5"/>
      <c r="P304" s="5"/>
      <c r="R304" s="5"/>
    </row>
    <row r="305" spans="2:18" x14ac:dyDescent="0.2">
      <c r="B305" s="5"/>
      <c r="H305" s="5"/>
      <c r="J305" s="5"/>
      <c r="L305" s="5"/>
      <c r="N305" s="5"/>
      <c r="P305" s="5"/>
      <c r="R305" s="5"/>
    </row>
    <row r="306" spans="2:18" x14ac:dyDescent="0.2">
      <c r="B306" s="5"/>
      <c r="H306" s="5"/>
      <c r="J306" s="5"/>
      <c r="L306" s="5"/>
      <c r="N306" s="5"/>
      <c r="P306" s="5"/>
      <c r="R306" s="5"/>
    </row>
    <row r="307" spans="2:18" x14ac:dyDescent="0.2">
      <c r="B307" s="5"/>
      <c r="H307" s="5"/>
      <c r="J307" s="5"/>
      <c r="L307" s="5"/>
      <c r="N307" s="5"/>
      <c r="P307" s="5"/>
      <c r="R307" s="5"/>
    </row>
    <row r="308" spans="2:18" x14ac:dyDescent="0.2">
      <c r="B308" s="5"/>
      <c r="H308" s="5"/>
      <c r="J308" s="5"/>
      <c r="L308" s="5"/>
      <c r="N308" s="5"/>
      <c r="P308" s="5"/>
      <c r="R308" s="5"/>
    </row>
    <row r="309" spans="2:18" x14ac:dyDescent="0.2">
      <c r="B309" s="5"/>
      <c r="H309" s="5"/>
      <c r="J309" s="5"/>
      <c r="L309" s="5"/>
      <c r="N309" s="5"/>
      <c r="P309" s="5"/>
      <c r="R309" s="5"/>
    </row>
    <row r="310" spans="2:18" x14ac:dyDescent="0.2">
      <c r="B310" s="5"/>
      <c r="H310" s="5"/>
      <c r="J310" s="5"/>
      <c r="L310" s="5"/>
      <c r="N310" s="5"/>
      <c r="P310" s="5"/>
      <c r="R310" s="5"/>
    </row>
    <row r="311" spans="2:18" x14ac:dyDescent="0.2">
      <c r="B311" s="5"/>
      <c r="H311" s="5"/>
      <c r="J311" s="5"/>
      <c r="L311" s="5"/>
      <c r="N311" s="5"/>
      <c r="P311" s="5"/>
      <c r="R311" s="5"/>
    </row>
    <row r="312" spans="2:18" x14ac:dyDescent="0.2">
      <c r="B312" s="5"/>
      <c r="H312" s="5"/>
      <c r="J312" s="5"/>
      <c r="L312" s="5"/>
      <c r="N312" s="5"/>
      <c r="P312" s="5"/>
      <c r="R312" s="5"/>
    </row>
    <row r="313" spans="2:18" x14ac:dyDescent="0.2">
      <c r="B313" s="5"/>
      <c r="H313" s="5"/>
      <c r="J313" s="5"/>
      <c r="L313" s="5"/>
      <c r="N313" s="5"/>
      <c r="P313" s="5"/>
      <c r="R313" s="5"/>
    </row>
    <row r="314" spans="2:18" x14ac:dyDescent="0.2">
      <c r="B314" s="5"/>
      <c r="H314" s="5"/>
      <c r="J314" s="5"/>
      <c r="L314" s="5"/>
      <c r="N314" s="5"/>
      <c r="P314" s="5"/>
      <c r="R314" s="5"/>
    </row>
    <row r="315" spans="2:18" x14ac:dyDescent="0.2">
      <c r="B315" s="5"/>
      <c r="H315" s="5"/>
      <c r="J315" s="5"/>
      <c r="L315" s="5"/>
      <c r="N315" s="5"/>
      <c r="P315" s="5"/>
      <c r="R315" s="5"/>
    </row>
    <row r="316" spans="2:18" x14ac:dyDescent="0.2">
      <c r="B316" s="5"/>
      <c r="H316" s="5"/>
      <c r="J316" s="5"/>
      <c r="L316" s="5"/>
      <c r="N316" s="5"/>
      <c r="P316" s="5"/>
      <c r="R316" s="5"/>
    </row>
    <row r="317" spans="2:18" x14ac:dyDescent="0.2">
      <c r="B317" s="5"/>
      <c r="H317" s="5"/>
      <c r="J317" s="5"/>
      <c r="L317" s="5"/>
      <c r="N317" s="5"/>
      <c r="P317" s="5"/>
      <c r="R317" s="5"/>
    </row>
    <row r="318" spans="2:18" x14ac:dyDescent="0.2">
      <c r="B318" s="5"/>
      <c r="H318" s="5"/>
      <c r="J318" s="5"/>
      <c r="L318" s="5"/>
      <c r="N318" s="5"/>
      <c r="P318" s="5"/>
      <c r="R318" s="5"/>
    </row>
    <row r="319" spans="2:18" x14ac:dyDescent="0.2">
      <c r="B319" s="5"/>
      <c r="H319" s="5"/>
      <c r="J319" s="5"/>
      <c r="L319" s="5"/>
      <c r="N319" s="5"/>
      <c r="P319" s="5"/>
      <c r="R319" s="5"/>
    </row>
    <row r="320" spans="2:18" x14ac:dyDescent="0.2">
      <c r="B320" s="5"/>
      <c r="H320" s="5"/>
      <c r="J320" s="5"/>
      <c r="L320" s="5"/>
      <c r="N320" s="5"/>
      <c r="P320" s="5"/>
      <c r="R320" s="5"/>
    </row>
    <row r="321" spans="2:18" x14ac:dyDescent="0.2">
      <c r="B321" s="5"/>
      <c r="H321" s="5"/>
      <c r="J321" s="5"/>
      <c r="L321" s="5"/>
      <c r="N321" s="5"/>
      <c r="P321" s="5"/>
      <c r="R321" s="5"/>
    </row>
    <row r="322" spans="2:18" x14ac:dyDescent="0.2">
      <c r="B322" s="5"/>
      <c r="H322" s="5"/>
      <c r="J322" s="5"/>
      <c r="L322" s="5"/>
      <c r="N322" s="5"/>
      <c r="P322" s="5"/>
      <c r="R322" s="5"/>
    </row>
    <row r="323" spans="2:18" x14ac:dyDescent="0.2">
      <c r="B323" s="5"/>
      <c r="H323" s="5"/>
      <c r="J323" s="5"/>
      <c r="L323" s="5"/>
      <c r="N323" s="5"/>
      <c r="P323" s="5"/>
      <c r="R323" s="5"/>
    </row>
    <row r="324" spans="2:18" x14ac:dyDescent="0.2">
      <c r="B324" s="5"/>
      <c r="H324" s="5"/>
      <c r="J324" s="5"/>
      <c r="L324" s="5"/>
      <c r="N324" s="5"/>
      <c r="P324" s="5"/>
      <c r="R324" s="5"/>
    </row>
    <row r="325" spans="2:18" x14ac:dyDescent="0.2">
      <c r="B325" s="5"/>
      <c r="H325" s="5"/>
      <c r="J325" s="5"/>
      <c r="L325" s="5"/>
      <c r="N325" s="5"/>
      <c r="P325" s="5"/>
      <c r="R325" s="5"/>
    </row>
    <row r="326" spans="2:18" x14ac:dyDescent="0.2">
      <c r="B326" s="5"/>
      <c r="H326" s="5"/>
      <c r="J326" s="5"/>
      <c r="L326" s="5"/>
      <c r="N326" s="5"/>
      <c r="P326" s="5"/>
      <c r="R326" s="5"/>
    </row>
    <row r="327" spans="2:18" x14ac:dyDescent="0.2">
      <c r="B327" s="5"/>
      <c r="H327" s="5"/>
      <c r="J327" s="5"/>
      <c r="L327" s="5"/>
      <c r="N327" s="5"/>
      <c r="P327" s="5"/>
      <c r="R327" s="5"/>
    </row>
    <row r="328" spans="2:18" x14ac:dyDescent="0.2">
      <c r="B328" s="5"/>
      <c r="H328" s="5"/>
      <c r="J328" s="5"/>
      <c r="L328" s="5"/>
      <c r="N328" s="5"/>
      <c r="P328" s="5"/>
      <c r="R328" s="5"/>
    </row>
    <row r="329" spans="2:18" x14ac:dyDescent="0.2">
      <c r="B329" s="5"/>
      <c r="H329" s="5"/>
      <c r="J329" s="5"/>
      <c r="L329" s="5"/>
      <c r="N329" s="5"/>
      <c r="P329" s="5"/>
      <c r="R329" s="5"/>
    </row>
    <row r="330" spans="2:18" x14ac:dyDescent="0.2">
      <c r="B330" s="5"/>
      <c r="H330" s="5"/>
      <c r="J330" s="5"/>
      <c r="L330" s="5"/>
      <c r="N330" s="5"/>
      <c r="P330" s="5"/>
      <c r="R330" s="5"/>
    </row>
    <row r="331" spans="2:18" x14ac:dyDescent="0.2">
      <c r="B331" s="5"/>
      <c r="H331" s="5"/>
      <c r="J331" s="5"/>
      <c r="L331" s="5"/>
      <c r="N331" s="5"/>
      <c r="P331" s="5"/>
      <c r="R331" s="5"/>
    </row>
    <row r="332" spans="2:18" x14ac:dyDescent="0.2">
      <c r="B332" s="5"/>
      <c r="H332" s="5"/>
      <c r="J332" s="5"/>
      <c r="L332" s="5"/>
      <c r="N332" s="5"/>
      <c r="P332" s="5"/>
      <c r="R332" s="5"/>
    </row>
    <row r="333" spans="2:18" x14ac:dyDescent="0.2">
      <c r="B333" s="5"/>
      <c r="H333" s="5"/>
      <c r="J333" s="5"/>
      <c r="L333" s="5"/>
      <c r="N333" s="5"/>
      <c r="P333" s="5"/>
      <c r="R333" s="5"/>
    </row>
    <row r="334" spans="2:18" x14ac:dyDescent="0.2">
      <c r="B334" s="5"/>
      <c r="H334" s="5"/>
      <c r="J334" s="5"/>
      <c r="L334" s="5"/>
      <c r="N334" s="5"/>
      <c r="P334" s="5"/>
      <c r="R334" s="5"/>
    </row>
    <row r="335" spans="2:18" x14ac:dyDescent="0.2">
      <c r="B335" s="5"/>
      <c r="H335" s="5"/>
      <c r="J335" s="5"/>
      <c r="L335" s="5"/>
      <c r="N335" s="5"/>
      <c r="P335" s="5"/>
      <c r="R335" s="5"/>
    </row>
    <row r="336" spans="2:18" x14ac:dyDescent="0.2">
      <c r="B336" s="5"/>
      <c r="H336" s="5"/>
      <c r="J336" s="5"/>
      <c r="L336" s="5"/>
      <c r="N336" s="5"/>
      <c r="P336" s="5"/>
      <c r="R336" s="5"/>
    </row>
    <row r="337" spans="2:18" x14ac:dyDescent="0.2">
      <c r="B337" s="5"/>
      <c r="H337" s="5"/>
      <c r="J337" s="5"/>
      <c r="L337" s="5"/>
      <c r="N337" s="5"/>
      <c r="P337" s="5"/>
      <c r="R337" s="5"/>
    </row>
    <row r="338" spans="2:18" x14ac:dyDescent="0.2">
      <c r="B338" s="5"/>
      <c r="H338" s="5"/>
      <c r="J338" s="5"/>
      <c r="L338" s="5"/>
      <c r="N338" s="5"/>
      <c r="P338" s="5"/>
      <c r="R338" s="5"/>
    </row>
    <row r="339" spans="2:18" x14ac:dyDescent="0.2">
      <c r="B339" s="5"/>
      <c r="H339" s="5"/>
      <c r="J339" s="5"/>
      <c r="L339" s="5"/>
      <c r="N339" s="5"/>
      <c r="P339" s="5"/>
      <c r="R339" s="5"/>
    </row>
    <row r="340" spans="2:18" x14ac:dyDescent="0.2">
      <c r="B340" s="5"/>
      <c r="H340" s="5"/>
      <c r="J340" s="5"/>
      <c r="L340" s="5"/>
      <c r="N340" s="5"/>
      <c r="P340" s="5"/>
      <c r="R340" s="5"/>
    </row>
    <row r="341" spans="2:18" x14ac:dyDescent="0.2">
      <c r="B341" s="5"/>
      <c r="H341" s="5"/>
      <c r="J341" s="5"/>
      <c r="L341" s="5"/>
      <c r="N341" s="5"/>
      <c r="P341" s="5"/>
      <c r="R341" s="5"/>
    </row>
    <row r="342" spans="2:18" x14ac:dyDescent="0.2">
      <c r="B342" s="5"/>
      <c r="H342" s="5"/>
      <c r="J342" s="5"/>
      <c r="L342" s="5"/>
      <c r="N342" s="5"/>
      <c r="P342" s="5"/>
      <c r="R342" s="5"/>
    </row>
    <row r="343" spans="2:18" x14ac:dyDescent="0.2">
      <c r="B343" s="5"/>
      <c r="H343" s="5"/>
      <c r="J343" s="5"/>
      <c r="L343" s="5"/>
      <c r="N343" s="5"/>
      <c r="P343" s="5"/>
      <c r="R343" s="5"/>
    </row>
    <row r="344" spans="2:18" x14ac:dyDescent="0.2">
      <c r="B344" s="5"/>
      <c r="H344" s="5"/>
      <c r="J344" s="5"/>
      <c r="L344" s="5"/>
      <c r="N344" s="5"/>
      <c r="P344" s="5"/>
      <c r="R344" s="5"/>
    </row>
    <row r="345" spans="2:18" x14ac:dyDescent="0.2">
      <c r="B345" s="5"/>
      <c r="H345" s="5"/>
      <c r="J345" s="5"/>
      <c r="L345" s="5"/>
      <c r="N345" s="5"/>
      <c r="P345" s="5"/>
      <c r="R345" s="5"/>
    </row>
    <row r="346" spans="2:18" x14ac:dyDescent="0.2">
      <c r="B346" s="5"/>
      <c r="H346" s="5"/>
      <c r="J346" s="5"/>
      <c r="L346" s="5"/>
      <c r="N346" s="5"/>
      <c r="P346" s="5"/>
      <c r="R346" s="5"/>
    </row>
    <row r="347" spans="2:18" x14ac:dyDescent="0.2">
      <c r="B347" s="5"/>
      <c r="H347" s="5"/>
      <c r="J347" s="5"/>
      <c r="L347" s="5"/>
      <c r="N347" s="5"/>
      <c r="P347" s="5"/>
      <c r="R347" s="5"/>
    </row>
    <row r="348" spans="2:18" x14ac:dyDescent="0.2">
      <c r="B348" s="5"/>
      <c r="H348" s="5"/>
      <c r="J348" s="5"/>
      <c r="L348" s="5"/>
      <c r="N348" s="5"/>
      <c r="P348" s="5"/>
      <c r="R348" s="5"/>
    </row>
    <row r="349" spans="2:18" x14ac:dyDescent="0.2">
      <c r="B349" s="5"/>
      <c r="H349" s="5"/>
      <c r="J349" s="5"/>
      <c r="L349" s="5"/>
      <c r="N349" s="5"/>
      <c r="P349" s="5"/>
      <c r="R349" s="5"/>
    </row>
    <row r="350" spans="2:18" x14ac:dyDescent="0.2">
      <c r="B350" s="5"/>
      <c r="H350" s="5"/>
      <c r="J350" s="5"/>
      <c r="L350" s="5"/>
      <c r="N350" s="5"/>
      <c r="P350" s="5"/>
      <c r="R350" s="5"/>
    </row>
    <row r="351" spans="2:18" x14ac:dyDescent="0.2">
      <c r="B351" s="5"/>
      <c r="H351" s="5"/>
      <c r="J351" s="5"/>
      <c r="L351" s="5"/>
      <c r="N351" s="5"/>
      <c r="P351" s="5"/>
      <c r="R351" s="5"/>
    </row>
    <row r="352" spans="2:18" x14ac:dyDescent="0.2">
      <c r="B352" s="5"/>
      <c r="H352" s="5"/>
      <c r="J352" s="5"/>
      <c r="L352" s="5"/>
      <c r="N352" s="5"/>
      <c r="P352" s="5"/>
      <c r="R352" s="5"/>
    </row>
    <row r="353" spans="2:18" x14ac:dyDescent="0.2">
      <c r="B353" s="5"/>
      <c r="H353" s="5"/>
      <c r="J353" s="5"/>
      <c r="L353" s="5"/>
      <c r="N353" s="5"/>
      <c r="P353" s="5"/>
      <c r="R353" s="5"/>
    </row>
    <row r="354" spans="2:18" x14ac:dyDescent="0.2">
      <c r="B354" s="5"/>
      <c r="H354" s="5"/>
      <c r="J354" s="5"/>
      <c r="L354" s="5"/>
      <c r="N354" s="5"/>
      <c r="P354" s="5"/>
      <c r="R354" s="5"/>
    </row>
    <row r="355" spans="2:18" x14ac:dyDescent="0.2">
      <c r="B355" s="5"/>
      <c r="H355" s="5"/>
      <c r="J355" s="5"/>
      <c r="L355" s="5"/>
      <c r="N355" s="5"/>
      <c r="P355" s="5"/>
      <c r="R355" s="5"/>
    </row>
    <row r="356" spans="2:18" x14ac:dyDescent="0.2">
      <c r="B356" s="5"/>
      <c r="H356" s="5"/>
      <c r="J356" s="5"/>
      <c r="L356" s="5"/>
      <c r="N356" s="5"/>
      <c r="P356" s="5"/>
      <c r="R356" s="5"/>
    </row>
    <row r="357" spans="2:18" x14ac:dyDescent="0.2">
      <c r="B357" s="5"/>
      <c r="H357" s="5"/>
      <c r="J357" s="5"/>
      <c r="L357" s="5"/>
      <c r="N357" s="5"/>
      <c r="P357" s="5"/>
      <c r="R357" s="5"/>
    </row>
    <row r="358" spans="2:18" x14ac:dyDescent="0.2">
      <c r="B358" s="5"/>
      <c r="H358" s="5"/>
      <c r="J358" s="5"/>
      <c r="L358" s="5"/>
      <c r="N358" s="5"/>
      <c r="P358" s="5"/>
      <c r="R358" s="5"/>
    </row>
    <row r="359" spans="2:18" x14ac:dyDescent="0.2">
      <c r="B359" s="5"/>
      <c r="H359" s="5"/>
      <c r="J359" s="5"/>
      <c r="L359" s="5"/>
      <c r="N359" s="5"/>
      <c r="P359" s="5"/>
      <c r="R359" s="5"/>
    </row>
    <row r="360" spans="2:18" x14ac:dyDescent="0.2">
      <c r="B360" s="5"/>
      <c r="H360" s="5"/>
      <c r="J360" s="5"/>
      <c r="L360" s="5"/>
      <c r="N360" s="5"/>
      <c r="P360" s="5"/>
      <c r="R360" s="5"/>
    </row>
    <row r="361" spans="2:18" x14ac:dyDescent="0.2">
      <c r="B361" s="5"/>
      <c r="H361" s="5"/>
      <c r="J361" s="5"/>
      <c r="L361" s="5"/>
      <c r="N361" s="5"/>
      <c r="P361" s="5"/>
      <c r="R361" s="5"/>
    </row>
    <row r="362" spans="2:18" x14ac:dyDescent="0.2">
      <c r="B362" s="5"/>
      <c r="H362" s="5"/>
      <c r="J362" s="5"/>
      <c r="L362" s="5"/>
      <c r="N362" s="5"/>
      <c r="P362" s="5"/>
      <c r="R362" s="5"/>
    </row>
    <row r="363" spans="2:18" x14ac:dyDescent="0.2">
      <c r="B363" s="5"/>
      <c r="H363" s="5"/>
      <c r="J363" s="5"/>
      <c r="L363" s="5"/>
      <c r="N363" s="5"/>
      <c r="P363" s="5"/>
      <c r="R363" s="5"/>
    </row>
    <row r="364" spans="2:18" x14ac:dyDescent="0.2">
      <c r="B364" s="5"/>
      <c r="H364" s="5"/>
      <c r="J364" s="5"/>
      <c r="L364" s="5"/>
      <c r="N364" s="5"/>
      <c r="P364" s="5"/>
      <c r="R364" s="5"/>
    </row>
    <row r="365" spans="2:18" x14ac:dyDescent="0.2">
      <c r="B365" s="5"/>
      <c r="H365" s="5"/>
      <c r="J365" s="5"/>
      <c r="L365" s="5"/>
      <c r="N365" s="5"/>
      <c r="P365" s="5"/>
      <c r="R365" s="5"/>
    </row>
    <row r="366" spans="2:18" x14ac:dyDescent="0.2">
      <c r="B366" s="5"/>
      <c r="H366" s="5"/>
      <c r="J366" s="5"/>
      <c r="L366" s="5"/>
      <c r="N366" s="5"/>
      <c r="P366" s="5"/>
      <c r="R366" s="5"/>
    </row>
    <row r="367" spans="2:18" x14ac:dyDescent="0.2">
      <c r="B367" s="5"/>
      <c r="H367" s="5"/>
      <c r="J367" s="5"/>
      <c r="L367" s="5"/>
      <c r="N367" s="5"/>
      <c r="P367" s="5"/>
      <c r="R367" s="5"/>
    </row>
    <row r="368" spans="2:18" x14ac:dyDescent="0.2">
      <c r="B368" s="5"/>
      <c r="H368" s="5"/>
      <c r="J368" s="5"/>
      <c r="L368" s="5"/>
      <c r="N368" s="5"/>
      <c r="P368" s="5"/>
      <c r="R368" s="5"/>
    </row>
    <row r="369" spans="2:18" x14ac:dyDescent="0.2">
      <c r="B369" s="5"/>
      <c r="H369" s="5"/>
      <c r="J369" s="5"/>
      <c r="L369" s="5"/>
      <c r="N369" s="5"/>
      <c r="P369" s="5"/>
      <c r="R369" s="5"/>
    </row>
    <row r="370" spans="2:18" x14ac:dyDescent="0.2">
      <c r="B370" s="5"/>
      <c r="H370" s="5"/>
      <c r="J370" s="5"/>
      <c r="L370" s="5"/>
      <c r="N370" s="5"/>
      <c r="P370" s="5"/>
      <c r="R370" s="5"/>
    </row>
    <row r="371" spans="2:18" x14ac:dyDescent="0.2">
      <c r="B371" s="5"/>
      <c r="H371" s="5"/>
      <c r="J371" s="5"/>
      <c r="L371" s="5"/>
      <c r="N371" s="5"/>
      <c r="P371" s="5"/>
      <c r="R371" s="5"/>
    </row>
    <row r="372" spans="2:18" x14ac:dyDescent="0.2">
      <c r="B372" s="5"/>
      <c r="H372" s="5"/>
      <c r="J372" s="5"/>
      <c r="L372" s="5"/>
      <c r="N372" s="5"/>
      <c r="P372" s="5"/>
      <c r="R372" s="5"/>
    </row>
    <row r="373" spans="2:18" x14ac:dyDescent="0.2">
      <c r="B373" s="5"/>
      <c r="H373" s="5"/>
      <c r="J373" s="5"/>
      <c r="L373" s="5"/>
      <c r="N373" s="5"/>
      <c r="P373" s="5"/>
      <c r="R373" s="5"/>
    </row>
    <row r="374" spans="2:18" x14ac:dyDescent="0.2">
      <c r="B374" s="5"/>
      <c r="H374" s="5"/>
      <c r="J374" s="5"/>
      <c r="L374" s="5"/>
      <c r="N374" s="5"/>
      <c r="P374" s="5"/>
      <c r="R374" s="5"/>
    </row>
    <row r="375" spans="2:18" x14ac:dyDescent="0.2">
      <c r="B375" s="5"/>
      <c r="H375" s="5"/>
      <c r="J375" s="5"/>
      <c r="L375" s="5"/>
      <c r="N375" s="5"/>
      <c r="P375" s="5"/>
      <c r="R375" s="5"/>
    </row>
    <row r="376" spans="2:18" x14ac:dyDescent="0.2">
      <c r="B376" s="5"/>
      <c r="H376" s="5"/>
      <c r="J376" s="5"/>
      <c r="L376" s="5"/>
      <c r="N376" s="5"/>
      <c r="P376" s="5"/>
      <c r="R376" s="5"/>
    </row>
    <row r="377" spans="2:18" x14ac:dyDescent="0.2">
      <c r="B377" s="5"/>
      <c r="H377" s="5"/>
      <c r="J377" s="5"/>
      <c r="L377" s="5"/>
      <c r="N377" s="5"/>
      <c r="P377" s="5"/>
      <c r="R377" s="5"/>
    </row>
    <row r="378" spans="2:18" x14ac:dyDescent="0.2">
      <c r="B378" s="5"/>
      <c r="H378" s="5"/>
      <c r="J378" s="5"/>
      <c r="L378" s="5"/>
      <c r="N378" s="5"/>
      <c r="P378" s="5"/>
      <c r="R378" s="5"/>
    </row>
    <row r="379" spans="2:18" x14ac:dyDescent="0.2">
      <c r="B379" s="5"/>
      <c r="H379" s="5"/>
      <c r="J379" s="5"/>
      <c r="L379" s="5"/>
      <c r="N379" s="5"/>
      <c r="P379" s="5"/>
      <c r="R379" s="5"/>
    </row>
    <row r="380" spans="2:18" x14ac:dyDescent="0.2">
      <c r="B380" s="5"/>
      <c r="H380" s="5"/>
      <c r="J380" s="5"/>
      <c r="L380" s="5"/>
      <c r="N380" s="5"/>
      <c r="P380" s="5"/>
      <c r="R380" s="5"/>
    </row>
    <row r="381" spans="2:18" x14ac:dyDescent="0.2">
      <c r="B381" s="5"/>
      <c r="H381" s="5"/>
      <c r="J381" s="5"/>
      <c r="L381" s="5"/>
      <c r="N381" s="5"/>
      <c r="P381" s="5"/>
      <c r="R381" s="5"/>
    </row>
    <row r="382" spans="2:18" x14ac:dyDescent="0.2">
      <c r="B382" s="5"/>
      <c r="H382" s="5"/>
      <c r="J382" s="5"/>
      <c r="L382" s="5"/>
      <c r="N382" s="5"/>
      <c r="P382" s="5"/>
      <c r="R382" s="5"/>
    </row>
    <row r="383" spans="2:18" x14ac:dyDescent="0.2">
      <c r="B383" s="5"/>
      <c r="H383" s="5"/>
      <c r="J383" s="5"/>
      <c r="L383" s="5"/>
      <c r="N383" s="5"/>
      <c r="P383" s="5"/>
      <c r="R383" s="5"/>
    </row>
    <row r="384" spans="2:18" x14ac:dyDescent="0.2">
      <c r="B384" s="5"/>
      <c r="H384" s="5"/>
      <c r="J384" s="5"/>
      <c r="L384" s="5"/>
      <c r="N384" s="5"/>
      <c r="P384" s="5"/>
      <c r="R384" s="5"/>
    </row>
    <row r="385" spans="2:18" x14ac:dyDescent="0.2">
      <c r="B385" s="5"/>
      <c r="H385" s="5"/>
      <c r="J385" s="5"/>
      <c r="L385" s="5"/>
      <c r="N385" s="5"/>
      <c r="P385" s="5"/>
      <c r="R385" s="5"/>
    </row>
    <row r="386" spans="2:18" x14ac:dyDescent="0.2">
      <c r="B386" s="5"/>
      <c r="H386" s="5"/>
      <c r="J386" s="5"/>
      <c r="L386" s="5"/>
      <c r="N386" s="5"/>
      <c r="P386" s="5"/>
      <c r="R386" s="5"/>
    </row>
    <row r="387" spans="2:18" x14ac:dyDescent="0.2">
      <c r="B387" s="5"/>
      <c r="H387" s="5"/>
      <c r="J387" s="5"/>
      <c r="L387" s="5"/>
      <c r="N387" s="5"/>
      <c r="P387" s="5"/>
      <c r="R387" s="5"/>
    </row>
    <row r="388" spans="2:18" x14ac:dyDescent="0.2">
      <c r="B388" s="5"/>
      <c r="H388" s="5"/>
      <c r="J388" s="5"/>
      <c r="L388" s="5"/>
      <c r="N388" s="5"/>
      <c r="P388" s="5"/>
      <c r="R388" s="5"/>
    </row>
    <row r="389" spans="2:18" x14ac:dyDescent="0.2">
      <c r="B389" s="5"/>
      <c r="H389" s="5"/>
      <c r="J389" s="5"/>
      <c r="L389" s="5"/>
      <c r="N389" s="5"/>
      <c r="P389" s="5"/>
      <c r="R389" s="5"/>
    </row>
    <row r="390" spans="2:18" x14ac:dyDescent="0.2">
      <c r="B390" s="5"/>
      <c r="H390" s="5"/>
      <c r="J390" s="5"/>
      <c r="L390" s="5"/>
      <c r="N390" s="5"/>
      <c r="P390" s="5"/>
      <c r="R390" s="5"/>
    </row>
    <row r="391" spans="2:18" x14ac:dyDescent="0.2">
      <c r="B391" s="5"/>
      <c r="H391" s="5"/>
      <c r="J391" s="5"/>
      <c r="L391" s="5"/>
      <c r="N391" s="5"/>
      <c r="P391" s="5"/>
      <c r="R391" s="5"/>
    </row>
    <row r="392" spans="2:18" x14ac:dyDescent="0.2">
      <c r="B392" s="5"/>
      <c r="H392" s="5"/>
      <c r="J392" s="5"/>
      <c r="L392" s="5"/>
      <c r="N392" s="5"/>
      <c r="P392" s="5"/>
      <c r="R392" s="5"/>
    </row>
    <row r="393" spans="2:18" x14ac:dyDescent="0.2">
      <c r="B393" s="5"/>
      <c r="H393" s="5"/>
      <c r="J393" s="5"/>
      <c r="L393" s="5"/>
      <c r="N393" s="5"/>
      <c r="P393" s="5"/>
      <c r="R393" s="5"/>
    </row>
    <row r="394" spans="2:18" x14ac:dyDescent="0.2">
      <c r="B394" s="5"/>
      <c r="H394" s="5"/>
      <c r="J394" s="5"/>
      <c r="L394" s="5"/>
      <c r="N394" s="5"/>
      <c r="P394" s="5"/>
      <c r="R394" s="5"/>
    </row>
    <row r="395" spans="2:18" x14ac:dyDescent="0.2">
      <c r="B395" s="5"/>
      <c r="H395" s="5"/>
      <c r="J395" s="5"/>
      <c r="L395" s="5"/>
      <c r="N395" s="5"/>
      <c r="P395" s="5"/>
      <c r="R395" s="5"/>
    </row>
    <row r="396" spans="2:18" x14ac:dyDescent="0.2">
      <c r="B396" s="5"/>
      <c r="H396" s="5"/>
      <c r="J396" s="5"/>
      <c r="L396" s="5"/>
      <c r="N396" s="5"/>
      <c r="P396" s="5"/>
      <c r="R396" s="5"/>
    </row>
    <row r="397" spans="2:18" x14ac:dyDescent="0.2">
      <c r="B397" s="5"/>
      <c r="H397" s="5"/>
      <c r="J397" s="5"/>
      <c r="L397" s="5"/>
      <c r="N397" s="5"/>
      <c r="P397" s="5"/>
      <c r="R397" s="5"/>
    </row>
    <row r="398" spans="2:18" x14ac:dyDescent="0.2">
      <c r="B398" s="5"/>
      <c r="H398" s="5"/>
      <c r="J398" s="5"/>
      <c r="L398" s="5"/>
      <c r="N398" s="5"/>
      <c r="P398" s="5"/>
      <c r="R398" s="5"/>
    </row>
    <row r="399" spans="2:18" x14ac:dyDescent="0.2">
      <c r="B399" s="5"/>
      <c r="H399" s="5"/>
      <c r="J399" s="5"/>
      <c r="L399" s="5"/>
      <c r="N399" s="5"/>
      <c r="P399" s="5"/>
      <c r="R399" s="5"/>
    </row>
    <row r="400" spans="2:18" x14ac:dyDescent="0.2">
      <c r="B400" s="5"/>
      <c r="H400" s="5"/>
      <c r="J400" s="5"/>
      <c r="L400" s="5"/>
      <c r="N400" s="5"/>
      <c r="P400" s="5"/>
      <c r="R400" s="5"/>
    </row>
    <row r="401" spans="2:18" x14ac:dyDescent="0.2">
      <c r="B401" s="5"/>
      <c r="H401" s="5"/>
      <c r="J401" s="5"/>
      <c r="L401" s="5"/>
      <c r="N401" s="5"/>
      <c r="P401" s="5"/>
      <c r="R401" s="5"/>
    </row>
    <row r="402" spans="2:18" x14ac:dyDescent="0.2">
      <c r="B402" s="5"/>
      <c r="H402" s="5"/>
      <c r="J402" s="5"/>
      <c r="L402" s="5"/>
      <c r="N402" s="5"/>
      <c r="P402" s="5"/>
      <c r="R402" s="5"/>
    </row>
    <row r="403" spans="2:18" x14ac:dyDescent="0.2">
      <c r="B403" s="5"/>
      <c r="H403" s="5"/>
      <c r="J403" s="5"/>
      <c r="L403" s="5"/>
      <c r="N403" s="5"/>
      <c r="P403" s="5"/>
      <c r="R403" s="5"/>
    </row>
    <row r="404" spans="2:18" x14ac:dyDescent="0.2">
      <c r="B404" s="5"/>
      <c r="H404" s="5"/>
      <c r="J404" s="5"/>
      <c r="L404" s="5"/>
      <c r="N404" s="5"/>
      <c r="P404" s="5"/>
      <c r="R404" s="5"/>
    </row>
    <row r="405" spans="2:18" x14ac:dyDescent="0.2">
      <c r="B405" s="5"/>
      <c r="H405" s="5"/>
      <c r="J405" s="5"/>
      <c r="L405" s="5"/>
      <c r="N405" s="5"/>
      <c r="P405" s="5"/>
      <c r="R405" s="5"/>
    </row>
    <row r="406" spans="2:18" x14ac:dyDescent="0.2">
      <c r="B406" s="5"/>
      <c r="H406" s="5"/>
      <c r="J406" s="5"/>
      <c r="L406" s="5"/>
      <c r="N406" s="5"/>
      <c r="P406" s="5"/>
      <c r="R406" s="5"/>
    </row>
    <row r="407" spans="2:18" x14ac:dyDescent="0.2">
      <c r="B407" s="5"/>
      <c r="H407" s="5"/>
      <c r="J407" s="5"/>
      <c r="L407" s="5"/>
      <c r="N407" s="5"/>
      <c r="P407" s="5"/>
      <c r="R407" s="5"/>
    </row>
    <row r="408" spans="2:18" x14ac:dyDescent="0.2">
      <c r="B408" s="5"/>
      <c r="H408" s="5"/>
      <c r="J408" s="5"/>
      <c r="L408" s="5"/>
      <c r="N408" s="5"/>
      <c r="P408" s="5"/>
      <c r="R408" s="5"/>
    </row>
    <row r="409" spans="2:18" x14ac:dyDescent="0.2">
      <c r="B409" s="5"/>
      <c r="H409" s="5"/>
      <c r="J409" s="5"/>
      <c r="L409" s="5"/>
      <c r="N409" s="5"/>
      <c r="P409" s="5"/>
      <c r="R409" s="5"/>
    </row>
    <row r="410" spans="2:18" x14ac:dyDescent="0.2">
      <c r="B410" s="5"/>
      <c r="H410" s="5"/>
      <c r="J410" s="5"/>
      <c r="L410" s="5"/>
      <c r="N410" s="5"/>
      <c r="P410" s="5"/>
      <c r="R410" s="5"/>
    </row>
    <row r="411" spans="2:18" x14ac:dyDescent="0.2">
      <c r="B411" s="5"/>
      <c r="H411" s="5"/>
      <c r="J411" s="5"/>
      <c r="L411" s="5"/>
      <c r="N411" s="5"/>
      <c r="P411" s="5"/>
      <c r="R411" s="5"/>
    </row>
    <row r="412" spans="2:18" x14ac:dyDescent="0.2">
      <c r="B412" s="5"/>
      <c r="H412" s="5"/>
      <c r="J412" s="5"/>
      <c r="L412" s="5"/>
      <c r="N412" s="5"/>
      <c r="P412" s="5"/>
      <c r="R412" s="5"/>
    </row>
    <row r="413" spans="2:18" x14ac:dyDescent="0.2">
      <c r="B413" s="5"/>
      <c r="H413" s="5"/>
      <c r="J413" s="5"/>
      <c r="L413" s="5"/>
      <c r="N413" s="5"/>
      <c r="P413" s="5"/>
      <c r="R413" s="5"/>
    </row>
    <row r="414" spans="2:18" x14ac:dyDescent="0.2">
      <c r="B414" s="5"/>
      <c r="H414" s="5"/>
      <c r="J414" s="5"/>
      <c r="L414" s="5"/>
      <c r="N414" s="5"/>
      <c r="P414" s="5"/>
      <c r="R414" s="5"/>
    </row>
    <row r="415" spans="2:18" x14ac:dyDescent="0.2">
      <c r="B415" s="5"/>
      <c r="H415" s="5"/>
      <c r="J415" s="5"/>
      <c r="L415" s="5"/>
      <c r="N415" s="5"/>
      <c r="P415" s="5"/>
      <c r="R415" s="5"/>
    </row>
    <row r="416" spans="2:18" x14ac:dyDescent="0.2">
      <c r="B416" s="5"/>
      <c r="H416" s="5"/>
      <c r="J416" s="5"/>
      <c r="L416" s="5"/>
      <c r="N416" s="5"/>
      <c r="P416" s="5"/>
      <c r="R416" s="5"/>
    </row>
    <row r="417" spans="2:18" x14ac:dyDescent="0.2">
      <c r="B417" s="5"/>
      <c r="H417" s="5"/>
      <c r="J417" s="5"/>
      <c r="L417" s="5"/>
      <c r="N417" s="5"/>
      <c r="P417" s="5"/>
      <c r="R417" s="5"/>
    </row>
    <row r="418" spans="2:18" x14ac:dyDescent="0.2">
      <c r="B418" s="5"/>
      <c r="H418" s="5"/>
      <c r="J418" s="5"/>
      <c r="L418" s="5"/>
      <c r="N418" s="5"/>
      <c r="P418" s="5"/>
      <c r="R418" s="5"/>
    </row>
    <row r="419" spans="2:18" x14ac:dyDescent="0.2">
      <c r="B419" s="5"/>
      <c r="H419" s="5"/>
      <c r="J419" s="5"/>
      <c r="L419" s="5"/>
      <c r="N419" s="5"/>
      <c r="P419" s="5"/>
      <c r="R419" s="5"/>
    </row>
    <row r="420" spans="2:18" x14ac:dyDescent="0.2">
      <c r="B420" s="5"/>
      <c r="H420" s="5"/>
      <c r="J420" s="5"/>
      <c r="L420" s="5"/>
      <c r="N420" s="5"/>
      <c r="P420" s="5"/>
      <c r="R420" s="5"/>
    </row>
    <row r="421" spans="2:18" x14ac:dyDescent="0.2">
      <c r="B421" s="5"/>
      <c r="H421" s="5"/>
      <c r="J421" s="5"/>
      <c r="L421" s="5"/>
      <c r="N421" s="5"/>
      <c r="P421" s="5"/>
      <c r="R421" s="5"/>
    </row>
    <row r="422" spans="2:18" x14ac:dyDescent="0.2">
      <c r="B422" s="5"/>
      <c r="H422" s="5"/>
      <c r="J422" s="5"/>
      <c r="L422" s="5"/>
      <c r="N422" s="5"/>
      <c r="P422" s="5"/>
      <c r="R422" s="5"/>
    </row>
    <row r="423" spans="2:18" x14ac:dyDescent="0.2">
      <c r="B423" s="5"/>
      <c r="H423" s="5"/>
      <c r="J423" s="5"/>
      <c r="L423" s="5"/>
      <c r="N423" s="5"/>
      <c r="P423" s="5"/>
      <c r="R423" s="5"/>
    </row>
    <row r="424" spans="2:18" x14ac:dyDescent="0.2">
      <c r="B424" s="5"/>
      <c r="H424" s="5"/>
      <c r="J424" s="5"/>
      <c r="L424" s="5"/>
      <c r="N424" s="5"/>
      <c r="P424" s="5"/>
      <c r="R424" s="5"/>
    </row>
    <row r="425" spans="2:18" x14ac:dyDescent="0.2">
      <c r="B425" s="5"/>
      <c r="H425" s="5"/>
      <c r="J425" s="5"/>
      <c r="L425" s="5"/>
      <c r="N425" s="5"/>
      <c r="P425" s="5"/>
      <c r="R425" s="5"/>
    </row>
    <row r="426" spans="2:18" x14ac:dyDescent="0.2">
      <c r="B426" s="5"/>
      <c r="H426" s="5"/>
      <c r="J426" s="5"/>
      <c r="L426" s="5"/>
      <c r="N426" s="5"/>
      <c r="P426" s="5"/>
      <c r="R426" s="5"/>
    </row>
    <row r="427" spans="2:18" x14ac:dyDescent="0.2">
      <c r="B427" s="5"/>
      <c r="H427" s="5"/>
      <c r="J427" s="5"/>
      <c r="L427" s="5"/>
      <c r="N427" s="5"/>
      <c r="P427" s="5"/>
      <c r="R427" s="5"/>
    </row>
    <row r="428" spans="2:18" x14ac:dyDescent="0.2">
      <c r="B428" s="5"/>
      <c r="H428" s="5"/>
      <c r="J428" s="5"/>
      <c r="L428" s="5"/>
      <c r="N428" s="5"/>
      <c r="P428" s="5"/>
      <c r="R428" s="5"/>
    </row>
    <row r="429" spans="2:18" x14ac:dyDescent="0.2">
      <c r="B429" s="5"/>
      <c r="H429" s="5"/>
      <c r="J429" s="5"/>
      <c r="L429" s="5"/>
      <c r="N429" s="5"/>
      <c r="P429" s="5"/>
      <c r="R429" s="5"/>
    </row>
    <row r="430" spans="2:18" x14ac:dyDescent="0.2">
      <c r="B430" s="5"/>
      <c r="H430" s="5"/>
      <c r="J430" s="5"/>
      <c r="L430" s="5"/>
      <c r="N430" s="5"/>
      <c r="P430" s="5"/>
      <c r="R430" s="5"/>
    </row>
    <row r="431" spans="2:18" x14ac:dyDescent="0.2">
      <c r="B431" s="5"/>
      <c r="H431" s="5"/>
      <c r="J431" s="5"/>
      <c r="L431" s="5"/>
      <c r="N431" s="5"/>
      <c r="P431" s="5"/>
      <c r="R431" s="5"/>
    </row>
    <row r="432" spans="2:18" x14ac:dyDescent="0.2">
      <c r="B432" s="5"/>
      <c r="H432" s="5"/>
      <c r="J432" s="5"/>
      <c r="L432" s="5"/>
      <c r="N432" s="5"/>
      <c r="P432" s="5"/>
      <c r="R432" s="5"/>
    </row>
    <row r="433" spans="2:18" x14ac:dyDescent="0.2">
      <c r="B433" s="5"/>
      <c r="H433" s="5"/>
      <c r="J433" s="5"/>
      <c r="L433" s="5"/>
      <c r="N433" s="5"/>
      <c r="P433" s="5"/>
      <c r="R433" s="5"/>
    </row>
    <row r="434" spans="2:18" x14ac:dyDescent="0.2">
      <c r="B434" s="5"/>
      <c r="H434" s="5"/>
      <c r="J434" s="5"/>
      <c r="L434" s="5"/>
      <c r="N434" s="5"/>
      <c r="P434" s="5"/>
      <c r="R434" s="5"/>
    </row>
    <row r="435" spans="2:18" x14ac:dyDescent="0.2">
      <c r="B435" s="5"/>
      <c r="H435" s="5"/>
      <c r="J435" s="5"/>
      <c r="L435" s="5"/>
      <c r="N435" s="5"/>
      <c r="P435" s="5"/>
      <c r="R435" s="5"/>
    </row>
    <row r="436" spans="2:18" x14ac:dyDescent="0.2">
      <c r="B436" s="5"/>
      <c r="H436" s="5"/>
      <c r="J436" s="5"/>
      <c r="L436" s="5"/>
      <c r="N436" s="5"/>
      <c r="P436" s="5"/>
      <c r="R436" s="5"/>
    </row>
    <row r="437" spans="2:18" x14ac:dyDescent="0.2">
      <c r="B437" s="5"/>
      <c r="H437" s="5"/>
      <c r="J437" s="5"/>
      <c r="L437" s="5"/>
      <c r="N437" s="5"/>
      <c r="P437" s="5"/>
      <c r="R437" s="5"/>
    </row>
    <row r="438" spans="2:18" x14ac:dyDescent="0.2">
      <c r="B438" s="5"/>
      <c r="H438" s="5"/>
      <c r="J438" s="5"/>
      <c r="L438" s="5"/>
      <c r="N438" s="5"/>
      <c r="P438" s="5"/>
      <c r="R438" s="5"/>
    </row>
    <row r="439" spans="2:18" x14ac:dyDescent="0.2">
      <c r="B439" s="5"/>
      <c r="H439" s="5"/>
      <c r="J439" s="5"/>
      <c r="L439" s="5"/>
      <c r="N439" s="5"/>
      <c r="P439" s="5"/>
      <c r="R439" s="5"/>
    </row>
    <row r="440" spans="2:18" x14ac:dyDescent="0.2">
      <c r="B440" s="5"/>
      <c r="H440" s="5"/>
      <c r="J440" s="5"/>
      <c r="L440" s="5"/>
      <c r="N440" s="5"/>
      <c r="P440" s="5"/>
      <c r="R440" s="5"/>
    </row>
    <row r="441" spans="2:18" x14ac:dyDescent="0.2">
      <c r="B441" s="5"/>
      <c r="H441" s="5"/>
      <c r="J441" s="5"/>
      <c r="L441" s="5"/>
      <c r="N441" s="5"/>
      <c r="P441" s="5"/>
      <c r="R441" s="5"/>
    </row>
    <row r="442" spans="2:18" x14ac:dyDescent="0.2">
      <c r="B442" s="5"/>
      <c r="H442" s="5"/>
      <c r="J442" s="5"/>
      <c r="L442" s="5"/>
      <c r="N442" s="5"/>
      <c r="P442" s="5"/>
      <c r="R442" s="5"/>
    </row>
    <row r="443" spans="2:18" x14ac:dyDescent="0.2">
      <c r="B443" s="5"/>
      <c r="H443" s="5"/>
      <c r="J443" s="5"/>
      <c r="L443" s="5"/>
      <c r="N443" s="5"/>
      <c r="P443" s="5"/>
      <c r="R443" s="5"/>
    </row>
    <row r="444" spans="2:18" x14ac:dyDescent="0.2">
      <c r="B444" s="5"/>
      <c r="H444" s="5"/>
      <c r="J444" s="5"/>
      <c r="L444" s="5"/>
      <c r="N444" s="5"/>
      <c r="P444" s="5"/>
      <c r="R444" s="5"/>
    </row>
    <row r="445" spans="2:18" x14ac:dyDescent="0.2">
      <c r="B445" s="5"/>
      <c r="H445" s="5"/>
      <c r="J445" s="5"/>
      <c r="L445" s="5"/>
      <c r="N445" s="5"/>
      <c r="P445" s="5"/>
      <c r="R445" s="5"/>
    </row>
    <row r="446" spans="2:18" x14ac:dyDescent="0.2">
      <c r="B446" s="5"/>
      <c r="H446" s="5"/>
      <c r="J446" s="5"/>
      <c r="L446" s="5"/>
      <c r="N446" s="5"/>
      <c r="P446" s="5"/>
      <c r="R446" s="5"/>
    </row>
    <row r="447" spans="2:18" x14ac:dyDescent="0.2">
      <c r="B447" s="5"/>
      <c r="H447" s="5"/>
      <c r="J447" s="5"/>
      <c r="L447" s="5"/>
      <c r="N447" s="5"/>
      <c r="P447" s="5"/>
      <c r="R447" s="5"/>
    </row>
    <row r="448" spans="2:18" x14ac:dyDescent="0.2">
      <c r="B448" s="5"/>
      <c r="H448" s="5"/>
      <c r="J448" s="5"/>
      <c r="L448" s="5"/>
      <c r="N448" s="5"/>
      <c r="P448" s="5"/>
      <c r="R448" s="5"/>
    </row>
    <row r="449" spans="2:18" x14ac:dyDescent="0.2">
      <c r="B449" s="5"/>
      <c r="H449" s="5"/>
      <c r="J449" s="5"/>
      <c r="L449" s="5"/>
      <c r="N449" s="5"/>
      <c r="P449" s="5"/>
      <c r="R449" s="5"/>
    </row>
    <row r="450" spans="2:18" x14ac:dyDescent="0.2">
      <c r="B450" s="5"/>
      <c r="H450" s="5"/>
      <c r="J450" s="5"/>
      <c r="L450" s="5"/>
      <c r="N450" s="5"/>
      <c r="P450" s="5"/>
      <c r="R450" s="5"/>
    </row>
    <row r="451" spans="2:18" x14ac:dyDescent="0.2">
      <c r="B451" s="5"/>
      <c r="H451" s="5"/>
      <c r="J451" s="5"/>
      <c r="L451" s="5"/>
      <c r="N451" s="5"/>
      <c r="P451" s="5"/>
      <c r="R451" s="5"/>
    </row>
    <row r="452" spans="2:18" x14ac:dyDescent="0.2">
      <c r="B452" s="5"/>
      <c r="H452" s="5"/>
      <c r="J452" s="5"/>
      <c r="L452" s="5"/>
      <c r="N452" s="5"/>
      <c r="P452" s="5"/>
      <c r="R452" s="5"/>
    </row>
    <row r="453" spans="2:18" x14ac:dyDescent="0.2">
      <c r="B453" s="5"/>
      <c r="H453" s="5"/>
      <c r="J453" s="5"/>
      <c r="L453" s="5"/>
      <c r="N453" s="5"/>
      <c r="P453" s="5"/>
      <c r="R453" s="5"/>
    </row>
    <row r="454" spans="2:18" x14ac:dyDescent="0.2">
      <c r="B454" s="5"/>
      <c r="H454" s="5"/>
      <c r="J454" s="5"/>
      <c r="L454" s="5"/>
      <c r="N454" s="5"/>
      <c r="P454" s="5"/>
      <c r="R454" s="5"/>
    </row>
    <row r="455" spans="2:18" x14ac:dyDescent="0.2">
      <c r="B455" s="5"/>
      <c r="H455" s="5"/>
      <c r="J455" s="5"/>
      <c r="L455" s="5"/>
      <c r="N455" s="5"/>
      <c r="P455" s="5"/>
      <c r="R455" s="5"/>
    </row>
    <row r="456" spans="2:18" x14ac:dyDescent="0.2">
      <c r="B456" s="5"/>
      <c r="H456" s="5"/>
      <c r="J456" s="5"/>
      <c r="L456" s="5"/>
      <c r="N456" s="5"/>
      <c r="P456" s="5"/>
      <c r="R456" s="5"/>
    </row>
    <row r="457" spans="2:18" x14ac:dyDescent="0.2">
      <c r="B457" s="5"/>
      <c r="H457" s="5"/>
      <c r="J457" s="5"/>
      <c r="L457" s="5"/>
      <c r="N457" s="5"/>
      <c r="P457" s="5"/>
      <c r="R457" s="5"/>
    </row>
    <row r="458" spans="2:18" x14ac:dyDescent="0.2">
      <c r="B458" s="5"/>
      <c r="H458" s="5"/>
      <c r="J458" s="5"/>
      <c r="L458" s="5"/>
      <c r="N458" s="5"/>
      <c r="P458" s="5"/>
      <c r="R458" s="5"/>
    </row>
    <row r="459" spans="2:18" x14ac:dyDescent="0.2">
      <c r="B459" s="5"/>
      <c r="H459" s="5"/>
      <c r="J459" s="5"/>
      <c r="L459" s="5"/>
      <c r="N459" s="5"/>
      <c r="P459" s="5"/>
      <c r="R459" s="5"/>
    </row>
    <row r="460" spans="2:18" x14ac:dyDescent="0.2">
      <c r="B460" s="5"/>
      <c r="H460" s="5"/>
      <c r="J460" s="5"/>
      <c r="L460" s="5"/>
      <c r="N460" s="5"/>
      <c r="P460" s="5"/>
      <c r="R460" s="5"/>
    </row>
    <row r="461" spans="2:18" x14ac:dyDescent="0.2">
      <c r="B461" s="5"/>
      <c r="H461" s="5"/>
      <c r="J461" s="5"/>
      <c r="L461" s="5"/>
      <c r="N461" s="5"/>
      <c r="P461" s="5"/>
      <c r="R461" s="5"/>
    </row>
    <row r="462" spans="2:18" x14ac:dyDescent="0.2">
      <c r="B462" s="5"/>
      <c r="H462" s="5"/>
      <c r="J462" s="5"/>
      <c r="L462" s="5"/>
      <c r="N462" s="5"/>
      <c r="P462" s="5"/>
      <c r="R462" s="5"/>
    </row>
    <row r="463" spans="2:18" x14ac:dyDescent="0.2">
      <c r="B463" s="5"/>
      <c r="H463" s="5"/>
      <c r="J463" s="5"/>
      <c r="L463" s="5"/>
      <c r="N463" s="5"/>
      <c r="P463" s="5"/>
      <c r="R463" s="5"/>
    </row>
    <row r="464" spans="2:18" x14ac:dyDescent="0.2">
      <c r="B464" s="5"/>
      <c r="H464" s="5"/>
      <c r="J464" s="5"/>
      <c r="L464" s="5"/>
      <c r="N464" s="5"/>
      <c r="P464" s="5"/>
      <c r="R464" s="5"/>
    </row>
    <row r="465" spans="2:18" x14ac:dyDescent="0.2">
      <c r="B465" s="5"/>
      <c r="H465" s="5"/>
      <c r="J465" s="5"/>
      <c r="L465" s="5"/>
      <c r="N465" s="5"/>
      <c r="P465" s="5"/>
      <c r="R465" s="5"/>
    </row>
    <row r="466" spans="2:18" x14ac:dyDescent="0.2">
      <c r="B466" s="5"/>
      <c r="H466" s="5"/>
      <c r="J466" s="5"/>
      <c r="L466" s="5"/>
      <c r="N466" s="5"/>
      <c r="P466" s="5"/>
      <c r="R466" s="5"/>
    </row>
    <row r="467" spans="2:18" x14ac:dyDescent="0.2">
      <c r="B467" s="5"/>
      <c r="H467" s="5"/>
      <c r="J467" s="5"/>
      <c r="L467" s="5"/>
      <c r="N467" s="5"/>
      <c r="P467" s="5"/>
      <c r="R467" s="5"/>
    </row>
    <row r="468" spans="2:18" x14ac:dyDescent="0.2">
      <c r="B468" s="5"/>
      <c r="H468" s="5"/>
      <c r="J468" s="5"/>
      <c r="L468" s="5"/>
      <c r="N468" s="5"/>
      <c r="P468" s="5"/>
      <c r="R468" s="5"/>
    </row>
    <row r="469" spans="2:18" x14ac:dyDescent="0.2">
      <c r="B469" s="5"/>
      <c r="H469" s="5"/>
      <c r="J469" s="5"/>
      <c r="L469" s="5"/>
      <c r="N469" s="5"/>
      <c r="P469" s="5"/>
      <c r="R469" s="5"/>
    </row>
    <row r="470" spans="2:18" x14ac:dyDescent="0.2">
      <c r="B470" s="5"/>
      <c r="H470" s="5"/>
      <c r="J470" s="5"/>
      <c r="L470" s="5"/>
      <c r="N470" s="5"/>
      <c r="P470" s="5"/>
      <c r="R470" s="5"/>
    </row>
    <row r="471" spans="2:18" x14ac:dyDescent="0.2">
      <c r="B471" s="5"/>
      <c r="H471" s="5"/>
      <c r="J471" s="5"/>
      <c r="L471" s="5"/>
      <c r="N471" s="5"/>
      <c r="P471" s="5"/>
      <c r="R471" s="5"/>
    </row>
    <row r="472" spans="2:18" x14ac:dyDescent="0.2">
      <c r="B472" s="5"/>
      <c r="H472" s="5"/>
      <c r="J472" s="5"/>
      <c r="L472" s="5"/>
      <c r="N472" s="5"/>
      <c r="P472" s="5"/>
      <c r="R472" s="5"/>
    </row>
    <row r="473" spans="2:18" x14ac:dyDescent="0.2">
      <c r="B473" s="5"/>
      <c r="H473" s="5"/>
      <c r="J473" s="5"/>
      <c r="L473" s="5"/>
      <c r="N473" s="5"/>
      <c r="P473" s="5"/>
      <c r="R473" s="5"/>
    </row>
    <row r="474" spans="2:18" x14ac:dyDescent="0.2">
      <c r="B474" s="5"/>
      <c r="H474" s="5"/>
      <c r="J474" s="5"/>
      <c r="L474" s="5"/>
      <c r="N474" s="5"/>
      <c r="P474" s="5"/>
      <c r="R474" s="5"/>
    </row>
    <row r="475" spans="2:18" x14ac:dyDescent="0.2">
      <c r="B475" s="5"/>
      <c r="H475" s="5"/>
      <c r="J475" s="5"/>
      <c r="L475" s="5"/>
      <c r="N475" s="5"/>
      <c r="P475" s="5"/>
      <c r="R475" s="5"/>
    </row>
    <row r="476" spans="2:18" x14ac:dyDescent="0.2">
      <c r="B476" s="5"/>
      <c r="H476" s="5"/>
      <c r="J476" s="5"/>
      <c r="L476" s="5"/>
      <c r="N476" s="5"/>
      <c r="P476" s="5"/>
      <c r="R476" s="5"/>
    </row>
    <row r="477" spans="2:18" x14ac:dyDescent="0.2">
      <c r="B477" s="5"/>
      <c r="H477" s="5"/>
      <c r="J477" s="5"/>
      <c r="L477" s="5"/>
      <c r="N477" s="5"/>
      <c r="P477" s="5"/>
      <c r="R477" s="5"/>
    </row>
    <row r="478" spans="2:18" x14ac:dyDescent="0.2">
      <c r="B478" s="5"/>
      <c r="H478" s="5"/>
      <c r="J478" s="5"/>
      <c r="L478" s="5"/>
      <c r="N478" s="5"/>
      <c r="P478" s="5"/>
      <c r="R478" s="5"/>
    </row>
    <row r="479" spans="2:18" x14ac:dyDescent="0.2">
      <c r="B479" s="5"/>
      <c r="H479" s="5"/>
      <c r="J479" s="5"/>
      <c r="L479" s="5"/>
      <c r="N479" s="5"/>
      <c r="P479" s="5"/>
      <c r="R479" s="5"/>
    </row>
    <row r="480" spans="2:18" x14ac:dyDescent="0.2">
      <c r="B480" s="5"/>
      <c r="H480" s="5"/>
      <c r="J480" s="5"/>
      <c r="L480" s="5"/>
      <c r="N480" s="5"/>
      <c r="P480" s="5"/>
      <c r="R480" s="5"/>
    </row>
    <row r="481" spans="2:18" x14ac:dyDescent="0.2">
      <c r="B481" s="5"/>
      <c r="H481" s="5"/>
      <c r="J481" s="5"/>
      <c r="L481" s="5"/>
      <c r="N481" s="5"/>
      <c r="P481" s="5"/>
      <c r="R481" s="5"/>
    </row>
    <row r="482" spans="2:18" x14ac:dyDescent="0.2">
      <c r="B482" s="5"/>
      <c r="H482" s="5"/>
      <c r="J482" s="5"/>
      <c r="L482" s="5"/>
      <c r="N482" s="5"/>
      <c r="P482" s="5"/>
      <c r="R482" s="5"/>
    </row>
    <row r="483" spans="2:18" x14ac:dyDescent="0.2">
      <c r="B483" s="5"/>
      <c r="H483" s="5"/>
      <c r="J483" s="5"/>
      <c r="L483" s="5"/>
      <c r="N483" s="5"/>
      <c r="P483" s="5"/>
      <c r="R483" s="5"/>
    </row>
    <row r="484" spans="2:18" x14ac:dyDescent="0.2">
      <c r="B484" s="5"/>
      <c r="H484" s="5"/>
      <c r="J484" s="5"/>
      <c r="L484" s="5"/>
      <c r="N484" s="5"/>
      <c r="P484" s="5"/>
      <c r="R484" s="5"/>
    </row>
    <row r="485" spans="2:18" x14ac:dyDescent="0.2">
      <c r="B485" s="5"/>
      <c r="H485" s="5"/>
      <c r="J485" s="5"/>
      <c r="L485" s="5"/>
      <c r="N485" s="5"/>
      <c r="P485" s="5"/>
      <c r="R485" s="5"/>
    </row>
    <row r="486" spans="2:18" x14ac:dyDescent="0.2">
      <c r="B486" s="5"/>
      <c r="H486" s="5"/>
      <c r="J486" s="5"/>
      <c r="L486" s="5"/>
      <c r="N486" s="5"/>
      <c r="P486" s="5"/>
      <c r="R486" s="5"/>
    </row>
    <row r="487" spans="2:18" x14ac:dyDescent="0.2">
      <c r="B487" s="5"/>
      <c r="H487" s="5"/>
      <c r="J487" s="5"/>
      <c r="L487" s="5"/>
      <c r="N487" s="5"/>
      <c r="P487" s="5"/>
      <c r="R487" s="5"/>
    </row>
    <row r="488" spans="2:18" x14ac:dyDescent="0.2">
      <c r="B488" s="5"/>
      <c r="H488" s="5"/>
      <c r="J488" s="5"/>
      <c r="L488" s="5"/>
      <c r="N488" s="5"/>
      <c r="P488" s="5"/>
      <c r="R488" s="5"/>
    </row>
    <row r="489" spans="2:18" x14ac:dyDescent="0.2">
      <c r="B489" s="5"/>
      <c r="H489" s="5"/>
      <c r="J489" s="5"/>
      <c r="L489" s="5"/>
      <c r="N489" s="5"/>
      <c r="P489" s="5"/>
      <c r="R489" s="5"/>
    </row>
    <row r="490" spans="2:18" x14ac:dyDescent="0.2">
      <c r="B490" s="5"/>
      <c r="H490" s="5"/>
      <c r="J490" s="5"/>
      <c r="L490" s="5"/>
      <c r="N490" s="5"/>
      <c r="P490" s="5"/>
      <c r="R490" s="5"/>
    </row>
    <row r="491" spans="2:18" x14ac:dyDescent="0.2">
      <c r="B491" s="5"/>
      <c r="H491" s="5"/>
      <c r="J491" s="5"/>
      <c r="L491" s="5"/>
      <c r="N491" s="5"/>
      <c r="P491" s="5"/>
      <c r="R491" s="5"/>
    </row>
    <row r="492" spans="2:18" x14ac:dyDescent="0.2">
      <c r="B492" s="5"/>
      <c r="H492" s="5"/>
      <c r="J492" s="5"/>
      <c r="L492" s="5"/>
      <c r="N492" s="5"/>
      <c r="P492" s="5"/>
      <c r="R492" s="5"/>
    </row>
    <row r="493" spans="2:18" x14ac:dyDescent="0.2">
      <c r="B493" s="5"/>
      <c r="H493" s="5"/>
      <c r="J493" s="5"/>
      <c r="L493" s="5"/>
      <c r="N493" s="5"/>
      <c r="P493" s="5"/>
      <c r="R493" s="5"/>
    </row>
    <row r="494" spans="2:18" x14ac:dyDescent="0.2">
      <c r="B494" s="5"/>
      <c r="H494" s="5"/>
      <c r="J494" s="5"/>
      <c r="L494" s="5"/>
      <c r="N494" s="5"/>
      <c r="P494" s="5"/>
      <c r="R494" s="5"/>
    </row>
    <row r="495" spans="2:18" x14ac:dyDescent="0.2">
      <c r="B495" s="5"/>
      <c r="H495" s="5"/>
      <c r="J495" s="5"/>
      <c r="L495" s="5"/>
      <c r="N495" s="5"/>
      <c r="P495" s="5"/>
      <c r="R495" s="5"/>
    </row>
    <row r="496" spans="2:18" x14ac:dyDescent="0.2">
      <c r="B496" s="5"/>
      <c r="H496" s="5"/>
      <c r="J496" s="5"/>
      <c r="L496" s="5"/>
      <c r="N496" s="5"/>
      <c r="P496" s="5"/>
      <c r="R496" s="5"/>
    </row>
    <row r="497" spans="2:18" x14ac:dyDescent="0.2">
      <c r="B497" s="5"/>
      <c r="H497" s="5"/>
      <c r="J497" s="5"/>
      <c r="L497" s="5"/>
      <c r="N497" s="5"/>
      <c r="P497" s="5"/>
      <c r="R497" s="5"/>
    </row>
    <row r="498" spans="2:18" x14ac:dyDescent="0.2">
      <c r="B498" s="5"/>
      <c r="H498" s="5"/>
      <c r="J498" s="5"/>
      <c r="L498" s="5"/>
      <c r="N498" s="5"/>
      <c r="P498" s="5"/>
      <c r="R498" s="5"/>
    </row>
    <row r="499" spans="2:18" x14ac:dyDescent="0.2">
      <c r="B499" s="5"/>
      <c r="H499" s="5"/>
      <c r="J499" s="5"/>
      <c r="L499" s="5"/>
      <c r="N499" s="5"/>
      <c r="P499" s="5"/>
      <c r="R499" s="5"/>
    </row>
    <row r="500" spans="2:18" x14ac:dyDescent="0.2">
      <c r="B500" s="5"/>
      <c r="H500" s="5"/>
      <c r="J500" s="5"/>
      <c r="L500" s="5"/>
      <c r="N500" s="5"/>
      <c r="P500" s="5"/>
      <c r="R500" s="5"/>
    </row>
    <row r="501" spans="2:18" x14ac:dyDescent="0.2">
      <c r="B501" s="5"/>
      <c r="H501" s="5"/>
      <c r="J501" s="5"/>
      <c r="L501" s="5"/>
      <c r="N501" s="5"/>
      <c r="P501" s="5"/>
      <c r="R501" s="5"/>
    </row>
    <row r="502" spans="2:18" x14ac:dyDescent="0.2">
      <c r="B502" s="5"/>
      <c r="H502" s="5"/>
      <c r="J502" s="5"/>
      <c r="L502" s="5"/>
      <c r="N502" s="5"/>
      <c r="P502" s="5"/>
      <c r="R502" s="5"/>
    </row>
    <row r="503" spans="2:18" x14ac:dyDescent="0.2">
      <c r="B503" s="5"/>
      <c r="H503" s="5"/>
      <c r="J503" s="5"/>
      <c r="L503" s="5"/>
      <c r="N503" s="5"/>
      <c r="P503" s="5"/>
      <c r="R503" s="5"/>
    </row>
    <row r="504" spans="2:18" x14ac:dyDescent="0.2">
      <c r="B504" s="5"/>
      <c r="H504" s="5"/>
      <c r="J504" s="5"/>
      <c r="L504" s="5"/>
      <c r="N504" s="5"/>
      <c r="P504" s="5"/>
      <c r="R504" s="5"/>
    </row>
    <row r="505" spans="2:18" x14ac:dyDescent="0.2">
      <c r="B505" s="5"/>
      <c r="H505" s="5"/>
      <c r="J505" s="5"/>
      <c r="L505" s="5"/>
      <c r="N505" s="5"/>
      <c r="P505" s="5"/>
      <c r="R505" s="5"/>
    </row>
    <row r="506" spans="2:18" x14ac:dyDescent="0.2">
      <c r="B506" s="5"/>
      <c r="H506" s="5"/>
      <c r="J506" s="5"/>
      <c r="L506" s="5"/>
      <c r="N506" s="5"/>
      <c r="P506" s="5"/>
      <c r="R506" s="5"/>
    </row>
    <row r="507" spans="2:18" x14ac:dyDescent="0.2">
      <c r="B507" s="5"/>
      <c r="H507" s="5"/>
      <c r="J507" s="5"/>
      <c r="L507" s="5"/>
      <c r="N507" s="5"/>
      <c r="P507" s="5"/>
      <c r="R507" s="5"/>
    </row>
    <row r="508" spans="2:18" x14ac:dyDescent="0.2">
      <c r="B508" s="5"/>
      <c r="H508" s="5"/>
      <c r="J508" s="5"/>
      <c r="L508" s="5"/>
      <c r="N508" s="5"/>
      <c r="P508" s="5"/>
      <c r="R508" s="5"/>
    </row>
    <row r="509" spans="2:18" x14ac:dyDescent="0.2">
      <c r="B509" s="5"/>
      <c r="H509" s="5"/>
      <c r="J509" s="5"/>
      <c r="L509" s="5"/>
      <c r="N509" s="5"/>
      <c r="P509" s="5"/>
      <c r="R509" s="5"/>
    </row>
    <row r="510" spans="2:18" x14ac:dyDescent="0.2">
      <c r="B510" s="5"/>
      <c r="H510" s="5"/>
      <c r="J510" s="5"/>
      <c r="L510" s="5"/>
      <c r="N510" s="5"/>
      <c r="P510" s="5"/>
      <c r="R510" s="5"/>
    </row>
    <row r="511" spans="2:18" x14ac:dyDescent="0.2">
      <c r="B511" s="5"/>
      <c r="H511" s="5"/>
      <c r="J511" s="5"/>
      <c r="L511" s="5"/>
      <c r="N511" s="5"/>
      <c r="P511" s="5"/>
      <c r="R511" s="5"/>
    </row>
    <row r="512" spans="2:18" x14ac:dyDescent="0.2">
      <c r="B512" s="5"/>
      <c r="H512" s="5"/>
      <c r="J512" s="5"/>
      <c r="L512" s="5"/>
      <c r="N512" s="5"/>
      <c r="P512" s="5"/>
      <c r="R512" s="5"/>
    </row>
    <row r="513" spans="2:18" x14ac:dyDescent="0.2">
      <c r="B513" s="5"/>
      <c r="H513" s="5"/>
      <c r="J513" s="5"/>
      <c r="L513" s="5"/>
      <c r="N513" s="5"/>
      <c r="P513" s="5"/>
      <c r="R513" s="5"/>
    </row>
    <row r="514" spans="2:18" x14ac:dyDescent="0.2">
      <c r="B514" s="5"/>
      <c r="H514" s="5"/>
      <c r="J514" s="5"/>
      <c r="L514" s="5"/>
      <c r="N514" s="5"/>
      <c r="P514" s="5"/>
      <c r="R514" s="5"/>
    </row>
    <row r="515" spans="2:18" x14ac:dyDescent="0.2">
      <c r="B515" s="5"/>
      <c r="H515" s="5"/>
      <c r="J515" s="5"/>
      <c r="L515" s="5"/>
      <c r="N515" s="5"/>
      <c r="P515" s="5"/>
      <c r="R515" s="5"/>
    </row>
    <row r="516" spans="2:18" x14ac:dyDescent="0.2">
      <c r="B516" s="5"/>
      <c r="H516" s="5"/>
      <c r="J516" s="5"/>
      <c r="L516" s="5"/>
      <c r="N516" s="5"/>
      <c r="P516" s="5"/>
      <c r="R516" s="5"/>
    </row>
    <row r="517" spans="2:18" x14ac:dyDescent="0.2">
      <c r="B517" s="5"/>
      <c r="H517" s="5"/>
      <c r="J517" s="5"/>
      <c r="L517" s="5"/>
      <c r="N517" s="5"/>
      <c r="P517" s="5"/>
      <c r="R517" s="5"/>
    </row>
    <row r="518" spans="2:18" x14ac:dyDescent="0.2">
      <c r="B518" s="5"/>
      <c r="H518" s="5"/>
      <c r="J518" s="5"/>
      <c r="L518" s="5"/>
      <c r="N518" s="5"/>
      <c r="P518" s="5"/>
      <c r="R518" s="5"/>
    </row>
    <row r="519" spans="2:18" x14ac:dyDescent="0.2">
      <c r="B519" s="5"/>
      <c r="H519" s="5"/>
      <c r="J519" s="5"/>
      <c r="L519" s="5"/>
      <c r="N519" s="5"/>
      <c r="P519" s="5"/>
      <c r="R519" s="5"/>
    </row>
    <row r="520" spans="2:18" x14ac:dyDescent="0.2">
      <c r="B520" s="5"/>
      <c r="H520" s="5"/>
      <c r="J520" s="5"/>
      <c r="L520" s="5"/>
      <c r="N520" s="5"/>
      <c r="P520" s="5"/>
      <c r="R520" s="5"/>
    </row>
    <row r="521" spans="2:18" x14ac:dyDescent="0.2">
      <c r="B521" s="5"/>
      <c r="H521" s="5"/>
      <c r="J521" s="5"/>
      <c r="L521" s="5"/>
      <c r="N521" s="5"/>
      <c r="P521" s="5"/>
      <c r="R521" s="5"/>
    </row>
    <row r="522" spans="2:18" x14ac:dyDescent="0.2">
      <c r="B522" s="5"/>
      <c r="H522" s="5"/>
      <c r="J522" s="5"/>
      <c r="L522" s="5"/>
      <c r="N522" s="5"/>
      <c r="P522" s="5"/>
      <c r="R522" s="5"/>
    </row>
    <row r="523" spans="2:18" x14ac:dyDescent="0.2">
      <c r="B523" s="5"/>
      <c r="H523" s="5"/>
      <c r="J523" s="5"/>
      <c r="L523" s="5"/>
      <c r="N523" s="5"/>
      <c r="P523" s="5"/>
      <c r="R523" s="5"/>
    </row>
    <row r="524" spans="2:18" x14ac:dyDescent="0.2">
      <c r="B524" s="5"/>
      <c r="H524" s="5"/>
      <c r="J524" s="5"/>
      <c r="L524" s="5"/>
      <c r="N524" s="5"/>
      <c r="P524" s="5"/>
      <c r="R524" s="5"/>
    </row>
    <row r="525" spans="2:18" x14ac:dyDescent="0.2">
      <c r="B525" s="5"/>
      <c r="H525" s="5"/>
      <c r="J525" s="5"/>
      <c r="L525" s="5"/>
      <c r="N525" s="5"/>
      <c r="P525" s="5"/>
      <c r="R525" s="5"/>
    </row>
    <row r="526" spans="2:18" x14ac:dyDescent="0.2">
      <c r="B526" s="5"/>
      <c r="H526" s="5"/>
      <c r="J526" s="5"/>
      <c r="L526" s="5"/>
      <c r="N526" s="5"/>
      <c r="P526" s="5"/>
      <c r="R526" s="5"/>
    </row>
    <row r="527" spans="2:18" x14ac:dyDescent="0.2">
      <c r="B527" s="5"/>
      <c r="H527" s="5"/>
      <c r="J527" s="5"/>
      <c r="L527" s="5"/>
      <c r="N527" s="5"/>
      <c r="P527" s="5"/>
      <c r="R527" s="5"/>
    </row>
    <row r="528" spans="2:18" x14ac:dyDescent="0.2">
      <c r="B528" s="5"/>
      <c r="H528" s="5"/>
      <c r="J528" s="5"/>
      <c r="L528" s="5"/>
      <c r="N528" s="5"/>
      <c r="P528" s="5"/>
      <c r="R528" s="5"/>
    </row>
    <row r="529" spans="2:18" x14ac:dyDescent="0.2">
      <c r="B529" s="5"/>
      <c r="H529" s="5"/>
      <c r="J529" s="5"/>
      <c r="L529" s="5"/>
      <c r="N529" s="5"/>
      <c r="P529" s="5"/>
      <c r="R529" s="5"/>
    </row>
    <row r="530" spans="2:18" x14ac:dyDescent="0.2">
      <c r="B530" s="5"/>
      <c r="H530" s="5"/>
      <c r="J530" s="5"/>
      <c r="L530" s="5"/>
      <c r="N530" s="5"/>
      <c r="P530" s="5"/>
      <c r="R530" s="5"/>
    </row>
    <row r="531" spans="2:18" x14ac:dyDescent="0.2">
      <c r="B531" s="5"/>
      <c r="H531" s="5"/>
      <c r="J531" s="5"/>
      <c r="L531" s="5"/>
      <c r="N531" s="5"/>
      <c r="P531" s="5"/>
      <c r="R531" s="5"/>
    </row>
    <row r="532" spans="2:18" x14ac:dyDescent="0.2">
      <c r="B532" s="5"/>
      <c r="H532" s="5"/>
      <c r="J532" s="5"/>
      <c r="L532" s="5"/>
      <c r="N532" s="5"/>
      <c r="P532" s="5"/>
      <c r="R532" s="5"/>
    </row>
    <row r="533" spans="2:18" x14ac:dyDescent="0.2">
      <c r="B533" s="5"/>
      <c r="H533" s="5"/>
      <c r="J533" s="5"/>
      <c r="L533" s="5"/>
      <c r="N533" s="5"/>
      <c r="P533" s="5"/>
      <c r="R533" s="5"/>
    </row>
    <row r="534" spans="2:18" x14ac:dyDescent="0.2">
      <c r="B534" s="5"/>
      <c r="H534" s="5"/>
      <c r="J534" s="5"/>
      <c r="L534" s="5"/>
      <c r="N534" s="5"/>
      <c r="P534" s="5"/>
      <c r="R534" s="5"/>
    </row>
    <row r="535" spans="2:18" x14ac:dyDescent="0.2">
      <c r="B535" s="5"/>
      <c r="H535" s="5"/>
      <c r="J535" s="5"/>
      <c r="L535" s="5"/>
      <c r="N535" s="5"/>
      <c r="P535" s="5"/>
      <c r="R535" s="5"/>
    </row>
    <row r="536" spans="2:18" x14ac:dyDescent="0.2">
      <c r="B536" s="5"/>
      <c r="H536" s="5"/>
      <c r="J536" s="5"/>
      <c r="L536" s="5"/>
      <c r="N536" s="5"/>
      <c r="P536" s="5"/>
      <c r="R536" s="5"/>
    </row>
    <row r="537" spans="2:18" x14ac:dyDescent="0.2">
      <c r="B537" s="5"/>
      <c r="H537" s="5"/>
      <c r="J537" s="5"/>
      <c r="L537" s="5"/>
      <c r="N537" s="5"/>
      <c r="P537" s="5"/>
      <c r="R537" s="5"/>
    </row>
    <row r="538" spans="2:18" x14ac:dyDescent="0.2">
      <c r="B538" s="5"/>
      <c r="H538" s="5"/>
      <c r="J538" s="5"/>
      <c r="L538" s="5"/>
      <c r="N538" s="5"/>
      <c r="P538" s="5"/>
      <c r="R538" s="5"/>
    </row>
    <row r="539" spans="2:18" x14ac:dyDescent="0.2">
      <c r="B539" s="5"/>
      <c r="H539" s="5"/>
      <c r="J539" s="5"/>
      <c r="L539" s="5"/>
      <c r="N539" s="5"/>
      <c r="P539" s="5"/>
      <c r="R539" s="5"/>
    </row>
    <row r="540" spans="2:18" x14ac:dyDescent="0.2">
      <c r="B540" s="5"/>
      <c r="H540" s="5"/>
      <c r="J540" s="5"/>
      <c r="L540" s="5"/>
      <c r="N540" s="5"/>
      <c r="P540" s="5"/>
      <c r="R540" s="5"/>
    </row>
    <row r="541" spans="2:18" x14ac:dyDescent="0.2">
      <c r="B541" s="5"/>
      <c r="H541" s="5"/>
      <c r="J541" s="5"/>
      <c r="L541" s="5"/>
      <c r="N541" s="5"/>
      <c r="P541" s="5"/>
      <c r="R541" s="5"/>
    </row>
    <row r="542" spans="2:18" x14ac:dyDescent="0.2">
      <c r="B542" s="5"/>
      <c r="H542" s="5"/>
      <c r="J542" s="5"/>
      <c r="L542" s="5"/>
      <c r="N542" s="5"/>
      <c r="P542" s="5"/>
      <c r="R542" s="5"/>
    </row>
    <row r="543" spans="2:18" x14ac:dyDescent="0.2">
      <c r="B543" s="5"/>
      <c r="H543" s="5"/>
      <c r="J543" s="5"/>
      <c r="L543" s="5"/>
      <c r="N543" s="5"/>
      <c r="P543" s="5"/>
      <c r="R543" s="5"/>
    </row>
    <row r="544" spans="2:18" x14ac:dyDescent="0.2">
      <c r="B544" s="5"/>
      <c r="H544" s="5"/>
      <c r="J544" s="5"/>
      <c r="L544" s="5"/>
      <c r="N544" s="5"/>
      <c r="P544" s="5"/>
      <c r="R544" s="5"/>
    </row>
    <row r="545" spans="2:18" x14ac:dyDescent="0.2">
      <c r="B545" s="5"/>
      <c r="H545" s="5"/>
      <c r="J545" s="5"/>
      <c r="L545" s="5"/>
      <c r="N545" s="5"/>
      <c r="P545" s="5"/>
      <c r="R545" s="5"/>
    </row>
    <row r="546" spans="2:18" x14ac:dyDescent="0.2">
      <c r="B546" s="5"/>
      <c r="H546" s="5"/>
      <c r="J546" s="5"/>
      <c r="L546" s="5"/>
      <c r="N546" s="5"/>
      <c r="P546" s="5"/>
      <c r="R546" s="5"/>
    </row>
    <row r="547" spans="2:18" x14ac:dyDescent="0.2">
      <c r="B547" s="5"/>
      <c r="H547" s="5"/>
      <c r="J547" s="5"/>
      <c r="L547" s="5"/>
      <c r="N547" s="5"/>
      <c r="P547" s="5"/>
      <c r="R547" s="5"/>
    </row>
    <row r="548" spans="2:18" x14ac:dyDescent="0.2">
      <c r="B548" s="5"/>
      <c r="H548" s="5"/>
      <c r="J548" s="5"/>
      <c r="L548" s="5"/>
      <c r="N548" s="5"/>
      <c r="P548" s="5"/>
      <c r="R548" s="5"/>
    </row>
    <row r="549" spans="2:18" x14ac:dyDescent="0.2">
      <c r="B549" s="5"/>
      <c r="H549" s="5"/>
      <c r="J549" s="5"/>
      <c r="L549" s="5"/>
      <c r="N549" s="5"/>
      <c r="P549" s="5"/>
      <c r="R549" s="5"/>
    </row>
    <row r="550" spans="2:18" x14ac:dyDescent="0.2">
      <c r="B550" s="5"/>
      <c r="H550" s="5"/>
      <c r="J550" s="5"/>
      <c r="L550" s="5"/>
      <c r="N550" s="5"/>
      <c r="P550" s="5"/>
      <c r="R550" s="5"/>
    </row>
    <row r="551" spans="2:18" x14ac:dyDescent="0.2">
      <c r="B551" s="5"/>
      <c r="H551" s="5"/>
      <c r="J551" s="5"/>
      <c r="L551" s="5"/>
      <c r="N551" s="5"/>
      <c r="P551" s="5"/>
      <c r="R551" s="5"/>
    </row>
    <row r="552" spans="2:18" x14ac:dyDescent="0.2">
      <c r="B552" s="5"/>
      <c r="H552" s="5"/>
      <c r="J552" s="5"/>
      <c r="L552" s="5"/>
      <c r="N552" s="5"/>
      <c r="P552" s="5"/>
      <c r="R552" s="5"/>
    </row>
    <row r="553" spans="2:18" x14ac:dyDescent="0.2">
      <c r="B553" s="5"/>
      <c r="H553" s="5"/>
      <c r="J553" s="5"/>
      <c r="L553" s="5"/>
      <c r="N553" s="5"/>
      <c r="P553" s="5"/>
      <c r="R553" s="5"/>
    </row>
    <row r="554" spans="2:18" x14ac:dyDescent="0.2">
      <c r="B554" s="5"/>
      <c r="H554" s="5"/>
      <c r="J554" s="5"/>
      <c r="L554" s="5"/>
      <c r="N554" s="5"/>
      <c r="P554" s="5"/>
      <c r="R554" s="5"/>
    </row>
    <row r="555" spans="2:18" x14ac:dyDescent="0.2">
      <c r="B555" s="5"/>
      <c r="H555" s="5"/>
      <c r="J555" s="5"/>
      <c r="L555" s="5"/>
      <c r="N555" s="5"/>
      <c r="P555" s="5"/>
      <c r="R555" s="5"/>
    </row>
    <row r="556" spans="2:18" x14ac:dyDescent="0.2">
      <c r="B556" s="5"/>
      <c r="H556" s="5"/>
      <c r="J556" s="5"/>
      <c r="L556" s="5"/>
      <c r="N556" s="5"/>
      <c r="P556" s="5"/>
      <c r="R556" s="5"/>
    </row>
    <row r="557" spans="2:18" x14ac:dyDescent="0.2">
      <c r="B557" s="5"/>
      <c r="H557" s="5"/>
      <c r="J557" s="5"/>
      <c r="L557" s="5"/>
      <c r="N557" s="5"/>
      <c r="P557" s="5"/>
      <c r="R557" s="5"/>
    </row>
    <row r="558" spans="2:18" x14ac:dyDescent="0.2">
      <c r="B558" s="5"/>
      <c r="H558" s="5"/>
      <c r="J558" s="5"/>
      <c r="L558" s="5"/>
      <c r="N558" s="5"/>
      <c r="P558" s="5"/>
      <c r="R558" s="5"/>
    </row>
    <row r="559" spans="2:18" x14ac:dyDescent="0.2">
      <c r="B559" s="5"/>
      <c r="H559" s="5"/>
      <c r="J559" s="5"/>
      <c r="L559" s="5"/>
      <c r="N559" s="5"/>
      <c r="P559" s="5"/>
      <c r="R559" s="5"/>
    </row>
    <row r="560" spans="2:18" x14ac:dyDescent="0.2">
      <c r="B560" s="5"/>
      <c r="H560" s="5"/>
      <c r="J560" s="5"/>
      <c r="L560" s="5"/>
      <c r="N560" s="5"/>
      <c r="P560" s="5"/>
      <c r="R560" s="5"/>
    </row>
    <row r="561" spans="2:18" x14ac:dyDescent="0.2">
      <c r="B561" s="5"/>
      <c r="H561" s="5"/>
      <c r="J561" s="5"/>
      <c r="L561" s="5"/>
      <c r="N561" s="5"/>
      <c r="P561" s="5"/>
      <c r="R561" s="5"/>
    </row>
    <row r="562" spans="2:18" x14ac:dyDescent="0.2">
      <c r="B562" s="5"/>
      <c r="H562" s="5"/>
      <c r="J562" s="5"/>
      <c r="L562" s="5"/>
      <c r="N562" s="5"/>
      <c r="P562" s="5"/>
      <c r="R562" s="5"/>
    </row>
    <row r="563" spans="2:18" x14ac:dyDescent="0.2">
      <c r="B563" s="5"/>
      <c r="H563" s="5"/>
      <c r="J563" s="5"/>
      <c r="L563" s="5"/>
      <c r="N563" s="5"/>
      <c r="P563" s="5"/>
      <c r="R563" s="5"/>
    </row>
    <row r="564" spans="2:18" x14ac:dyDescent="0.2">
      <c r="B564" s="5"/>
      <c r="H564" s="5"/>
      <c r="J564" s="5"/>
      <c r="L564" s="5"/>
      <c r="N564" s="5"/>
      <c r="P564" s="5"/>
      <c r="R564" s="5"/>
    </row>
    <row r="565" spans="2:18" x14ac:dyDescent="0.2">
      <c r="B565" s="5"/>
      <c r="H565" s="5"/>
      <c r="J565" s="5"/>
      <c r="L565" s="5"/>
      <c r="N565" s="5"/>
      <c r="P565" s="5"/>
      <c r="R565" s="5"/>
    </row>
    <row r="566" spans="2:18" x14ac:dyDescent="0.2">
      <c r="B566" s="5"/>
      <c r="H566" s="5"/>
      <c r="J566" s="5"/>
      <c r="L566" s="5"/>
      <c r="N566" s="5"/>
      <c r="P566" s="5"/>
      <c r="R566" s="5"/>
    </row>
    <row r="567" spans="2:18" x14ac:dyDescent="0.2">
      <c r="B567" s="5"/>
      <c r="H567" s="5"/>
      <c r="J567" s="5"/>
      <c r="L567" s="5"/>
      <c r="N567" s="5"/>
      <c r="P567" s="5"/>
      <c r="R567" s="5"/>
    </row>
    <row r="568" spans="2:18" x14ac:dyDescent="0.2">
      <c r="B568" s="5"/>
      <c r="H568" s="5"/>
      <c r="J568" s="5"/>
      <c r="L568" s="5"/>
      <c r="N568" s="5"/>
      <c r="P568" s="5"/>
      <c r="R568" s="5"/>
    </row>
    <row r="569" spans="2:18" x14ac:dyDescent="0.2">
      <c r="B569" s="5"/>
      <c r="H569" s="5"/>
      <c r="J569" s="5"/>
      <c r="L569" s="5"/>
      <c r="N569" s="5"/>
      <c r="P569" s="5"/>
      <c r="R569" s="5"/>
    </row>
    <row r="570" spans="2:18" x14ac:dyDescent="0.2">
      <c r="B570" s="5"/>
      <c r="H570" s="5"/>
      <c r="J570" s="5"/>
      <c r="L570" s="5"/>
      <c r="N570" s="5"/>
      <c r="P570" s="5"/>
      <c r="R570" s="5"/>
    </row>
    <row r="571" spans="2:18" x14ac:dyDescent="0.2">
      <c r="B571" s="5"/>
      <c r="H571" s="5"/>
      <c r="J571" s="5"/>
      <c r="L571" s="5"/>
      <c r="N571" s="5"/>
      <c r="P571" s="5"/>
      <c r="R571" s="5"/>
    </row>
    <row r="572" spans="2:18" x14ac:dyDescent="0.2">
      <c r="B572" s="5"/>
      <c r="H572" s="5"/>
      <c r="J572" s="5"/>
      <c r="L572" s="5"/>
      <c r="N572" s="5"/>
      <c r="P572" s="5"/>
      <c r="R572" s="5"/>
    </row>
    <row r="573" spans="2:18" x14ac:dyDescent="0.2">
      <c r="B573" s="5"/>
      <c r="H573" s="5"/>
      <c r="J573" s="5"/>
      <c r="L573" s="5"/>
      <c r="N573" s="5"/>
      <c r="P573" s="5"/>
      <c r="R573" s="5"/>
    </row>
    <row r="574" spans="2:18" x14ac:dyDescent="0.2">
      <c r="B574" s="5"/>
      <c r="H574" s="5"/>
      <c r="J574" s="5"/>
      <c r="L574" s="5"/>
      <c r="N574" s="5"/>
      <c r="P574" s="5"/>
      <c r="R574" s="5"/>
    </row>
    <row r="575" spans="2:18" x14ac:dyDescent="0.2">
      <c r="B575" s="5"/>
      <c r="H575" s="5"/>
      <c r="J575" s="5"/>
      <c r="L575" s="5"/>
      <c r="N575" s="5"/>
      <c r="P575" s="5"/>
      <c r="R575" s="5"/>
    </row>
    <row r="576" spans="2:18" x14ac:dyDescent="0.2">
      <c r="B576" s="5"/>
      <c r="H576" s="5"/>
      <c r="J576" s="5"/>
      <c r="L576" s="5"/>
      <c r="N576" s="5"/>
      <c r="P576" s="5"/>
      <c r="R576" s="5"/>
    </row>
    <row r="577" spans="2:18" x14ac:dyDescent="0.2">
      <c r="B577" s="5"/>
      <c r="H577" s="5"/>
      <c r="J577" s="5"/>
      <c r="L577" s="5"/>
      <c r="N577" s="5"/>
      <c r="P577" s="5"/>
      <c r="R577" s="5"/>
    </row>
    <row r="578" spans="2:18" x14ac:dyDescent="0.2">
      <c r="B578" s="5"/>
      <c r="H578" s="5"/>
      <c r="J578" s="5"/>
      <c r="L578" s="5"/>
      <c r="N578" s="5"/>
      <c r="P578" s="5"/>
      <c r="R578" s="5"/>
    </row>
    <row r="579" spans="2:18" x14ac:dyDescent="0.2">
      <c r="B579" s="5"/>
      <c r="H579" s="5"/>
      <c r="J579" s="5"/>
      <c r="L579" s="5"/>
      <c r="N579" s="5"/>
      <c r="P579" s="5"/>
      <c r="R579" s="5"/>
    </row>
    <row r="580" spans="2:18" x14ac:dyDescent="0.2">
      <c r="B580" s="5"/>
      <c r="H580" s="5"/>
      <c r="J580" s="5"/>
      <c r="L580" s="5"/>
      <c r="N580" s="5"/>
      <c r="P580" s="5"/>
      <c r="R580" s="5"/>
    </row>
    <row r="581" spans="2:18" x14ac:dyDescent="0.2">
      <c r="B581" s="5"/>
      <c r="H581" s="5"/>
      <c r="J581" s="5"/>
      <c r="L581" s="5"/>
      <c r="N581" s="5"/>
      <c r="P581" s="5"/>
      <c r="R581" s="5"/>
    </row>
    <row r="582" spans="2:18" x14ac:dyDescent="0.2">
      <c r="B582" s="5"/>
      <c r="H582" s="5"/>
      <c r="J582" s="5"/>
      <c r="L582" s="5"/>
      <c r="N582" s="5"/>
      <c r="P582" s="5"/>
      <c r="R582" s="5"/>
    </row>
    <row r="583" spans="2:18" x14ac:dyDescent="0.2">
      <c r="B583" s="5"/>
      <c r="H583" s="5"/>
      <c r="J583" s="5"/>
      <c r="L583" s="5"/>
      <c r="N583" s="5"/>
      <c r="P583" s="5"/>
      <c r="R583" s="5"/>
    </row>
    <row r="584" spans="2:18" x14ac:dyDescent="0.2">
      <c r="B584" s="5"/>
      <c r="H584" s="5"/>
      <c r="J584" s="5"/>
      <c r="L584" s="5"/>
      <c r="N584" s="5"/>
      <c r="P584" s="5"/>
      <c r="R584" s="5"/>
    </row>
    <row r="585" spans="2:18" x14ac:dyDescent="0.2">
      <c r="B585" s="5"/>
      <c r="H585" s="5"/>
      <c r="J585" s="5"/>
      <c r="L585" s="5"/>
      <c r="N585" s="5"/>
      <c r="P585" s="5"/>
      <c r="R585" s="5"/>
    </row>
    <row r="586" spans="2:18" x14ac:dyDescent="0.2">
      <c r="B586" s="5"/>
      <c r="H586" s="5"/>
      <c r="J586" s="5"/>
      <c r="L586" s="5"/>
      <c r="N586" s="5"/>
      <c r="P586" s="5"/>
      <c r="R586" s="5"/>
    </row>
    <row r="587" spans="2:18" x14ac:dyDescent="0.2">
      <c r="B587" s="5"/>
      <c r="H587" s="5"/>
      <c r="J587" s="5"/>
      <c r="L587" s="5"/>
      <c r="N587" s="5"/>
      <c r="P587" s="5"/>
      <c r="R587" s="5"/>
    </row>
    <row r="588" spans="2:18" x14ac:dyDescent="0.2">
      <c r="B588" s="5"/>
      <c r="H588" s="5"/>
      <c r="J588" s="5"/>
      <c r="L588" s="5"/>
      <c r="N588" s="5"/>
      <c r="P588" s="5"/>
      <c r="R588" s="5"/>
    </row>
    <row r="589" spans="2:18" x14ac:dyDescent="0.2">
      <c r="B589" s="5"/>
      <c r="H589" s="5"/>
      <c r="J589" s="5"/>
      <c r="L589" s="5"/>
      <c r="N589" s="5"/>
      <c r="P589" s="5"/>
      <c r="R589" s="5"/>
    </row>
    <row r="590" spans="2:18" x14ac:dyDescent="0.2">
      <c r="B590" s="5"/>
      <c r="H590" s="5"/>
      <c r="J590" s="5"/>
      <c r="L590" s="5"/>
      <c r="N590" s="5"/>
      <c r="P590" s="5"/>
      <c r="R590" s="5"/>
    </row>
    <row r="591" spans="2:18" x14ac:dyDescent="0.2">
      <c r="B591" s="5"/>
      <c r="H591" s="5"/>
      <c r="J591" s="5"/>
      <c r="L591" s="5"/>
      <c r="N591" s="5"/>
      <c r="P591" s="5"/>
      <c r="R591" s="5"/>
    </row>
    <row r="592" spans="2:18" x14ac:dyDescent="0.2">
      <c r="B592" s="5"/>
      <c r="H592" s="5"/>
      <c r="J592" s="5"/>
      <c r="L592" s="5"/>
      <c r="N592" s="5"/>
      <c r="P592" s="5"/>
      <c r="R592" s="5"/>
    </row>
    <row r="593" spans="2:18" x14ac:dyDescent="0.2">
      <c r="B593" s="5"/>
      <c r="H593" s="5"/>
      <c r="J593" s="5"/>
      <c r="L593" s="5"/>
      <c r="N593" s="5"/>
      <c r="P593" s="5"/>
      <c r="R593" s="5"/>
    </row>
    <row r="594" spans="2:18" x14ac:dyDescent="0.2">
      <c r="B594" s="5"/>
      <c r="H594" s="5"/>
      <c r="J594" s="5"/>
      <c r="L594" s="5"/>
      <c r="N594" s="5"/>
      <c r="P594" s="5"/>
      <c r="R594" s="5"/>
    </row>
    <row r="595" spans="2:18" x14ac:dyDescent="0.2">
      <c r="B595" s="5"/>
      <c r="H595" s="5"/>
      <c r="J595" s="5"/>
      <c r="L595" s="5"/>
      <c r="N595" s="5"/>
      <c r="P595" s="5"/>
      <c r="R595" s="5"/>
    </row>
    <row r="596" spans="2:18" x14ac:dyDescent="0.2">
      <c r="B596" s="5"/>
      <c r="H596" s="5"/>
      <c r="J596" s="5"/>
      <c r="L596" s="5"/>
      <c r="N596" s="5"/>
      <c r="P596" s="5"/>
      <c r="R596" s="5"/>
    </row>
    <row r="597" spans="2:18" x14ac:dyDescent="0.2">
      <c r="B597" s="5"/>
      <c r="H597" s="5"/>
      <c r="J597" s="5"/>
      <c r="L597" s="5"/>
      <c r="N597" s="5"/>
      <c r="P597" s="5"/>
      <c r="R597" s="5"/>
    </row>
    <row r="598" spans="2:18" x14ac:dyDescent="0.2">
      <c r="B598" s="5"/>
      <c r="H598" s="5"/>
      <c r="J598" s="5"/>
      <c r="L598" s="5"/>
      <c r="N598" s="5"/>
      <c r="P598" s="5"/>
      <c r="R598" s="5"/>
    </row>
    <row r="599" spans="2:18" x14ac:dyDescent="0.2">
      <c r="B599" s="5"/>
      <c r="H599" s="5"/>
      <c r="J599" s="5"/>
      <c r="L599" s="5"/>
      <c r="N599" s="5"/>
      <c r="P599" s="5"/>
      <c r="R599" s="5"/>
    </row>
    <row r="600" spans="2:18" x14ac:dyDescent="0.2">
      <c r="B600" s="5"/>
      <c r="H600" s="5"/>
      <c r="J600" s="5"/>
      <c r="L600" s="5"/>
      <c r="N600" s="5"/>
      <c r="P600" s="5"/>
      <c r="R600" s="5"/>
    </row>
    <row r="601" spans="2:18" x14ac:dyDescent="0.2">
      <c r="B601" s="5"/>
      <c r="H601" s="5"/>
      <c r="J601" s="5"/>
      <c r="L601" s="5"/>
      <c r="N601" s="5"/>
      <c r="P601" s="5"/>
      <c r="R601" s="5"/>
    </row>
    <row r="602" spans="2:18" x14ac:dyDescent="0.2">
      <c r="B602" s="5"/>
      <c r="H602" s="5"/>
      <c r="J602" s="5"/>
      <c r="L602" s="5"/>
      <c r="N602" s="5"/>
      <c r="P602" s="5"/>
      <c r="R602" s="5"/>
    </row>
    <row r="603" spans="2:18" x14ac:dyDescent="0.2">
      <c r="B603" s="5"/>
      <c r="H603" s="5"/>
      <c r="J603" s="5"/>
      <c r="L603" s="5"/>
      <c r="N603" s="5"/>
      <c r="P603" s="5"/>
      <c r="R603" s="5"/>
    </row>
    <row r="604" spans="2:18" x14ac:dyDescent="0.2">
      <c r="B604" s="5"/>
      <c r="H604" s="5"/>
      <c r="J604" s="5"/>
      <c r="L604" s="5"/>
      <c r="N604" s="5"/>
      <c r="P604" s="5"/>
      <c r="R604" s="5"/>
    </row>
    <row r="605" spans="2:18" x14ac:dyDescent="0.2">
      <c r="B605" s="5"/>
      <c r="H605" s="5"/>
      <c r="J605" s="5"/>
      <c r="L605" s="5"/>
      <c r="N605" s="5"/>
      <c r="P605" s="5"/>
      <c r="R605" s="5"/>
    </row>
    <row r="606" spans="2:18" x14ac:dyDescent="0.2">
      <c r="B606" s="5"/>
      <c r="H606" s="5"/>
      <c r="J606" s="5"/>
      <c r="L606" s="5"/>
      <c r="N606" s="5"/>
      <c r="P606" s="5"/>
      <c r="R606" s="5"/>
    </row>
    <row r="607" spans="2:18" x14ac:dyDescent="0.2">
      <c r="B607" s="5"/>
      <c r="H607" s="5"/>
      <c r="J607" s="5"/>
      <c r="L607" s="5"/>
      <c r="N607" s="5"/>
      <c r="P607" s="5"/>
      <c r="R607" s="5"/>
    </row>
    <row r="608" spans="2:18" x14ac:dyDescent="0.2">
      <c r="B608" s="5"/>
      <c r="H608" s="5"/>
      <c r="J608" s="5"/>
      <c r="L608" s="5"/>
      <c r="N608" s="5"/>
      <c r="P608" s="5"/>
      <c r="R608" s="5"/>
    </row>
    <row r="609" spans="2:18" x14ac:dyDescent="0.2">
      <c r="B609" s="5"/>
      <c r="H609" s="5"/>
      <c r="J609" s="5"/>
      <c r="L609" s="5"/>
      <c r="N609" s="5"/>
      <c r="P609" s="5"/>
      <c r="R609" s="5"/>
    </row>
    <row r="610" spans="2:18" x14ac:dyDescent="0.2">
      <c r="B610" s="5"/>
      <c r="H610" s="5"/>
      <c r="J610" s="5"/>
      <c r="L610" s="5"/>
      <c r="N610" s="5"/>
      <c r="P610" s="5"/>
      <c r="R610" s="5"/>
    </row>
    <row r="611" spans="2:18" x14ac:dyDescent="0.2">
      <c r="B611" s="5"/>
      <c r="H611" s="5"/>
      <c r="J611" s="5"/>
      <c r="L611" s="5"/>
      <c r="N611" s="5"/>
      <c r="P611" s="5"/>
      <c r="R611" s="5"/>
    </row>
    <row r="612" spans="2:18" x14ac:dyDescent="0.2">
      <c r="B612" s="5"/>
      <c r="H612" s="5"/>
      <c r="J612" s="5"/>
      <c r="L612" s="5"/>
      <c r="N612" s="5"/>
      <c r="P612" s="5"/>
      <c r="R612" s="5"/>
    </row>
    <row r="613" spans="2:18" x14ac:dyDescent="0.2">
      <c r="B613" s="5"/>
      <c r="H613" s="5"/>
      <c r="J613" s="5"/>
      <c r="L613" s="5"/>
      <c r="N613" s="5"/>
      <c r="P613" s="5"/>
      <c r="R613" s="5"/>
    </row>
    <row r="614" spans="2:18" x14ac:dyDescent="0.2">
      <c r="B614" s="5"/>
      <c r="H614" s="5"/>
      <c r="J614" s="5"/>
      <c r="L614" s="5"/>
      <c r="N614" s="5"/>
      <c r="P614" s="5"/>
      <c r="R614" s="5"/>
    </row>
    <row r="615" spans="2:18" x14ac:dyDescent="0.2">
      <c r="B615" s="5"/>
      <c r="H615" s="5"/>
      <c r="J615" s="5"/>
      <c r="L615" s="5"/>
      <c r="N615" s="5"/>
      <c r="P615" s="5"/>
      <c r="R615" s="5"/>
    </row>
    <row r="616" spans="2:18" x14ac:dyDescent="0.2">
      <c r="B616" s="5"/>
      <c r="H616" s="5"/>
      <c r="J616" s="5"/>
      <c r="L616" s="5"/>
      <c r="N616" s="5"/>
      <c r="P616" s="5"/>
      <c r="R616" s="5"/>
    </row>
    <row r="617" spans="2:18" x14ac:dyDescent="0.2">
      <c r="B617" s="5"/>
      <c r="H617" s="5"/>
      <c r="J617" s="5"/>
      <c r="L617" s="5"/>
      <c r="N617" s="5"/>
      <c r="P617" s="5"/>
      <c r="R617" s="5"/>
    </row>
    <row r="618" spans="2:18" x14ac:dyDescent="0.2">
      <c r="B618" s="5"/>
      <c r="H618" s="5"/>
      <c r="J618" s="5"/>
      <c r="L618" s="5"/>
      <c r="N618" s="5"/>
      <c r="P618" s="5"/>
      <c r="R618" s="5"/>
    </row>
    <row r="619" spans="2:18" x14ac:dyDescent="0.2">
      <c r="B619" s="5"/>
      <c r="H619" s="5"/>
      <c r="J619" s="5"/>
      <c r="L619" s="5"/>
      <c r="N619" s="5"/>
      <c r="P619" s="5"/>
      <c r="R619" s="5"/>
    </row>
    <row r="620" spans="2:18" x14ac:dyDescent="0.2">
      <c r="B620" s="5"/>
      <c r="H620" s="5"/>
      <c r="J620" s="5"/>
      <c r="L620" s="5"/>
      <c r="N620" s="5"/>
      <c r="P620" s="5"/>
      <c r="R620" s="5"/>
    </row>
    <row r="621" spans="2:18" x14ac:dyDescent="0.2">
      <c r="B621" s="5"/>
      <c r="H621" s="5"/>
      <c r="J621" s="5"/>
      <c r="L621" s="5"/>
      <c r="N621" s="5"/>
      <c r="P621" s="5"/>
      <c r="R621" s="5"/>
    </row>
    <row r="622" spans="2:18" x14ac:dyDescent="0.2">
      <c r="B622" s="5"/>
      <c r="H622" s="5"/>
      <c r="J622" s="5"/>
      <c r="L622" s="5"/>
      <c r="N622" s="5"/>
      <c r="P622" s="5"/>
      <c r="R622" s="5"/>
    </row>
    <row r="623" spans="2:18" x14ac:dyDescent="0.2">
      <c r="B623" s="5"/>
      <c r="H623" s="5"/>
      <c r="J623" s="5"/>
      <c r="L623" s="5"/>
      <c r="N623" s="5"/>
      <c r="P623" s="5"/>
      <c r="R623" s="5"/>
    </row>
    <row r="624" spans="2:18" x14ac:dyDescent="0.2">
      <c r="B624" s="5"/>
      <c r="H624" s="5"/>
      <c r="J624" s="5"/>
      <c r="L624" s="5"/>
      <c r="N624" s="5"/>
      <c r="P624" s="5"/>
      <c r="R624" s="5"/>
    </row>
    <row r="625" spans="2:18" x14ac:dyDescent="0.2">
      <c r="B625" s="5"/>
      <c r="H625" s="5"/>
      <c r="J625" s="5"/>
      <c r="L625" s="5"/>
      <c r="N625" s="5"/>
      <c r="P625" s="5"/>
      <c r="R625" s="5"/>
    </row>
    <row r="626" spans="2:18" x14ac:dyDescent="0.2">
      <c r="B626" s="5"/>
      <c r="H626" s="5"/>
      <c r="J626" s="5"/>
      <c r="L626" s="5"/>
      <c r="N626" s="5"/>
      <c r="P626" s="5"/>
      <c r="R626" s="5"/>
    </row>
    <row r="627" spans="2:18" x14ac:dyDescent="0.2">
      <c r="B627" s="5"/>
      <c r="H627" s="5"/>
      <c r="J627" s="5"/>
      <c r="L627" s="5"/>
      <c r="N627" s="5"/>
      <c r="P627" s="5"/>
      <c r="R627" s="5"/>
    </row>
    <row r="628" spans="2:18" x14ac:dyDescent="0.2">
      <c r="B628" s="5"/>
      <c r="H628" s="5"/>
      <c r="J628" s="5"/>
      <c r="L628" s="5"/>
      <c r="N628" s="5"/>
      <c r="P628" s="5"/>
      <c r="R628" s="5"/>
    </row>
    <row r="629" spans="2:18" x14ac:dyDescent="0.2">
      <c r="B629" s="5"/>
      <c r="H629" s="5"/>
      <c r="J629" s="5"/>
      <c r="L629" s="5"/>
      <c r="N629" s="5"/>
      <c r="P629" s="5"/>
      <c r="R629" s="5"/>
    </row>
    <row r="630" spans="2:18" x14ac:dyDescent="0.2">
      <c r="B630" s="5"/>
      <c r="H630" s="5"/>
      <c r="J630" s="5"/>
      <c r="L630" s="5"/>
      <c r="N630" s="5"/>
      <c r="P630" s="5"/>
      <c r="R630" s="5"/>
    </row>
    <row r="631" spans="2:18" x14ac:dyDescent="0.2">
      <c r="B631" s="5"/>
      <c r="H631" s="5"/>
      <c r="J631" s="5"/>
      <c r="L631" s="5"/>
      <c r="N631" s="5"/>
      <c r="P631" s="5"/>
      <c r="R631" s="5"/>
    </row>
    <row r="632" spans="2:18" x14ac:dyDescent="0.2">
      <c r="B632" s="5"/>
      <c r="H632" s="5"/>
      <c r="J632" s="5"/>
      <c r="L632" s="5"/>
      <c r="N632" s="5"/>
      <c r="P632" s="5"/>
      <c r="R632" s="5"/>
    </row>
    <row r="633" spans="2:18" x14ac:dyDescent="0.2">
      <c r="B633" s="5"/>
      <c r="H633" s="5"/>
      <c r="J633" s="5"/>
      <c r="L633" s="5"/>
      <c r="N633" s="5"/>
      <c r="P633" s="5"/>
      <c r="R633" s="5"/>
    </row>
    <row r="634" spans="2:18" x14ac:dyDescent="0.2">
      <c r="B634" s="5"/>
      <c r="H634" s="5"/>
      <c r="J634" s="5"/>
      <c r="L634" s="5"/>
      <c r="N634" s="5"/>
      <c r="P634" s="5"/>
      <c r="R634" s="5"/>
    </row>
    <row r="635" spans="2:18" x14ac:dyDescent="0.2">
      <c r="B635" s="5"/>
      <c r="H635" s="5"/>
      <c r="J635" s="5"/>
      <c r="L635" s="5"/>
      <c r="N635" s="5"/>
      <c r="P635" s="5"/>
      <c r="R635" s="5"/>
    </row>
    <row r="636" spans="2:18" x14ac:dyDescent="0.2">
      <c r="B636" s="5"/>
      <c r="H636" s="5"/>
      <c r="J636" s="5"/>
      <c r="L636" s="5"/>
      <c r="N636" s="5"/>
      <c r="P636" s="5"/>
      <c r="R636" s="5"/>
    </row>
    <row r="637" spans="2:18" x14ac:dyDescent="0.2">
      <c r="B637" s="5"/>
      <c r="H637" s="5"/>
      <c r="J637" s="5"/>
      <c r="L637" s="5"/>
      <c r="N637" s="5"/>
      <c r="P637" s="5"/>
      <c r="R637" s="5"/>
    </row>
    <row r="638" spans="2:18" x14ac:dyDescent="0.2">
      <c r="B638" s="5"/>
      <c r="H638" s="5"/>
      <c r="J638" s="5"/>
      <c r="L638" s="5"/>
      <c r="N638" s="5"/>
      <c r="P638" s="5"/>
      <c r="R638" s="5"/>
    </row>
    <row r="639" spans="2:18" x14ac:dyDescent="0.2">
      <c r="B639" s="5"/>
      <c r="H639" s="5"/>
      <c r="J639" s="5"/>
      <c r="L639" s="5"/>
      <c r="N639" s="5"/>
      <c r="P639" s="5"/>
      <c r="R639" s="5"/>
    </row>
    <row r="640" spans="2:18" x14ac:dyDescent="0.2">
      <c r="B640" s="5"/>
      <c r="H640" s="5"/>
      <c r="J640" s="5"/>
      <c r="L640" s="5"/>
      <c r="N640" s="5"/>
      <c r="P640" s="5"/>
      <c r="R640" s="5"/>
    </row>
    <row r="641" spans="2:18" x14ac:dyDescent="0.2">
      <c r="B641" s="5"/>
      <c r="H641" s="5"/>
      <c r="J641" s="5"/>
      <c r="L641" s="5"/>
      <c r="N641" s="5"/>
      <c r="P641" s="5"/>
      <c r="R641" s="5"/>
    </row>
    <row r="642" spans="2:18" x14ac:dyDescent="0.2">
      <c r="B642" s="5"/>
      <c r="H642" s="5"/>
      <c r="J642" s="5"/>
      <c r="L642" s="5"/>
      <c r="N642" s="5"/>
      <c r="P642" s="5"/>
      <c r="R642" s="5"/>
    </row>
    <row r="643" spans="2:18" x14ac:dyDescent="0.2">
      <c r="B643" s="5"/>
      <c r="H643" s="5"/>
      <c r="J643" s="5"/>
      <c r="L643" s="5"/>
      <c r="N643" s="5"/>
      <c r="P643" s="5"/>
      <c r="R643" s="5"/>
    </row>
    <row r="644" spans="2:18" x14ac:dyDescent="0.2">
      <c r="B644" s="5"/>
      <c r="H644" s="5"/>
      <c r="J644" s="5"/>
      <c r="L644" s="5"/>
      <c r="N644" s="5"/>
      <c r="P644" s="5"/>
      <c r="R644" s="5"/>
    </row>
    <row r="645" spans="2:18" x14ac:dyDescent="0.2">
      <c r="B645" s="5"/>
      <c r="H645" s="5"/>
      <c r="J645" s="5"/>
      <c r="L645" s="5"/>
      <c r="N645" s="5"/>
      <c r="P645" s="5"/>
      <c r="R645" s="5"/>
    </row>
    <row r="646" spans="2:18" x14ac:dyDescent="0.2">
      <c r="B646" s="5"/>
      <c r="H646" s="5"/>
      <c r="J646" s="5"/>
      <c r="L646" s="5"/>
      <c r="N646" s="5"/>
      <c r="P646" s="5"/>
      <c r="R646" s="5"/>
    </row>
    <row r="647" spans="2:18" x14ac:dyDescent="0.2">
      <c r="B647" s="5"/>
      <c r="H647" s="5"/>
      <c r="J647" s="5"/>
      <c r="L647" s="5"/>
      <c r="N647" s="5"/>
      <c r="P647" s="5"/>
      <c r="R647" s="5"/>
    </row>
    <row r="648" spans="2:18" x14ac:dyDescent="0.2">
      <c r="B648" s="5"/>
      <c r="H648" s="5"/>
      <c r="J648" s="5"/>
      <c r="L648" s="5"/>
      <c r="N648" s="5"/>
      <c r="P648" s="5"/>
      <c r="R648" s="5"/>
    </row>
    <row r="649" spans="2:18" x14ac:dyDescent="0.2">
      <c r="B649" s="5"/>
      <c r="H649" s="5"/>
      <c r="J649" s="5"/>
      <c r="L649" s="5"/>
      <c r="N649" s="5"/>
      <c r="P649" s="5"/>
      <c r="R649" s="5"/>
    </row>
    <row r="650" spans="2:18" x14ac:dyDescent="0.2">
      <c r="B650" s="5"/>
      <c r="H650" s="5"/>
      <c r="J650" s="5"/>
      <c r="L650" s="5"/>
      <c r="N650" s="5"/>
      <c r="P650" s="5"/>
      <c r="R650" s="5"/>
    </row>
    <row r="651" spans="2:18" x14ac:dyDescent="0.2">
      <c r="B651" s="5"/>
      <c r="H651" s="5"/>
      <c r="J651" s="5"/>
      <c r="L651" s="5"/>
      <c r="N651" s="5"/>
      <c r="P651" s="5"/>
      <c r="R651" s="5"/>
    </row>
    <row r="652" spans="2:18" x14ac:dyDescent="0.2">
      <c r="B652" s="5"/>
      <c r="H652" s="5"/>
      <c r="J652" s="5"/>
      <c r="L652" s="5"/>
      <c r="N652" s="5"/>
      <c r="P652" s="5"/>
      <c r="R652" s="5"/>
    </row>
    <row r="653" spans="2:18" x14ac:dyDescent="0.2">
      <c r="B653" s="5"/>
      <c r="H653" s="5"/>
      <c r="J653" s="5"/>
      <c r="L653" s="5"/>
      <c r="N653" s="5"/>
      <c r="P653" s="5"/>
      <c r="R653" s="5"/>
    </row>
    <row r="654" spans="2:18" x14ac:dyDescent="0.2">
      <c r="B654" s="5"/>
      <c r="H654" s="5"/>
      <c r="J654" s="5"/>
      <c r="L654" s="5"/>
      <c r="N654" s="5"/>
      <c r="P654" s="5"/>
      <c r="R654" s="5"/>
    </row>
    <row r="655" spans="2:18" x14ac:dyDescent="0.2">
      <c r="B655" s="5"/>
      <c r="H655" s="5"/>
      <c r="J655" s="5"/>
      <c r="L655" s="5"/>
      <c r="N655" s="5"/>
      <c r="P655" s="5"/>
      <c r="R655" s="5"/>
    </row>
    <row r="656" spans="2:18" x14ac:dyDescent="0.2">
      <c r="B656" s="5"/>
      <c r="H656" s="5"/>
      <c r="J656" s="5"/>
      <c r="L656" s="5"/>
      <c r="N656" s="5"/>
      <c r="P656" s="5"/>
      <c r="R656" s="5"/>
    </row>
    <row r="657" spans="2:18" x14ac:dyDescent="0.2">
      <c r="B657" s="5"/>
      <c r="H657" s="5"/>
      <c r="J657" s="5"/>
      <c r="L657" s="5"/>
      <c r="N657" s="5"/>
      <c r="P657" s="5"/>
      <c r="R657" s="5"/>
    </row>
    <row r="658" spans="2:18" x14ac:dyDescent="0.2">
      <c r="B658" s="5"/>
      <c r="H658" s="5"/>
      <c r="J658" s="5"/>
      <c r="L658" s="5"/>
      <c r="N658" s="5"/>
      <c r="P658" s="5"/>
      <c r="R658" s="5"/>
    </row>
    <row r="659" spans="2:18" x14ac:dyDescent="0.2">
      <c r="B659" s="5"/>
      <c r="H659" s="5"/>
      <c r="J659" s="5"/>
      <c r="L659" s="5"/>
      <c r="N659" s="5"/>
      <c r="P659" s="5"/>
      <c r="R659" s="5"/>
    </row>
    <row r="660" spans="2:18" x14ac:dyDescent="0.2">
      <c r="B660" s="5"/>
      <c r="H660" s="5"/>
      <c r="J660" s="5"/>
      <c r="L660" s="5"/>
      <c r="N660" s="5"/>
      <c r="P660" s="5"/>
      <c r="R660" s="5"/>
    </row>
    <row r="661" spans="2:18" x14ac:dyDescent="0.2">
      <c r="B661" s="5"/>
      <c r="H661" s="5"/>
      <c r="J661" s="5"/>
      <c r="L661" s="5"/>
      <c r="N661" s="5"/>
      <c r="P661" s="5"/>
      <c r="R661" s="5"/>
    </row>
    <row r="662" spans="2:18" x14ac:dyDescent="0.2">
      <c r="B662" s="5"/>
      <c r="H662" s="5"/>
      <c r="J662" s="5"/>
      <c r="L662" s="5"/>
      <c r="N662" s="5"/>
      <c r="P662" s="5"/>
      <c r="R662" s="5"/>
    </row>
    <row r="663" spans="2:18" x14ac:dyDescent="0.2">
      <c r="B663" s="5"/>
      <c r="H663" s="5"/>
      <c r="J663" s="5"/>
      <c r="L663" s="5"/>
      <c r="N663" s="5"/>
      <c r="P663" s="5"/>
      <c r="R663" s="5"/>
    </row>
    <row r="664" spans="2:18" x14ac:dyDescent="0.2">
      <c r="B664" s="5"/>
      <c r="H664" s="5"/>
      <c r="J664" s="5"/>
      <c r="L664" s="5"/>
      <c r="N664" s="5"/>
      <c r="P664" s="5"/>
      <c r="R664" s="5"/>
    </row>
    <row r="665" spans="2:18" x14ac:dyDescent="0.2">
      <c r="B665" s="5"/>
      <c r="H665" s="5"/>
      <c r="J665" s="5"/>
      <c r="L665" s="5"/>
      <c r="N665" s="5"/>
      <c r="P665" s="5"/>
      <c r="R665" s="5"/>
    </row>
    <row r="666" spans="2:18" x14ac:dyDescent="0.2">
      <c r="B666" s="5"/>
      <c r="H666" s="5"/>
      <c r="J666" s="5"/>
      <c r="L666" s="5"/>
      <c r="N666" s="5"/>
      <c r="P666" s="5"/>
      <c r="R666" s="5"/>
    </row>
    <row r="667" spans="2:18" x14ac:dyDescent="0.2">
      <c r="B667" s="5"/>
      <c r="H667" s="5"/>
      <c r="J667" s="5"/>
      <c r="L667" s="5"/>
      <c r="N667" s="5"/>
      <c r="P667" s="5"/>
      <c r="R667" s="5"/>
    </row>
    <row r="668" spans="2:18" x14ac:dyDescent="0.2">
      <c r="B668" s="5"/>
      <c r="H668" s="5"/>
      <c r="J668" s="5"/>
      <c r="L668" s="5"/>
      <c r="N668" s="5"/>
      <c r="P668" s="5"/>
      <c r="R668" s="5"/>
    </row>
    <row r="669" spans="2:18" x14ac:dyDescent="0.2">
      <c r="B669" s="5"/>
      <c r="H669" s="5"/>
      <c r="J669" s="5"/>
      <c r="L669" s="5"/>
      <c r="N669" s="5"/>
      <c r="P669" s="5"/>
      <c r="R669" s="5"/>
    </row>
    <row r="670" spans="2:18" x14ac:dyDescent="0.2">
      <c r="B670" s="5"/>
      <c r="H670" s="5"/>
      <c r="J670" s="5"/>
      <c r="L670" s="5"/>
      <c r="N670" s="5"/>
      <c r="P670" s="5"/>
      <c r="R670" s="5"/>
    </row>
    <row r="671" spans="2:18" x14ac:dyDescent="0.2">
      <c r="B671" s="5"/>
      <c r="H671" s="5"/>
      <c r="J671" s="5"/>
      <c r="L671" s="5"/>
      <c r="N671" s="5"/>
      <c r="P671" s="5"/>
      <c r="R671" s="5"/>
    </row>
    <row r="672" spans="2:18" x14ac:dyDescent="0.2">
      <c r="B672" s="5"/>
      <c r="H672" s="5"/>
      <c r="J672" s="5"/>
      <c r="L672" s="5"/>
      <c r="N672" s="5"/>
      <c r="P672" s="5"/>
      <c r="R672" s="5"/>
    </row>
    <row r="673" spans="2:18" x14ac:dyDescent="0.2">
      <c r="B673" s="5"/>
      <c r="H673" s="5"/>
      <c r="J673" s="5"/>
      <c r="L673" s="5"/>
      <c r="N673" s="5"/>
      <c r="P673" s="5"/>
      <c r="R673" s="5"/>
    </row>
    <row r="674" spans="2:18" x14ac:dyDescent="0.2">
      <c r="B674" s="5"/>
      <c r="H674" s="5"/>
      <c r="J674" s="5"/>
      <c r="L674" s="5"/>
      <c r="N674" s="5"/>
      <c r="P674" s="5"/>
      <c r="R674" s="5"/>
    </row>
    <row r="675" spans="2:18" x14ac:dyDescent="0.2">
      <c r="B675" s="5"/>
      <c r="H675" s="5"/>
      <c r="J675" s="5"/>
      <c r="L675" s="5"/>
      <c r="N675" s="5"/>
      <c r="P675" s="5"/>
      <c r="R675" s="5"/>
    </row>
    <row r="676" spans="2:18" x14ac:dyDescent="0.2">
      <c r="B676" s="5"/>
      <c r="H676" s="5"/>
      <c r="J676" s="5"/>
      <c r="L676" s="5"/>
      <c r="N676" s="5"/>
      <c r="P676" s="5"/>
      <c r="R676" s="5"/>
    </row>
    <row r="677" spans="2:18" x14ac:dyDescent="0.2">
      <c r="B677" s="5"/>
      <c r="H677" s="5"/>
      <c r="J677" s="5"/>
      <c r="L677" s="5"/>
      <c r="N677" s="5"/>
      <c r="P677" s="5"/>
      <c r="R677" s="5"/>
    </row>
    <row r="678" spans="2:18" x14ac:dyDescent="0.2">
      <c r="B678" s="5"/>
      <c r="H678" s="5"/>
      <c r="J678" s="5"/>
      <c r="L678" s="5"/>
      <c r="N678" s="5"/>
      <c r="P678" s="5"/>
      <c r="R678" s="5"/>
    </row>
    <row r="679" spans="2:18" x14ac:dyDescent="0.2">
      <c r="B679" s="5"/>
      <c r="H679" s="5"/>
      <c r="J679" s="5"/>
      <c r="L679" s="5"/>
      <c r="N679" s="5"/>
      <c r="P679" s="5"/>
      <c r="R679" s="5"/>
    </row>
    <row r="680" spans="2:18" x14ac:dyDescent="0.2">
      <c r="B680" s="5"/>
      <c r="H680" s="5"/>
      <c r="J680" s="5"/>
      <c r="L680" s="5"/>
      <c r="N680" s="5"/>
      <c r="P680" s="5"/>
      <c r="R680" s="5"/>
    </row>
    <row r="681" spans="2:18" x14ac:dyDescent="0.2">
      <c r="B681" s="5"/>
      <c r="H681" s="5"/>
      <c r="J681" s="5"/>
      <c r="L681" s="5"/>
      <c r="N681" s="5"/>
      <c r="P681" s="5"/>
      <c r="R681" s="5"/>
    </row>
    <row r="682" spans="2:18" x14ac:dyDescent="0.2">
      <c r="B682" s="5"/>
      <c r="H682" s="5"/>
      <c r="J682" s="5"/>
      <c r="L682" s="5"/>
      <c r="N682" s="5"/>
      <c r="P682" s="5"/>
      <c r="R682" s="5"/>
    </row>
    <row r="683" spans="2:18" x14ac:dyDescent="0.2">
      <c r="B683" s="5"/>
      <c r="H683" s="5"/>
      <c r="J683" s="5"/>
      <c r="L683" s="5"/>
      <c r="N683" s="5"/>
      <c r="P683" s="5"/>
      <c r="R683" s="5"/>
    </row>
    <row r="684" spans="2:18" x14ac:dyDescent="0.2">
      <c r="B684" s="5"/>
      <c r="H684" s="5"/>
      <c r="J684" s="5"/>
      <c r="L684" s="5"/>
      <c r="N684" s="5"/>
      <c r="P684" s="5"/>
      <c r="R684" s="5"/>
    </row>
    <row r="685" spans="2:18" x14ac:dyDescent="0.2">
      <c r="B685" s="5"/>
      <c r="H685" s="5"/>
      <c r="J685" s="5"/>
      <c r="L685" s="5"/>
      <c r="N685" s="5"/>
      <c r="P685" s="5"/>
      <c r="R685" s="5"/>
    </row>
    <row r="686" spans="2:18" x14ac:dyDescent="0.2">
      <c r="B686" s="5"/>
      <c r="H686" s="5"/>
      <c r="J686" s="5"/>
      <c r="L686" s="5"/>
      <c r="N686" s="5"/>
      <c r="P686" s="5"/>
      <c r="R686" s="5"/>
    </row>
    <row r="687" spans="2:18" x14ac:dyDescent="0.2">
      <c r="B687" s="5"/>
      <c r="H687" s="5"/>
      <c r="J687" s="5"/>
      <c r="L687" s="5"/>
      <c r="N687" s="5"/>
      <c r="P687" s="5"/>
      <c r="R687" s="5"/>
    </row>
    <row r="688" spans="2:18" x14ac:dyDescent="0.2">
      <c r="B688" s="5"/>
      <c r="H688" s="5"/>
      <c r="J688" s="5"/>
      <c r="L688" s="5"/>
      <c r="N688" s="5"/>
      <c r="P688" s="5"/>
      <c r="R688" s="5"/>
    </row>
    <row r="689" spans="2:18" x14ac:dyDescent="0.2">
      <c r="B689" s="5"/>
      <c r="H689" s="5"/>
      <c r="J689" s="5"/>
      <c r="L689" s="5"/>
      <c r="N689" s="5"/>
      <c r="P689" s="5"/>
      <c r="R689" s="5"/>
    </row>
    <row r="690" spans="2:18" x14ac:dyDescent="0.2">
      <c r="B690" s="5"/>
      <c r="H690" s="5"/>
      <c r="J690" s="5"/>
      <c r="L690" s="5"/>
      <c r="N690" s="5"/>
      <c r="P690" s="5"/>
      <c r="R690" s="5"/>
    </row>
    <row r="691" spans="2:18" x14ac:dyDescent="0.2">
      <c r="B691" s="5"/>
      <c r="H691" s="5"/>
      <c r="J691" s="5"/>
      <c r="L691" s="5"/>
      <c r="N691" s="5"/>
      <c r="P691" s="5"/>
      <c r="R691" s="5"/>
    </row>
    <row r="692" spans="2:18" x14ac:dyDescent="0.2">
      <c r="B692" s="5"/>
      <c r="H692" s="5"/>
      <c r="J692" s="5"/>
      <c r="L692" s="5"/>
      <c r="N692" s="5"/>
      <c r="P692" s="5"/>
      <c r="R692" s="5"/>
    </row>
    <row r="693" spans="2:18" x14ac:dyDescent="0.2">
      <c r="B693" s="5"/>
      <c r="H693" s="5"/>
      <c r="J693" s="5"/>
      <c r="L693" s="5"/>
      <c r="N693" s="5"/>
      <c r="P693" s="5"/>
      <c r="R693" s="5"/>
    </row>
    <row r="694" spans="2:18" x14ac:dyDescent="0.2">
      <c r="B694" s="5"/>
      <c r="H694" s="5"/>
      <c r="J694" s="5"/>
      <c r="L694" s="5"/>
      <c r="N694" s="5"/>
      <c r="P694" s="5"/>
      <c r="R694" s="5"/>
    </row>
    <row r="695" spans="2:18" x14ac:dyDescent="0.2">
      <c r="B695" s="5"/>
      <c r="H695" s="5"/>
      <c r="J695" s="5"/>
      <c r="L695" s="5"/>
      <c r="N695" s="5"/>
      <c r="P695" s="5"/>
      <c r="R695" s="5"/>
    </row>
    <row r="696" spans="2:18" x14ac:dyDescent="0.2">
      <c r="B696" s="5"/>
      <c r="H696" s="5"/>
      <c r="J696" s="5"/>
      <c r="L696" s="5"/>
      <c r="N696" s="5"/>
      <c r="P696" s="5"/>
      <c r="R696" s="5"/>
    </row>
    <row r="697" spans="2:18" x14ac:dyDescent="0.2">
      <c r="B697" s="5"/>
      <c r="H697" s="5"/>
      <c r="J697" s="5"/>
      <c r="L697" s="5"/>
      <c r="N697" s="5"/>
      <c r="P697" s="5"/>
      <c r="R697" s="5"/>
    </row>
    <row r="698" spans="2:18" x14ac:dyDescent="0.2">
      <c r="B698" s="5"/>
      <c r="H698" s="5"/>
      <c r="J698" s="5"/>
      <c r="L698" s="5"/>
      <c r="N698" s="5"/>
      <c r="P698" s="5"/>
      <c r="R698" s="5"/>
    </row>
    <row r="699" spans="2:18" x14ac:dyDescent="0.2">
      <c r="B699" s="5"/>
      <c r="H699" s="5"/>
      <c r="J699" s="5"/>
      <c r="L699" s="5"/>
      <c r="N699" s="5"/>
      <c r="P699" s="5"/>
      <c r="R699" s="5"/>
    </row>
    <row r="700" spans="2:18" x14ac:dyDescent="0.2">
      <c r="B700" s="5"/>
      <c r="H700" s="5"/>
      <c r="J700" s="5"/>
      <c r="L700" s="5"/>
      <c r="N700" s="5"/>
      <c r="P700" s="5"/>
      <c r="R700" s="5"/>
    </row>
    <row r="701" spans="2:18" x14ac:dyDescent="0.2">
      <c r="B701" s="5"/>
      <c r="H701" s="5"/>
      <c r="J701" s="5"/>
      <c r="L701" s="5"/>
      <c r="N701" s="5"/>
      <c r="P701" s="5"/>
      <c r="R701" s="5"/>
    </row>
    <row r="702" spans="2:18" x14ac:dyDescent="0.2">
      <c r="B702" s="5"/>
      <c r="H702" s="5"/>
      <c r="J702" s="5"/>
      <c r="L702" s="5"/>
      <c r="N702" s="5"/>
      <c r="P702" s="5"/>
      <c r="R702" s="5"/>
    </row>
    <row r="703" spans="2:18" x14ac:dyDescent="0.2">
      <c r="B703" s="5"/>
      <c r="H703" s="5"/>
      <c r="J703" s="5"/>
      <c r="L703" s="5"/>
      <c r="N703" s="5"/>
      <c r="P703" s="5"/>
      <c r="R703" s="5"/>
    </row>
    <row r="704" spans="2:18" x14ac:dyDescent="0.2">
      <c r="B704" s="5"/>
      <c r="H704" s="5"/>
      <c r="J704" s="5"/>
      <c r="L704" s="5"/>
      <c r="N704" s="5"/>
      <c r="P704" s="5"/>
      <c r="R704" s="5"/>
    </row>
    <row r="705" spans="2:18" x14ac:dyDescent="0.2">
      <c r="B705" s="5"/>
      <c r="H705" s="5"/>
      <c r="J705" s="5"/>
      <c r="L705" s="5"/>
      <c r="N705" s="5"/>
      <c r="P705" s="5"/>
      <c r="R705" s="5"/>
    </row>
    <row r="706" spans="2:18" x14ac:dyDescent="0.2">
      <c r="B706" s="5"/>
      <c r="H706" s="5"/>
      <c r="J706" s="5"/>
      <c r="L706" s="5"/>
      <c r="N706" s="5"/>
      <c r="P706" s="5"/>
      <c r="R706" s="5"/>
    </row>
    <row r="707" spans="2:18" x14ac:dyDescent="0.2">
      <c r="B707" s="5"/>
      <c r="H707" s="5"/>
      <c r="J707" s="5"/>
      <c r="L707" s="5"/>
      <c r="N707" s="5"/>
      <c r="P707" s="5"/>
      <c r="R707" s="5"/>
    </row>
    <row r="708" spans="2:18" x14ac:dyDescent="0.2">
      <c r="B708" s="5"/>
      <c r="H708" s="5"/>
      <c r="J708" s="5"/>
      <c r="L708" s="5"/>
      <c r="N708" s="5"/>
      <c r="P708" s="5"/>
      <c r="R708" s="5"/>
    </row>
    <row r="709" spans="2:18" x14ac:dyDescent="0.2">
      <c r="B709" s="5"/>
      <c r="H709" s="5"/>
      <c r="J709" s="5"/>
      <c r="L709" s="5"/>
      <c r="N709" s="5"/>
      <c r="P709" s="5"/>
      <c r="R709" s="5"/>
    </row>
    <row r="710" spans="2:18" x14ac:dyDescent="0.2">
      <c r="B710" s="5"/>
      <c r="H710" s="5"/>
      <c r="J710" s="5"/>
      <c r="L710" s="5"/>
      <c r="N710" s="5"/>
      <c r="P710" s="5"/>
      <c r="R710" s="5"/>
    </row>
    <row r="711" spans="2:18" x14ac:dyDescent="0.2">
      <c r="B711" s="5"/>
      <c r="H711" s="5"/>
      <c r="J711" s="5"/>
      <c r="L711" s="5"/>
      <c r="N711" s="5"/>
      <c r="P711" s="5"/>
      <c r="R711" s="5"/>
    </row>
    <row r="712" spans="2:18" x14ac:dyDescent="0.2">
      <c r="B712" s="5"/>
      <c r="H712" s="5"/>
      <c r="J712" s="5"/>
      <c r="L712" s="5"/>
      <c r="N712" s="5"/>
      <c r="P712" s="5"/>
      <c r="R712" s="5"/>
    </row>
    <row r="713" spans="2:18" x14ac:dyDescent="0.2">
      <c r="B713" s="5"/>
      <c r="H713" s="5"/>
      <c r="J713" s="5"/>
      <c r="L713" s="5"/>
      <c r="N713" s="5"/>
      <c r="P713" s="5"/>
      <c r="R713" s="5"/>
    </row>
    <row r="714" spans="2:18" x14ac:dyDescent="0.2">
      <c r="B714" s="5"/>
      <c r="H714" s="5"/>
      <c r="J714" s="5"/>
      <c r="L714" s="5"/>
      <c r="N714" s="5"/>
      <c r="P714" s="5"/>
      <c r="R714" s="5"/>
    </row>
    <row r="715" spans="2:18" x14ac:dyDescent="0.2">
      <c r="B715" s="5"/>
      <c r="H715" s="5"/>
      <c r="J715" s="5"/>
      <c r="L715" s="5"/>
      <c r="N715" s="5"/>
      <c r="P715" s="5"/>
      <c r="R715" s="5"/>
    </row>
    <row r="716" spans="2:18" x14ac:dyDescent="0.2">
      <c r="B716" s="5"/>
      <c r="H716" s="5"/>
      <c r="J716" s="5"/>
      <c r="L716" s="5"/>
      <c r="N716" s="5"/>
      <c r="P716" s="5"/>
      <c r="R716" s="5"/>
    </row>
    <row r="717" spans="2:18" x14ac:dyDescent="0.2">
      <c r="B717" s="5"/>
      <c r="H717" s="5"/>
      <c r="J717" s="5"/>
      <c r="L717" s="5"/>
      <c r="N717" s="5"/>
      <c r="P717" s="5"/>
      <c r="R717" s="5"/>
    </row>
    <row r="718" spans="2:18" x14ac:dyDescent="0.2">
      <c r="B718" s="5"/>
      <c r="H718" s="5"/>
      <c r="J718" s="5"/>
      <c r="L718" s="5"/>
      <c r="N718" s="5"/>
      <c r="P718" s="5"/>
      <c r="R718" s="5"/>
    </row>
    <row r="719" spans="2:18" x14ac:dyDescent="0.2">
      <c r="B719" s="5"/>
      <c r="H719" s="5"/>
      <c r="J719" s="5"/>
      <c r="L719" s="5"/>
      <c r="N719" s="5"/>
      <c r="P719" s="5"/>
      <c r="R719" s="5"/>
    </row>
    <row r="720" spans="2:18" x14ac:dyDescent="0.2">
      <c r="B720" s="5"/>
      <c r="H720" s="5"/>
      <c r="J720" s="5"/>
      <c r="L720" s="5"/>
      <c r="N720" s="5"/>
      <c r="P720" s="5"/>
      <c r="R720" s="5"/>
    </row>
    <row r="721" spans="2:18" x14ac:dyDescent="0.2">
      <c r="B721" s="5"/>
      <c r="H721" s="5"/>
      <c r="J721" s="5"/>
      <c r="L721" s="5"/>
      <c r="N721" s="5"/>
      <c r="P721" s="5"/>
      <c r="R721" s="5"/>
    </row>
    <row r="722" spans="2:18" x14ac:dyDescent="0.2">
      <c r="B722" s="5"/>
      <c r="H722" s="5"/>
      <c r="J722" s="5"/>
      <c r="L722" s="5"/>
      <c r="N722" s="5"/>
      <c r="P722" s="5"/>
      <c r="R722" s="5"/>
    </row>
    <row r="723" spans="2:18" x14ac:dyDescent="0.2">
      <c r="B723" s="5"/>
      <c r="H723" s="5"/>
      <c r="J723" s="5"/>
      <c r="L723" s="5"/>
      <c r="N723" s="5"/>
      <c r="P723" s="5"/>
      <c r="R723" s="5"/>
    </row>
    <row r="724" spans="2:18" x14ac:dyDescent="0.2">
      <c r="B724" s="5"/>
      <c r="H724" s="5"/>
      <c r="J724" s="5"/>
      <c r="L724" s="5"/>
      <c r="N724" s="5"/>
      <c r="P724" s="5"/>
      <c r="R724" s="5"/>
    </row>
    <row r="725" spans="2:18" x14ac:dyDescent="0.2">
      <c r="B725" s="5"/>
      <c r="H725" s="5"/>
      <c r="J725" s="5"/>
      <c r="L725" s="5"/>
      <c r="N725" s="5"/>
      <c r="P725" s="5"/>
      <c r="R725" s="5"/>
    </row>
    <row r="726" spans="2:18" x14ac:dyDescent="0.2">
      <c r="B726" s="5"/>
      <c r="H726" s="5"/>
      <c r="J726" s="5"/>
      <c r="L726" s="5"/>
      <c r="N726" s="5"/>
      <c r="P726" s="5"/>
      <c r="R726" s="5"/>
    </row>
    <row r="727" spans="2:18" x14ac:dyDescent="0.2">
      <c r="B727" s="5"/>
      <c r="H727" s="5"/>
      <c r="J727" s="5"/>
      <c r="L727" s="5"/>
      <c r="N727" s="5"/>
      <c r="P727" s="5"/>
      <c r="R727" s="5"/>
    </row>
    <row r="728" spans="2:18" x14ac:dyDescent="0.2">
      <c r="B728" s="5"/>
      <c r="H728" s="5"/>
      <c r="J728" s="5"/>
      <c r="L728" s="5"/>
      <c r="N728" s="5"/>
      <c r="P728" s="5"/>
      <c r="R728" s="5"/>
    </row>
    <row r="729" spans="2:18" x14ac:dyDescent="0.2">
      <c r="B729" s="5"/>
      <c r="H729" s="5"/>
      <c r="J729" s="5"/>
      <c r="L729" s="5"/>
      <c r="N729" s="5"/>
      <c r="P729" s="5"/>
      <c r="R729" s="5"/>
    </row>
    <row r="730" spans="2:18" x14ac:dyDescent="0.2">
      <c r="B730" s="5"/>
      <c r="H730" s="5"/>
      <c r="J730" s="5"/>
      <c r="L730" s="5"/>
      <c r="N730" s="5"/>
      <c r="P730" s="5"/>
      <c r="R730" s="5"/>
    </row>
    <row r="731" spans="2:18" x14ac:dyDescent="0.2">
      <c r="B731" s="5"/>
      <c r="H731" s="5"/>
      <c r="J731" s="5"/>
      <c r="L731" s="5"/>
      <c r="N731" s="5"/>
      <c r="P731" s="5"/>
      <c r="R731" s="5"/>
    </row>
    <row r="732" spans="2:18" x14ac:dyDescent="0.2">
      <c r="B732" s="5"/>
      <c r="H732" s="5"/>
      <c r="J732" s="5"/>
      <c r="L732" s="5"/>
      <c r="N732" s="5"/>
      <c r="P732" s="5"/>
      <c r="R732" s="5"/>
    </row>
    <row r="733" spans="2:18" x14ac:dyDescent="0.2">
      <c r="B733" s="5"/>
      <c r="H733" s="5"/>
      <c r="J733" s="5"/>
      <c r="L733" s="5"/>
      <c r="N733" s="5"/>
      <c r="P733" s="5"/>
      <c r="R733" s="5"/>
    </row>
    <row r="734" spans="2:18" x14ac:dyDescent="0.2">
      <c r="B734" s="5"/>
      <c r="H734" s="5"/>
      <c r="J734" s="5"/>
      <c r="L734" s="5"/>
      <c r="N734" s="5"/>
      <c r="P734" s="5"/>
      <c r="R734" s="5"/>
    </row>
    <row r="735" spans="2:18" x14ac:dyDescent="0.2">
      <c r="B735" s="5"/>
      <c r="H735" s="5"/>
      <c r="J735" s="5"/>
      <c r="L735" s="5"/>
      <c r="N735" s="5"/>
      <c r="P735" s="5"/>
      <c r="R735" s="5"/>
    </row>
    <row r="736" spans="2:18" x14ac:dyDescent="0.2">
      <c r="B736" s="5"/>
      <c r="H736" s="5"/>
      <c r="J736" s="5"/>
      <c r="L736" s="5"/>
      <c r="N736" s="5"/>
      <c r="P736" s="5"/>
      <c r="R736" s="5"/>
    </row>
    <row r="737" spans="2:18" x14ac:dyDescent="0.2">
      <c r="B737" s="5"/>
      <c r="H737" s="5"/>
      <c r="J737" s="5"/>
      <c r="L737" s="5"/>
      <c r="N737" s="5"/>
      <c r="P737" s="5"/>
      <c r="R737" s="5"/>
    </row>
    <row r="738" spans="2:18" x14ac:dyDescent="0.2">
      <c r="B738" s="5"/>
      <c r="H738" s="5"/>
      <c r="J738" s="5"/>
      <c r="L738" s="5"/>
      <c r="N738" s="5"/>
      <c r="P738" s="5"/>
      <c r="R738" s="5"/>
    </row>
    <row r="739" spans="2:18" x14ac:dyDescent="0.2">
      <c r="B739" s="5"/>
      <c r="H739" s="5"/>
      <c r="J739" s="5"/>
      <c r="L739" s="5"/>
      <c r="N739" s="5"/>
      <c r="P739" s="5"/>
      <c r="R739" s="5"/>
    </row>
    <row r="740" spans="2:18" x14ac:dyDescent="0.2">
      <c r="B740" s="5"/>
      <c r="H740" s="5"/>
      <c r="J740" s="5"/>
      <c r="L740" s="5"/>
      <c r="N740" s="5"/>
      <c r="P740" s="5"/>
      <c r="R740" s="5"/>
    </row>
    <row r="741" spans="2:18" x14ac:dyDescent="0.2">
      <c r="B741" s="5"/>
      <c r="H741" s="5"/>
      <c r="J741" s="5"/>
      <c r="L741" s="5"/>
      <c r="N741" s="5"/>
      <c r="P741" s="5"/>
      <c r="R741" s="5"/>
    </row>
    <row r="742" spans="2:18" x14ac:dyDescent="0.2">
      <c r="B742" s="5"/>
      <c r="H742" s="5"/>
      <c r="J742" s="5"/>
      <c r="L742" s="5"/>
      <c r="N742" s="5"/>
      <c r="P742" s="5"/>
      <c r="R742" s="5"/>
    </row>
    <row r="743" spans="2:18" x14ac:dyDescent="0.2">
      <c r="B743" s="5"/>
      <c r="H743" s="5"/>
      <c r="J743" s="5"/>
      <c r="L743" s="5"/>
      <c r="N743" s="5"/>
      <c r="P743" s="5"/>
      <c r="R743" s="5"/>
    </row>
    <row r="744" spans="2:18" x14ac:dyDescent="0.2">
      <c r="B744" s="5"/>
      <c r="H744" s="5"/>
      <c r="J744" s="5"/>
      <c r="L744" s="5"/>
      <c r="N744" s="5"/>
      <c r="P744" s="5"/>
      <c r="R744" s="5"/>
    </row>
    <row r="745" spans="2:18" x14ac:dyDescent="0.2">
      <c r="B745" s="5"/>
      <c r="H745" s="5"/>
      <c r="J745" s="5"/>
      <c r="L745" s="5"/>
      <c r="N745" s="5"/>
      <c r="P745" s="5"/>
      <c r="R745" s="5"/>
    </row>
    <row r="746" spans="2:18" x14ac:dyDescent="0.2">
      <c r="B746" s="5"/>
      <c r="H746" s="5"/>
      <c r="J746" s="5"/>
      <c r="L746" s="5"/>
      <c r="N746" s="5"/>
      <c r="P746" s="5"/>
      <c r="R746" s="5"/>
    </row>
    <row r="747" spans="2:18" x14ac:dyDescent="0.2">
      <c r="B747" s="5"/>
      <c r="H747" s="5"/>
      <c r="J747" s="5"/>
      <c r="L747" s="5"/>
      <c r="N747" s="5"/>
      <c r="P747" s="5"/>
      <c r="R747" s="5"/>
    </row>
    <row r="748" spans="2:18" x14ac:dyDescent="0.2">
      <c r="B748" s="5"/>
      <c r="H748" s="5"/>
      <c r="J748" s="5"/>
      <c r="L748" s="5"/>
      <c r="N748" s="5"/>
      <c r="P748" s="5"/>
      <c r="R748" s="5"/>
    </row>
    <row r="749" spans="2:18" x14ac:dyDescent="0.2">
      <c r="B749" s="5"/>
      <c r="H749" s="5"/>
      <c r="J749" s="5"/>
      <c r="L749" s="5"/>
      <c r="N749" s="5"/>
      <c r="P749" s="5"/>
      <c r="R749" s="5"/>
    </row>
    <row r="750" spans="2:18" x14ac:dyDescent="0.2">
      <c r="B750" s="5"/>
      <c r="H750" s="5"/>
      <c r="J750" s="5"/>
      <c r="L750" s="5"/>
      <c r="N750" s="5"/>
      <c r="P750" s="5"/>
      <c r="R750" s="5"/>
    </row>
    <row r="751" spans="2:18" x14ac:dyDescent="0.2">
      <c r="B751" s="5"/>
      <c r="H751" s="5"/>
      <c r="J751" s="5"/>
      <c r="L751" s="5"/>
      <c r="N751" s="5"/>
      <c r="P751" s="5"/>
      <c r="R751" s="5"/>
    </row>
    <row r="752" spans="2:18" x14ac:dyDescent="0.2">
      <c r="B752" s="5"/>
      <c r="H752" s="5"/>
      <c r="J752" s="5"/>
      <c r="L752" s="5"/>
      <c r="N752" s="5"/>
      <c r="P752" s="5"/>
      <c r="R752" s="5"/>
    </row>
    <row r="753" spans="2:18" x14ac:dyDescent="0.2">
      <c r="B753" s="5"/>
      <c r="H753" s="5"/>
      <c r="J753" s="5"/>
      <c r="L753" s="5"/>
      <c r="N753" s="5"/>
      <c r="P753" s="5"/>
      <c r="R753" s="5"/>
    </row>
    <row r="754" spans="2:18" x14ac:dyDescent="0.2">
      <c r="B754" s="5"/>
      <c r="H754" s="5"/>
      <c r="J754" s="5"/>
      <c r="L754" s="5"/>
      <c r="N754" s="5"/>
      <c r="P754" s="5"/>
      <c r="R754" s="5"/>
    </row>
    <row r="755" spans="2:18" x14ac:dyDescent="0.2">
      <c r="B755" s="5"/>
      <c r="H755" s="5"/>
      <c r="J755" s="5"/>
      <c r="L755" s="5"/>
      <c r="N755" s="5"/>
      <c r="P755" s="5"/>
      <c r="R755" s="5"/>
    </row>
    <row r="756" spans="2:18" x14ac:dyDescent="0.2">
      <c r="B756" s="5"/>
      <c r="H756" s="5"/>
      <c r="J756" s="5"/>
      <c r="L756" s="5"/>
      <c r="N756" s="5"/>
      <c r="P756" s="5"/>
      <c r="R756" s="5"/>
    </row>
    <row r="757" spans="2:18" x14ac:dyDescent="0.2">
      <c r="B757" s="5"/>
      <c r="H757" s="5"/>
      <c r="J757" s="5"/>
      <c r="L757" s="5"/>
      <c r="N757" s="5"/>
      <c r="P757" s="5"/>
      <c r="R757" s="5"/>
    </row>
    <row r="758" spans="2:18" x14ac:dyDescent="0.2">
      <c r="B758" s="5"/>
      <c r="H758" s="5"/>
      <c r="J758" s="5"/>
      <c r="L758" s="5"/>
      <c r="N758" s="5"/>
      <c r="P758" s="5"/>
      <c r="R758" s="5"/>
    </row>
    <row r="759" spans="2:18" x14ac:dyDescent="0.2">
      <c r="B759" s="5"/>
      <c r="H759" s="5"/>
      <c r="J759" s="5"/>
      <c r="L759" s="5"/>
      <c r="N759" s="5"/>
      <c r="P759" s="5"/>
      <c r="R759" s="5"/>
    </row>
    <row r="760" spans="2:18" x14ac:dyDescent="0.2">
      <c r="B760" s="5"/>
      <c r="H760" s="5"/>
      <c r="J760" s="5"/>
      <c r="L760" s="5"/>
      <c r="N760" s="5"/>
      <c r="P760" s="5"/>
      <c r="R760" s="5"/>
    </row>
    <row r="761" spans="2:18" x14ac:dyDescent="0.2">
      <c r="B761" s="5"/>
      <c r="H761" s="5"/>
      <c r="J761" s="5"/>
      <c r="L761" s="5"/>
      <c r="N761" s="5"/>
      <c r="P761" s="5"/>
      <c r="R761" s="5"/>
    </row>
    <row r="762" spans="2:18" x14ac:dyDescent="0.2">
      <c r="B762" s="5"/>
      <c r="H762" s="5"/>
      <c r="J762" s="5"/>
      <c r="L762" s="5"/>
      <c r="N762" s="5"/>
      <c r="P762" s="5"/>
      <c r="R762" s="5"/>
    </row>
    <row r="763" spans="2:18" x14ac:dyDescent="0.2">
      <c r="B763" s="5"/>
      <c r="H763" s="5"/>
      <c r="J763" s="5"/>
      <c r="L763" s="5"/>
      <c r="N763" s="5"/>
      <c r="P763" s="5"/>
      <c r="R763" s="5"/>
    </row>
    <row r="764" spans="2:18" x14ac:dyDescent="0.2">
      <c r="B764" s="5"/>
      <c r="H764" s="5"/>
      <c r="J764" s="5"/>
      <c r="L764" s="5"/>
      <c r="N764" s="5"/>
      <c r="P764" s="5"/>
      <c r="R764" s="5"/>
    </row>
    <row r="765" spans="2:18" x14ac:dyDescent="0.2">
      <c r="B765" s="5"/>
      <c r="H765" s="5"/>
      <c r="J765" s="5"/>
      <c r="L765" s="5"/>
      <c r="N765" s="5"/>
      <c r="P765" s="5"/>
      <c r="R765" s="5"/>
    </row>
    <row r="766" spans="2:18" x14ac:dyDescent="0.2">
      <c r="B766" s="5"/>
      <c r="H766" s="5"/>
      <c r="J766" s="5"/>
      <c r="L766" s="5"/>
      <c r="N766" s="5"/>
      <c r="P766" s="5"/>
      <c r="R766" s="5"/>
    </row>
    <row r="767" spans="2:18" x14ac:dyDescent="0.2">
      <c r="B767" s="5"/>
      <c r="H767" s="5"/>
      <c r="J767" s="5"/>
      <c r="L767" s="5"/>
      <c r="N767" s="5"/>
      <c r="P767" s="5"/>
      <c r="R767" s="5"/>
    </row>
    <row r="768" spans="2:18" x14ac:dyDescent="0.2">
      <c r="B768" s="5"/>
      <c r="H768" s="5"/>
      <c r="J768" s="5"/>
      <c r="L768" s="5"/>
      <c r="N768" s="5"/>
      <c r="P768" s="5"/>
      <c r="R768" s="5"/>
    </row>
    <row r="769" spans="2:18" x14ac:dyDescent="0.2">
      <c r="B769" s="5"/>
      <c r="H769" s="5"/>
      <c r="J769" s="5"/>
      <c r="L769" s="5"/>
      <c r="N769" s="5"/>
      <c r="P769" s="5"/>
      <c r="R769" s="5"/>
    </row>
    <row r="770" spans="2:18" x14ac:dyDescent="0.2">
      <c r="B770" s="5"/>
      <c r="H770" s="5"/>
      <c r="J770" s="5"/>
      <c r="L770" s="5"/>
      <c r="N770" s="5"/>
      <c r="P770" s="5"/>
      <c r="R770" s="5"/>
    </row>
    <row r="771" spans="2:18" x14ac:dyDescent="0.2">
      <c r="B771" s="5"/>
      <c r="H771" s="5"/>
      <c r="J771" s="5"/>
      <c r="L771" s="5"/>
      <c r="N771" s="5"/>
      <c r="P771" s="5"/>
      <c r="R771" s="5"/>
    </row>
    <row r="772" spans="2:18" x14ac:dyDescent="0.2">
      <c r="B772" s="5"/>
      <c r="H772" s="5"/>
      <c r="J772" s="5"/>
      <c r="L772" s="5"/>
      <c r="N772" s="5"/>
      <c r="P772" s="5"/>
      <c r="R772" s="5"/>
    </row>
    <row r="773" spans="2:18" x14ac:dyDescent="0.2">
      <c r="B773" s="5"/>
      <c r="H773" s="5"/>
      <c r="J773" s="5"/>
      <c r="L773" s="5"/>
      <c r="N773" s="5"/>
      <c r="P773" s="5"/>
      <c r="R773" s="5"/>
    </row>
    <row r="774" spans="2:18" x14ac:dyDescent="0.2">
      <c r="B774" s="5"/>
      <c r="H774" s="5"/>
      <c r="J774" s="5"/>
      <c r="L774" s="5"/>
      <c r="N774" s="5"/>
      <c r="P774" s="5"/>
      <c r="R774" s="5"/>
    </row>
    <row r="775" spans="2:18" x14ac:dyDescent="0.2">
      <c r="B775" s="5"/>
      <c r="H775" s="5"/>
      <c r="J775" s="5"/>
      <c r="L775" s="5"/>
      <c r="N775" s="5"/>
      <c r="P775" s="5"/>
      <c r="R775" s="5"/>
    </row>
    <row r="776" spans="2:18" x14ac:dyDescent="0.2">
      <c r="B776" s="5"/>
      <c r="H776" s="5"/>
      <c r="J776" s="5"/>
      <c r="L776" s="5"/>
      <c r="N776" s="5"/>
      <c r="P776" s="5"/>
      <c r="R776" s="5"/>
    </row>
    <row r="777" spans="2:18" x14ac:dyDescent="0.2">
      <c r="B777" s="5"/>
      <c r="H777" s="5"/>
      <c r="J777" s="5"/>
      <c r="L777" s="5"/>
      <c r="N777" s="5"/>
      <c r="P777" s="5"/>
      <c r="R777" s="5"/>
    </row>
    <row r="778" spans="2:18" x14ac:dyDescent="0.2">
      <c r="B778" s="5"/>
      <c r="H778" s="5"/>
      <c r="J778" s="5"/>
      <c r="L778" s="5"/>
      <c r="N778" s="5"/>
      <c r="P778" s="5"/>
      <c r="R778" s="5"/>
    </row>
    <row r="779" spans="2:18" x14ac:dyDescent="0.2">
      <c r="B779" s="5"/>
      <c r="H779" s="5"/>
      <c r="J779" s="5"/>
      <c r="L779" s="5"/>
      <c r="N779" s="5"/>
      <c r="P779" s="5"/>
      <c r="R779" s="5"/>
    </row>
    <row r="780" spans="2:18" x14ac:dyDescent="0.2">
      <c r="B780" s="5"/>
      <c r="H780" s="5"/>
      <c r="J780" s="5"/>
      <c r="L780" s="5"/>
      <c r="N780" s="5"/>
      <c r="P780" s="5"/>
      <c r="R780" s="5"/>
    </row>
    <row r="781" spans="2:18" x14ac:dyDescent="0.2">
      <c r="B781" s="5"/>
      <c r="H781" s="5"/>
      <c r="J781" s="5"/>
      <c r="L781" s="5"/>
      <c r="N781" s="5"/>
      <c r="P781" s="5"/>
      <c r="R781" s="5"/>
    </row>
    <row r="782" spans="2:18" x14ac:dyDescent="0.2">
      <c r="B782" s="5"/>
      <c r="H782" s="5"/>
      <c r="J782" s="5"/>
      <c r="L782" s="5"/>
      <c r="N782" s="5"/>
      <c r="P782" s="5"/>
      <c r="R782" s="5"/>
    </row>
    <row r="783" spans="2:18" x14ac:dyDescent="0.2">
      <c r="B783" s="5"/>
      <c r="H783" s="5"/>
      <c r="J783" s="5"/>
      <c r="L783" s="5"/>
      <c r="N783" s="5"/>
      <c r="P783" s="5"/>
      <c r="R783" s="5"/>
    </row>
    <row r="784" spans="2:18" x14ac:dyDescent="0.2">
      <c r="B784" s="5"/>
      <c r="H784" s="5"/>
      <c r="J784" s="5"/>
      <c r="L784" s="5"/>
      <c r="N784" s="5"/>
      <c r="P784" s="5"/>
      <c r="R784" s="5"/>
    </row>
    <row r="785" spans="2:18" x14ac:dyDescent="0.2">
      <c r="B785" s="5"/>
      <c r="H785" s="5"/>
      <c r="J785" s="5"/>
      <c r="L785" s="5"/>
      <c r="N785" s="5"/>
      <c r="P785" s="5"/>
      <c r="R785" s="5"/>
    </row>
    <row r="786" spans="2:18" x14ac:dyDescent="0.2">
      <c r="B786" s="5"/>
      <c r="H786" s="5"/>
      <c r="J786" s="5"/>
      <c r="L786" s="5"/>
      <c r="N786" s="5"/>
      <c r="P786" s="5"/>
      <c r="R786" s="5"/>
    </row>
    <row r="787" spans="2:18" x14ac:dyDescent="0.2">
      <c r="B787" s="5"/>
      <c r="H787" s="5"/>
      <c r="J787" s="5"/>
      <c r="L787" s="5"/>
      <c r="N787" s="5"/>
      <c r="P787" s="5"/>
      <c r="R787" s="5"/>
    </row>
    <row r="788" spans="2:18" x14ac:dyDescent="0.2">
      <c r="B788" s="5"/>
      <c r="H788" s="5"/>
      <c r="J788" s="5"/>
      <c r="L788" s="5"/>
      <c r="N788" s="5"/>
      <c r="P788" s="5"/>
      <c r="R788" s="5"/>
    </row>
    <row r="789" spans="2:18" x14ac:dyDescent="0.2">
      <c r="B789" s="5"/>
      <c r="H789" s="5"/>
      <c r="J789" s="5"/>
      <c r="L789" s="5"/>
      <c r="N789" s="5"/>
      <c r="P789" s="5"/>
      <c r="R789" s="5"/>
    </row>
    <row r="790" spans="2:18" x14ac:dyDescent="0.2">
      <c r="B790" s="5"/>
      <c r="H790" s="5"/>
      <c r="J790" s="5"/>
      <c r="L790" s="5"/>
      <c r="N790" s="5"/>
      <c r="P790" s="5"/>
      <c r="R790" s="5"/>
    </row>
    <row r="791" spans="2:18" x14ac:dyDescent="0.2">
      <c r="B791" s="5"/>
      <c r="H791" s="5"/>
      <c r="J791" s="5"/>
      <c r="L791" s="5"/>
      <c r="N791" s="5"/>
      <c r="P791" s="5"/>
      <c r="R791" s="5"/>
    </row>
    <row r="792" spans="2:18" x14ac:dyDescent="0.2">
      <c r="B792" s="5"/>
      <c r="H792" s="5"/>
      <c r="J792" s="5"/>
      <c r="L792" s="5"/>
      <c r="N792" s="5"/>
      <c r="P792" s="5"/>
      <c r="R792" s="5"/>
    </row>
    <row r="793" spans="2:18" x14ac:dyDescent="0.2">
      <c r="B793" s="5"/>
      <c r="H793" s="5"/>
      <c r="J793" s="5"/>
      <c r="L793" s="5"/>
      <c r="N793" s="5"/>
      <c r="P793" s="5"/>
      <c r="R793" s="5"/>
    </row>
    <row r="794" spans="2:18" x14ac:dyDescent="0.2">
      <c r="B794" s="5"/>
      <c r="H794" s="5"/>
      <c r="J794" s="5"/>
      <c r="L794" s="5"/>
      <c r="N794" s="5"/>
      <c r="P794" s="5"/>
      <c r="R794" s="5"/>
    </row>
    <row r="795" spans="2:18" x14ac:dyDescent="0.2">
      <c r="B795" s="5"/>
      <c r="H795" s="5"/>
      <c r="J795" s="5"/>
      <c r="L795" s="5"/>
      <c r="N795" s="5"/>
      <c r="P795" s="5"/>
      <c r="R795" s="5"/>
    </row>
    <row r="796" spans="2:18" x14ac:dyDescent="0.2">
      <c r="B796" s="5"/>
      <c r="H796" s="5"/>
      <c r="J796" s="5"/>
      <c r="L796" s="5"/>
      <c r="N796" s="5"/>
      <c r="P796" s="5"/>
      <c r="R796" s="5"/>
    </row>
    <row r="797" spans="2:18" x14ac:dyDescent="0.2">
      <c r="B797" s="5"/>
      <c r="H797" s="5"/>
      <c r="J797" s="5"/>
      <c r="L797" s="5"/>
      <c r="N797" s="5"/>
      <c r="P797" s="5"/>
      <c r="R797" s="5"/>
    </row>
    <row r="798" spans="2:18" x14ac:dyDescent="0.2">
      <c r="B798" s="5"/>
      <c r="H798" s="5"/>
      <c r="J798" s="5"/>
      <c r="L798" s="5"/>
      <c r="N798" s="5"/>
      <c r="P798" s="5"/>
      <c r="R798" s="5"/>
    </row>
    <row r="799" spans="2:18" x14ac:dyDescent="0.2">
      <c r="B799" s="5"/>
      <c r="H799" s="5"/>
      <c r="J799" s="5"/>
      <c r="L799" s="5"/>
      <c r="N799" s="5"/>
      <c r="P799" s="5"/>
      <c r="R799" s="5"/>
    </row>
    <row r="800" spans="2:18" x14ac:dyDescent="0.2">
      <c r="B800" s="5"/>
      <c r="H800" s="5"/>
      <c r="J800" s="5"/>
      <c r="L800" s="5"/>
      <c r="N800" s="5"/>
      <c r="P800" s="5"/>
      <c r="R800" s="5"/>
    </row>
    <row r="801" spans="2:18" x14ac:dyDescent="0.2">
      <c r="B801" s="5"/>
      <c r="H801" s="5"/>
      <c r="J801" s="5"/>
      <c r="L801" s="5"/>
      <c r="N801" s="5"/>
      <c r="P801" s="5"/>
      <c r="R801" s="5"/>
    </row>
    <row r="802" spans="2:18" x14ac:dyDescent="0.2">
      <c r="B802" s="5"/>
      <c r="H802" s="5"/>
      <c r="J802" s="5"/>
      <c r="L802" s="5"/>
      <c r="N802" s="5"/>
      <c r="P802" s="5"/>
      <c r="R802" s="5"/>
    </row>
    <row r="803" spans="2:18" x14ac:dyDescent="0.2">
      <c r="B803" s="5"/>
      <c r="H803" s="5"/>
      <c r="J803" s="5"/>
      <c r="L803" s="5"/>
      <c r="N803" s="5"/>
      <c r="P803" s="5"/>
      <c r="R803" s="5"/>
    </row>
    <row r="804" spans="2:18" x14ac:dyDescent="0.2">
      <c r="B804" s="5"/>
      <c r="H804" s="5"/>
      <c r="J804" s="5"/>
      <c r="L804" s="5"/>
      <c r="N804" s="5"/>
      <c r="P804" s="5"/>
      <c r="R804" s="5"/>
    </row>
    <row r="805" spans="2:18" x14ac:dyDescent="0.2">
      <c r="B805" s="5"/>
      <c r="H805" s="5"/>
      <c r="J805" s="5"/>
      <c r="L805" s="5"/>
      <c r="N805" s="5"/>
      <c r="P805" s="5"/>
      <c r="R805" s="5"/>
    </row>
    <row r="806" spans="2:18" x14ac:dyDescent="0.2">
      <c r="B806" s="5"/>
      <c r="H806" s="5"/>
      <c r="J806" s="5"/>
      <c r="L806" s="5"/>
      <c r="N806" s="5"/>
      <c r="P806" s="5"/>
      <c r="R806" s="5"/>
    </row>
    <row r="807" spans="2:18" x14ac:dyDescent="0.2">
      <c r="B807" s="5"/>
      <c r="H807" s="5"/>
      <c r="J807" s="5"/>
      <c r="L807" s="5"/>
      <c r="N807" s="5"/>
      <c r="P807" s="5"/>
      <c r="R807" s="5"/>
    </row>
    <row r="808" spans="2:18" x14ac:dyDescent="0.2">
      <c r="B808" s="5"/>
      <c r="H808" s="5"/>
      <c r="J808" s="5"/>
      <c r="L808" s="5"/>
      <c r="N808" s="5"/>
      <c r="P808" s="5"/>
      <c r="R808" s="5"/>
    </row>
    <row r="809" spans="2:18" x14ac:dyDescent="0.2">
      <c r="B809" s="5"/>
      <c r="H809" s="5"/>
      <c r="J809" s="5"/>
      <c r="L809" s="5"/>
      <c r="N809" s="5"/>
      <c r="P809" s="5"/>
      <c r="R809" s="5"/>
    </row>
    <row r="810" spans="2:18" x14ac:dyDescent="0.2">
      <c r="B810" s="5"/>
      <c r="H810" s="5"/>
      <c r="J810" s="5"/>
      <c r="L810" s="5"/>
      <c r="N810" s="5"/>
      <c r="P810" s="5"/>
      <c r="R810" s="5"/>
    </row>
    <row r="811" spans="2:18" x14ac:dyDescent="0.2">
      <c r="B811" s="5"/>
      <c r="H811" s="5"/>
      <c r="J811" s="5"/>
      <c r="L811" s="5"/>
      <c r="N811" s="5"/>
      <c r="P811" s="5"/>
      <c r="R811" s="5"/>
    </row>
    <row r="812" spans="2:18" x14ac:dyDescent="0.2">
      <c r="B812" s="5"/>
      <c r="H812" s="5"/>
      <c r="J812" s="5"/>
      <c r="L812" s="5"/>
      <c r="N812" s="5"/>
      <c r="P812" s="5"/>
      <c r="R812" s="5"/>
    </row>
    <row r="813" spans="2:18" x14ac:dyDescent="0.2">
      <c r="B813" s="5"/>
      <c r="H813" s="5"/>
      <c r="J813" s="5"/>
      <c r="L813" s="5"/>
      <c r="N813" s="5"/>
      <c r="P813" s="5"/>
      <c r="R813" s="5"/>
    </row>
    <row r="814" spans="2:18" x14ac:dyDescent="0.2">
      <c r="B814" s="5"/>
      <c r="H814" s="5"/>
      <c r="J814" s="5"/>
      <c r="L814" s="5"/>
      <c r="N814" s="5"/>
      <c r="P814" s="5"/>
      <c r="R814" s="5"/>
    </row>
    <row r="815" spans="2:18" x14ac:dyDescent="0.2">
      <c r="B815" s="5"/>
      <c r="H815" s="5"/>
      <c r="J815" s="5"/>
      <c r="L815" s="5"/>
      <c r="N815" s="5"/>
      <c r="P815" s="5"/>
      <c r="R815" s="5"/>
    </row>
    <row r="816" spans="2:18" x14ac:dyDescent="0.2">
      <c r="B816" s="5"/>
      <c r="H816" s="5"/>
      <c r="J816" s="5"/>
      <c r="L816" s="5"/>
      <c r="N816" s="5"/>
      <c r="P816" s="5"/>
      <c r="R816" s="5"/>
    </row>
    <row r="817" spans="2:18" x14ac:dyDescent="0.2">
      <c r="B817" s="5"/>
      <c r="H817" s="5"/>
      <c r="J817" s="5"/>
      <c r="L817" s="5"/>
      <c r="N817" s="5"/>
      <c r="P817" s="5"/>
      <c r="R817" s="5"/>
    </row>
    <row r="818" spans="2:18" x14ac:dyDescent="0.2">
      <c r="B818" s="5"/>
      <c r="H818" s="5"/>
      <c r="J818" s="5"/>
      <c r="L818" s="5"/>
      <c r="N818" s="5"/>
      <c r="P818" s="5"/>
      <c r="R818" s="5"/>
    </row>
    <row r="819" spans="2:18" x14ac:dyDescent="0.2">
      <c r="B819" s="5"/>
      <c r="H819" s="5"/>
      <c r="J819" s="5"/>
      <c r="L819" s="5"/>
      <c r="N819" s="5"/>
      <c r="P819" s="5"/>
      <c r="R819" s="5"/>
    </row>
    <row r="820" spans="2:18" x14ac:dyDescent="0.2">
      <c r="B820" s="5"/>
      <c r="H820" s="5"/>
      <c r="J820" s="5"/>
      <c r="L820" s="5"/>
      <c r="N820" s="5"/>
      <c r="P820" s="5"/>
      <c r="R820" s="5"/>
    </row>
    <row r="821" spans="2:18" x14ac:dyDescent="0.2">
      <c r="B821" s="5"/>
      <c r="H821" s="5"/>
      <c r="J821" s="5"/>
      <c r="L821" s="5"/>
      <c r="N821" s="5"/>
      <c r="P821" s="5"/>
      <c r="R821" s="5"/>
    </row>
    <row r="822" spans="2:18" x14ac:dyDescent="0.2">
      <c r="B822" s="5"/>
      <c r="H822" s="5"/>
      <c r="J822" s="5"/>
      <c r="L822" s="5"/>
      <c r="N822" s="5"/>
      <c r="P822" s="5"/>
      <c r="R822" s="5"/>
    </row>
    <row r="823" spans="2:18" x14ac:dyDescent="0.2">
      <c r="B823" s="5"/>
      <c r="H823" s="5"/>
      <c r="J823" s="5"/>
      <c r="L823" s="5"/>
      <c r="N823" s="5"/>
      <c r="P823" s="5"/>
      <c r="R823" s="5"/>
    </row>
    <row r="824" spans="2:18" x14ac:dyDescent="0.2">
      <c r="B824" s="5"/>
      <c r="H824" s="5"/>
      <c r="J824" s="5"/>
      <c r="L824" s="5"/>
      <c r="N824" s="5"/>
      <c r="P824" s="5"/>
      <c r="R824" s="5"/>
    </row>
    <row r="825" spans="2:18" x14ac:dyDescent="0.2">
      <c r="B825" s="5"/>
      <c r="H825" s="5"/>
      <c r="J825" s="5"/>
      <c r="L825" s="5"/>
      <c r="N825" s="5"/>
      <c r="P825" s="5"/>
      <c r="R825" s="5"/>
    </row>
    <row r="826" spans="2:18" x14ac:dyDescent="0.2">
      <c r="B826" s="5"/>
      <c r="H826" s="5"/>
      <c r="J826" s="5"/>
      <c r="L826" s="5"/>
      <c r="N826" s="5"/>
      <c r="P826" s="5"/>
      <c r="R826" s="5"/>
    </row>
    <row r="827" spans="2:18" x14ac:dyDescent="0.2">
      <c r="B827" s="5"/>
      <c r="H827" s="5"/>
      <c r="J827" s="5"/>
      <c r="L827" s="5"/>
      <c r="N827" s="5"/>
      <c r="P827" s="5"/>
      <c r="R827" s="5"/>
    </row>
    <row r="828" spans="2:18" x14ac:dyDescent="0.2">
      <c r="B828" s="5"/>
      <c r="H828" s="5"/>
      <c r="J828" s="5"/>
      <c r="L828" s="5"/>
      <c r="N828" s="5"/>
      <c r="P828" s="5"/>
      <c r="R828" s="5"/>
    </row>
    <row r="829" spans="2:18" x14ac:dyDescent="0.2">
      <c r="B829" s="5"/>
      <c r="H829" s="5"/>
      <c r="J829" s="5"/>
      <c r="L829" s="5"/>
      <c r="N829" s="5"/>
      <c r="P829" s="5"/>
      <c r="R829" s="5"/>
    </row>
    <row r="830" spans="2:18" x14ac:dyDescent="0.2">
      <c r="B830" s="5"/>
      <c r="H830" s="5"/>
      <c r="J830" s="5"/>
      <c r="L830" s="5"/>
      <c r="N830" s="5"/>
      <c r="P830" s="5"/>
      <c r="R830" s="5"/>
    </row>
    <row r="831" spans="2:18" x14ac:dyDescent="0.2">
      <c r="B831" s="5"/>
      <c r="H831" s="5"/>
      <c r="J831" s="5"/>
      <c r="L831" s="5"/>
      <c r="N831" s="5"/>
      <c r="P831" s="5"/>
      <c r="R831" s="5"/>
    </row>
    <row r="832" spans="2:18" x14ac:dyDescent="0.2">
      <c r="B832" s="5"/>
      <c r="H832" s="5"/>
      <c r="J832" s="5"/>
      <c r="L832" s="5"/>
      <c r="N832" s="5"/>
      <c r="P832" s="5"/>
      <c r="R832" s="5"/>
    </row>
    <row r="833" spans="2:18" x14ac:dyDescent="0.2">
      <c r="B833" s="5"/>
      <c r="H833" s="5"/>
      <c r="J833" s="5"/>
      <c r="L833" s="5"/>
      <c r="N833" s="5"/>
      <c r="P833" s="5"/>
      <c r="R833" s="5"/>
    </row>
    <row r="834" spans="2:18" x14ac:dyDescent="0.2">
      <c r="B834" s="5"/>
      <c r="H834" s="5"/>
      <c r="J834" s="5"/>
      <c r="L834" s="5"/>
      <c r="N834" s="5"/>
      <c r="P834" s="5"/>
      <c r="R834" s="5"/>
    </row>
    <row r="835" spans="2:18" x14ac:dyDescent="0.2">
      <c r="B835" s="5"/>
      <c r="H835" s="5"/>
      <c r="J835" s="5"/>
      <c r="L835" s="5"/>
      <c r="N835" s="5"/>
      <c r="P835" s="5"/>
      <c r="R835" s="5"/>
    </row>
    <row r="836" spans="2:18" x14ac:dyDescent="0.2">
      <c r="B836" s="5"/>
      <c r="H836" s="5"/>
      <c r="J836" s="5"/>
      <c r="L836" s="5"/>
      <c r="N836" s="5"/>
      <c r="P836" s="5"/>
      <c r="R836" s="5"/>
    </row>
    <row r="837" spans="2:18" x14ac:dyDescent="0.2">
      <c r="B837" s="5"/>
      <c r="H837" s="5"/>
      <c r="J837" s="5"/>
      <c r="L837" s="5"/>
      <c r="N837" s="5"/>
      <c r="P837" s="5"/>
      <c r="R837" s="5"/>
    </row>
    <row r="838" spans="2:18" x14ac:dyDescent="0.2">
      <c r="B838" s="5"/>
      <c r="H838" s="5"/>
      <c r="J838" s="5"/>
      <c r="L838" s="5"/>
      <c r="N838" s="5"/>
      <c r="P838" s="5"/>
      <c r="R838" s="5"/>
    </row>
    <row r="839" spans="2:18" x14ac:dyDescent="0.2">
      <c r="B839" s="5"/>
      <c r="H839" s="5"/>
      <c r="J839" s="5"/>
      <c r="L839" s="5"/>
      <c r="N839" s="5"/>
      <c r="P839" s="5"/>
      <c r="R839" s="5"/>
    </row>
    <row r="840" spans="2:18" x14ac:dyDescent="0.2">
      <c r="B840" s="5"/>
      <c r="H840" s="5"/>
      <c r="J840" s="5"/>
      <c r="L840" s="5"/>
      <c r="N840" s="5"/>
      <c r="P840" s="5"/>
      <c r="R840" s="5"/>
    </row>
    <row r="841" spans="2:18" x14ac:dyDescent="0.2">
      <c r="B841" s="5"/>
      <c r="H841" s="5"/>
      <c r="J841" s="5"/>
      <c r="L841" s="5"/>
      <c r="N841" s="5"/>
      <c r="P841" s="5"/>
      <c r="R841" s="5"/>
    </row>
    <row r="842" spans="2:18" x14ac:dyDescent="0.2">
      <c r="B842" s="5"/>
      <c r="H842" s="5"/>
      <c r="J842" s="5"/>
      <c r="L842" s="5"/>
      <c r="N842" s="5"/>
      <c r="P842" s="5"/>
      <c r="R842" s="5"/>
    </row>
    <row r="843" spans="2:18" x14ac:dyDescent="0.2">
      <c r="B843" s="5"/>
      <c r="H843" s="5"/>
      <c r="J843" s="5"/>
      <c r="L843" s="5"/>
      <c r="N843" s="5"/>
      <c r="P843" s="5"/>
      <c r="R843" s="5"/>
    </row>
    <row r="844" spans="2:18" x14ac:dyDescent="0.2">
      <c r="B844" s="5"/>
      <c r="H844" s="5"/>
      <c r="J844" s="5"/>
      <c r="L844" s="5"/>
      <c r="N844" s="5"/>
      <c r="P844" s="5"/>
      <c r="R844" s="5"/>
    </row>
    <row r="845" spans="2:18" x14ac:dyDescent="0.2">
      <c r="B845" s="5"/>
      <c r="H845" s="5"/>
      <c r="J845" s="5"/>
      <c r="L845" s="5"/>
      <c r="N845" s="5"/>
      <c r="P845" s="5"/>
      <c r="R845" s="5"/>
    </row>
    <row r="846" spans="2:18" x14ac:dyDescent="0.2">
      <c r="B846" s="5"/>
      <c r="H846" s="5"/>
      <c r="J846" s="5"/>
      <c r="L846" s="5"/>
      <c r="N846" s="5"/>
      <c r="P846" s="5"/>
      <c r="R846" s="5"/>
    </row>
    <row r="847" spans="2:18" x14ac:dyDescent="0.2">
      <c r="B847" s="5"/>
      <c r="H847" s="5"/>
      <c r="J847" s="5"/>
      <c r="L847" s="5"/>
      <c r="N847" s="5"/>
      <c r="P847" s="5"/>
      <c r="R847" s="5"/>
    </row>
    <row r="848" spans="2:18" x14ac:dyDescent="0.2">
      <c r="B848" s="5"/>
      <c r="H848" s="5"/>
      <c r="J848" s="5"/>
      <c r="L848" s="5"/>
      <c r="N848" s="5"/>
      <c r="P848" s="5"/>
      <c r="R848" s="5"/>
    </row>
    <row r="849" spans="2:18" x14ac:dyDescent="0.2">
      <c r="B849" s="5"/>
      <c r="H849" s="5"/>
      <c r="J849" s="5"/>
      <c r="L849" s="5"/>
      <c r="N849" s="5"/>
      <c r="P849" s="5"/>
      <c r="R849" s="5"/>
    </row>
    <row r="850" spans="2:18" x14ac:dyDescent="0.2">
      <c r="B850" s="5"/>
      <c r="H850" s="5"/>
      <c r="J850" s="5"/>
      <c r="L850" s="5"/>
      <c r="N850" s="5"/>
      <c r="P850" s="5"/>
      <c r="R850" s="5"/>
    </row>
    <row r="851" spans="2:18" x14ac:dyDescent="0.2">
      <c r="B851" s="5"/>
      <c r="H851" s="5"/>
      <c r="J851" s="5"/>
      <c r="L851" s="5"/>
      <c r="N851" s="5"/>
      <c r="P851" s="5"/>
      <c r="R851" s="5"/>
    </row>
    <row r="852" spans="2:18" x14ac:dyDescent="0.2">
      <c r="B852" s="5"/>
      <c r="H852" s="5"/>
      <c r="J852" s="5"/>
      <c r="L852" s="5"/>
      <c r="N852" s="5"/>
      <c r="P852" s="5"/>
      <c r="R852" s="5"/>
    </row>
    <row r="853" spans="2:18" x14ac:dyDescent="0.2">
      <c r="B853" s="5"/>
      <c r="H853" s="5"/>
      <c r="J853" s="5"/>
      <c r="L853" s="5"/>
      <c r="N853" s="5"/>
      <c r="P853" s="5"/>
      <c r="R853" s="5"/>
    </row>
    <row r="854" spans="2:18" x14ac:dyDescent="0.2">
      <c r="B854" s="5"/>
      <c r="H854" s="5"/>
      <c r="J854" s="5"/>
      <c r="L854" s="5"/>
      <c r="N854" s="5"/>
      <c r="P854" s="5"/>
      <c r="R854" s="5"/>
    </row>
    <row r="855" spans="2:18" x14ac:dyDescent="0.2">
      <c r="B855" s="5"/>
      <c r="H855" s="5"/>
      <c r="J855" s="5"/>
      <c r="L855" s="5"/>
      <c r="N855" s="5"/>
      <c r="P855" s="5"/>
      <c r="R855" s="5"/>
    </row>
    <row r="856" spans="2:18" x14ac:dyDescent="0.2">
      <c r="B856" s="5"/>
      <c r="H856" s="5"/>
      <c r="J856" s="5"/>
      <c r="L856" s="5"/>
      <c r="N856" s="5"/>
      <c r="P856" s="5"/>
      <c r="R856" s="5"/>
    </row>
    <row r="857" spans="2:18" x14ac:dyDescent="0.2">
      <c r="B857" s="5"/>
      <c r="H857" s="5"/>
      <c r="J857" s="5"/>
      <c r="L857" s="5"/>
      <c r="N857" s="5"/>
      <c r="P857" s="5"/>
      <c r="R857" s="5"/>
    </row>
    <row r="858" spans="2:18" x14ac:dyDescent="0.2">
      <c r="B858" s="5"/>
      <c r="H858" s="5"/>
      <c r="J858" s="5"/>
      <c r="L858" s="5"/>
      <c r="N858" s="5"/>
      <c r="P858" s="5"/>
      <c r="R858" s="5"/>
    </row>
    <row r="859" spans="2:18" x14ac:dyDescent="0.2">
      <c r="B859" s="5"/>
      <c r="H859" s="5"/>
      <c r="J859" s="5"/>
      <c r="L859" s="5"/>
      <c r="N859" s="5"/>
      <c r="P859" s="5"/>
      <c r="R859" s="5"/>
    </row>
    <row r="860" spans="2:18" x14ac:dyDescent="0.2">
      <c r="B860" s="5"/>
      <c r="H860" s="5"/>
      <c r="J860" s="5"/>
      <c r="L860" s="5"/>
      <c r="N860" s="5"/>
      <c r="P860" s="5"/>
      <c r="R860" s="5"/>
    </row>
    <row r="861" spans="2:18" x14ac:dyDescent="0.2">
      <c r="B861" s="5"/>
      <c r="H861" s="5"/>
      <c r="J861" s="5"/>
      <c r="L861" s="5"/>
      <c r="N861" s="5"/>
      <c r="P861" s="5"/>
      <c r="R861" s="5"/>
    </row>
    <row r="862" spans="2:18" x14ac:dyDescent="0.2">
      <c r="B862" s="5"/>
      <c r="H862" s="5"/>
      <c r="J862" s="5"/>
      <c r="L862" s="5"/>
      <c r="N862" s="5"/>
      <c r="P862" s="5"/>
      <c r="R862" s="5"/>
    </row>
    <row r="863" spans="2:18" x14ac:dyDescent="0.2">
      <c r="B863" s="5"/>
      <c r="H863" s="5"/>
      <c r="J863" s="5"/>
      <c r="L863" s="5"/>
      <c r="N863" s="5"/>
      <c r="P863" s="5"/>
      <c r="R863" s="5"/>
    </row>
    <row r="864" spans="2:18" x14ac:dyDescent="0.2">
      <c r="B864" s="5"/>
      <c r="H864" s="5"/>
      <c r="J864" s="5"/>
      <c r="L864" s="5"/>
      <c r="N864" s="5"/>
      <c r="P864" s="5"/>
      <c r="R864" s="5"/>
    </row>
    <row r="865" spans="2:18" x14ac:dyDescent="0.2">
      <c r="B865" s="5"/>
      <c r="H865" s="5"/>
      <c r="J865" s="5"/>
      <c r="L865" s="5"/>
      <c r="N865" s="5"/>
      <c r="P865" s="5"/>
      <c r="R865" s="5"/>
    </row>
    <row r="866" spans="2:18" x14ac:dyDescent="0.2">
      <c r="B866" s="5"/>
      <c r="H866" s="5"/>
      <c r="J866" s="5"/>
      <c r="L866" s="5"/>
      <c r="N866" s="5"/>
      <c r="P866" s="5"/>
      <c r="R866" s="5"/>
    </row>
    <row r="867" spans="2:18" x14ac:dyDescent="0.2">
      <c r="B867" s="5"/>
      <c r="H867" s="5"/>
      <c r="J867" s="5"/>
      <c r="L867" s="5"/>
      <c r="N867" s="5"/>
      <c r="P867" s="5"/>
      <c r="R867" s="5"/>
    </row>
    <row r="868" spans="2:18" x14ac:dyDescent="0.2">
      <c r="B868" s="5"/>
      <c r="H868" s="5"/>
      <c r="J868" s="5"/>
      <c r="L868" s="5"/>
      <c r="N868" s="5"/>
      <c r="P868" s="5"/>
      <c r="R868" s="5"/>
    </row>
    <row r="869" spans="2:18" x14ac:dyDescent="0.2">
      <c r="B869" s="5"/>
      <c r="H869" s="5"/>
      <c r="J869" s="5"/>
      <c r="L869" s="5"/>
      <c r="N869" s="5"/>
      <c r="P869" s="5"/>
      <c r="R869" s="5"/>
    </row>
    <row r="870" spans="2:18" x14ac:dyDescent="0.2">
      <c r="B870" s="5"/>
      <c r="H870" s="5"/>
      <c r="J870" s="5"/>
      <c r="L870" s="5"/>
      <c r="N870" s="5"/>
      <c r="P870" s="5"/>
      <c r="R870" s="5"/>
    </row>
    <row r="871" spans="2:18" x14ac:dyDescent="0.2">
      <c r="B871" s="5"/>
      <c r="H871" s="5"/>
      <c r="J871" s="5"/>
      <c r="L871" s="5"/>
      <c r="N871" s="5"/>
      <c r="P871" s="5"/>
      <c r="R871" s="5"/>
    </row>
    <row r="872" spans="2:18" x14ac:dyDescent="0.2">
      <c r="B872" s="5"/>
      <c r="H872" s="5"/>
      <c r="J872" s="5"/>
      <c r="L872" s="5"/>
      <c r="N872" s="5"/>
      <c r="P872" s="5"/>
      <c r="R872" s="5"/>
    </row>
    <row r="873" spans="2:18" x14ac:dyDescent="0.2">
      <c r="B873" s="5"/>
      <c r="H873" s="5"/>
      <c r="J873" s="5"/>
      <c r="L873" s="5"/>
      <c r="N873" s="5"/>
      <c r="P873" s="5"/>
      <c r="R873" s="5"/>
    </row>
    <row r="874" spans="2:18" x14ac:dyDescent="0.2">
      <c r="B874" s="5"/>
      <c r="H874" s="5"/>
      <c r="J874" s="5"/>
      <c r="L874" s="5"/>
      <c r="N874" s="5"/>
      <c r="P874" s="5"/>
      <c r="R874" s="5"/>
    </row>
    <row r="875" spans="2:18" x14ac:dyDescent="0.2">
      <c r="B875" s="5"/>
      <c r="H875" s="5"/>
      <c r="J875" s="5"/>
      <c r="L875" s="5"/>
      <c r="N875" s="5"/>
      <c r="P875" s="5"/>
      <c r="R875" s="5"/>
    </row>
    <row r="876" spans="2:18" x14ac:dyDescent="0.2">
      <c r="B876" s="5"/>
      <c r="H876" s="5"/>
      <c r="J876" s="5"/>
      <c r="L876" s="5"/>
      <c r="N876" s="5"/>
      <c r="P876" s="5"/>
      <c r="R876" s="5"/>
    </row>
    <row r="877" spans="2:18" x14ac:dyDescent="0.2">
      <c r="B877" s="5"/>
      <c r="H877" s="5"/>
      <c r="J877" s="5"/>
      <c r="L877" s="5"/>
      <c r="N877" s="5"/>
      <c r="P877" s="5"/>
      <c r="R877" s="5"/>
    </row>
    <row r="878" spans="2:18" x14ac:dyDescent="0.2">
      <c r="B878" s="5"/>
      <c r="H878" s="5"/>
      <c r="J878" s="5"/>
      <c r="L878" s="5"/>
      <c r="N878" s="5"/>
      <c r="P878" s="5"/>
      <c r="R878" s="5"/>
    </row>
    <row r="879" spans="2:18" x14ac:dyDescent="0.2">
      <c r="B879" s="5"/>
      <c r="H879" s="5"/>
      <c r="J879" s="5"/>
      <c r="L879" s="5"/>
      <c r="N879" s="5"/>
      <c r="P879" s="5"/>
      <c r="R879" s="5"/>
    </row>
    <row r="880" spans="2:18" x14ac:dyDescent="0.2">
      <c r="B880" s="5"/>
      <c r="H880" s="5"/>
      <c r="J880" s="5"/>
      <c r="L880" s="5"/>
      <c r="N880" s="5"/>
      <c r="P880" s="5"/>
      <c r="R880" s="5"/>
    </row>
    <row r="881" spans="2:18" x14ac:dyDescent="0.2">
      <c r="B881" s="5"/>
      <c r="H881" s="5"/>
      <c r="J881" s="5"/>
      <c r="L881" s="5"/>
      <c r="N881" s="5"/>
      <c r="P881" s="5"/>
      <c r="R881" s="5"/>
    </row>
    <row r="882" spans="2:18" x14ac:dyDescent="0.2">
      <c r="B882" s="5"/>
      <c r="H882" s="5"/>
      <c r="J882" s="5"/>
      <c r="L882" s="5"/>
      <c r="N882" s="5"/>
      <c r="P882" s="5"/>
      <c r="R882" s="5"/>
    </row>
    <row r="883" spans="2:18" x14ac:dyDescent="0.2">
      <c r="B883" s="5"/>
      <c r="H883" s="5"/>
      <c r="J883" s="5"/>
      <c r="L883" s="5"/>
      <c r="N883" s="5"/>
      <c r="P883" s="5"/>
      <c r="R883" s="5"/>
    </row>
    <row r="884" spans="2:18" x14ac:dyDescent="0.2">
      <c r="B884" s="5"/>
      <c r="H884" s="5"/>
      <c r="J884" s="5"/>
      <c r="L884" s="5"/>
      <c r="N884" s="5"/>
      <c r="P884" s="5"/>
      <c r="R884" s="5"/>
    </row>
    <row r="885" spans="2:18" x14ac:dyDescent="0.2">
      <c r="B885" s="5"/>
      <c r="H885" s="5"/>
      <c r="J885" s="5"/>
      <c r="L885" s="5"/>
      <c r="N885" s="5"/>
      <c r="P885" s="5"/>
      <c r="R885" s="5"/>
    </row>
    <row r="886" spans="2:18" x14ac:dyDescent="0.2">
      <c r="B886" s="5"/>
      <c r="H886" s="5"/>
      <c r="J886" s="5"/>
      <c r="L886" s="5"/>
      <c r="N886" s="5"/>
      <c r="P886" s="5"/>
      <c r="R886" s="5"/>
    </row>
    <row r="887" spans="2:18" x14ac:dyDescent="0.2">
      <c r="B887" s="5"/>
      <c r="H887" s="5"/>
      <c r="J887" s="5"/>
      <c r="L887" s="5"/>
      <c r="N887" s="5"/>
      <c r="P887" s="5"/>
      <c r="R887" s="5"/>
    </row>
    <row r="888" spans="2:18" x14ac:dyDescent="0.2">
      <c r="B888" s="5"/>
      <c r="H888" s="5"/>
      <c r="J888" s="5"/>
      <c r="L888" s="5"/>
      <c r="N888" s="5"/>
      <c r="P888" s="5"/>
      <c r="R888" s="5"/>
    </row>
    <row r="889" spans="2:18" x14ac:dyDescent="0.2">
      <c r="B889" s="5"/>
      <c r="H889" s="5"/>
      <c r="J889" s="5"/>
      <c r="L889" s="5"/>
      <c r="N889" s="5"/>
      <c r="P889" s="5"/>
      <c r="R889" s="5"/>
    </row>
    <row r="890" spans="2:18" x14ac:dyDescent="0.2">
      <c r="B890" s="5"/>
      <c r="H890" s="5"/>
      <c r="J890" s="5"/>
      <c r="L890" s="5"/>
      <c r="N890" s="5"/>
      <c r="P890" s="5"/>
      <c r="R890" s="5"/>
    </row>
    <row r="891" spans="2:18" x14ac:dyDescent="0.2">
      <c r="B891" s="5"/>
      <c r="H891" s="5"/>
      <c r="J891" s="5"/>
      <c r="L891" s="5"/>
      <c r="N891" s="5"/>
      <c r="P891" s="5"/>
      <c r="R891" s="5"/>
    </row>
    <row r="892" spans="2:18" x14ac:dyDescent="0.2">
      <c r="B892" s="5"/>
      <c r="H892" s="5"/>
      <c r="J892" s="5"/>
      <c r="L892" s="5"/>
      <c r="N892" s="5"/>
      <c r="P892" s="5"/>
      <c r="R892" s="5"/>
    </row>
    <row r="893" spans="2:18" x14ac:dyDescent="0.2">
      <c r="B893" s="5"/>
      <c r="H893" s="5"/>
      <c r="J893" s="5"/>
      <c r="L893" s="5"/>
      <c r="N893" s="5"/>
      <c r="P893" s="5"/>
      <c r="R893" s="5"/>
    </row>
    <row r="894" spans="2:18" x14ac:dyDescent="0.2">
      <c r="B894" s="5"/>
      <c r="H894" s="5"/>
      <c r="J894" s="5"/>
      <c r="L894" s="5"/>
      <c r="N894" s="5"/>
      <c r="P894" s="5"/>
      <c r="R894" s="5"/>
    </row>
    <row r="895" spans="2:18" x14ac:dyDescent="0.2">
      <c r="B895" s="5"/>
      <c r="H895" s="5"/>
      <c r="J895" s="5"/>
      <c r="L895" s="5"/>
      <c r="N895" s="5"/>
      <c r="P895" s="5"/>
      <c r="R895" s="5"/>
    </row>
    <row r="896" spans="2:18" x14ac:dyDescent="0.2">
      <c r="B896" s="5"/>
      <c r="H896" s="5"/>
      <c r="J896" s="5"/>
      <c r="L896" s="5"/>
      <c r="N896" s="5"/>
      <c r="P896" s="5"/>
      <c r="R896" s="5"/>
    </row>
    <row r="897" spans="2:18" x14ac:dyDescent="0.2">
      <c r="B897" s="5"/>
      <c r="H897" s="5"/>
      <c r="J897" s="5"/>
      <c r="L897" s="5"/>
      <c r="N897" s="5"/>
      <c r="P897" s="5"/>
      <c r="R897" s="5"/>
    </row>
    <row r="898" spans="2:18" x14ac:dyDescent="0.2">
      <c r="B898" s="5"/>
      <c r="H898" s="5"/>
      <c r="J898" s="5"/>
      <c r="L898" s="5"/>
      <c r="N898" s="5"/>
      <c r="P898" s="5"/>
      <c r="R898" s="5"/>
    </row>
    <row r="899" spans="2:18" x14ac:dyDescent="0.2">
      <c r="B899" s="5"/>
      <c r="H899" s="5"/>
      <c r="J899" s="5"/>
      <c r="L899" s="5"/>
      <c r="N899" s="5"/>
      <c r="P899" s="5"/>
      <c r="R899" s="5"/>
    </row>
    <row r="900" spans="2:18" x14ac:dyDescent="0.2">
      <c r="B900" s="5"/>
      <c r="H900" s="5"/>
      <c r="J900" s="5"/>
      <c r="L900" s="5"/>
      <c r="N900" s="5"/>
      <c r="P900" s="5"/>
      <c r="R900" s="5"/>
    </row>
    <row r="901" spans="2:18" x14ac:dyDescent="0.2">
      <c r="B901" s="5"/>
      <c r="H901" s="5"/>
      <c r="J901" s="5"/>
      <c r="L901" s="5"/>
      <c r="N901" s="5"/>
      <c r="P901" s="5"/>
      <c r="R901" s="5"/>
    </row>
    <row r="902" spans="2:18" x14ac:dyDescent="0.2">
      <c r="B902" s="5"/>
      <c r="H902" s="5"/>
      <c r="J902" s="5"/>
      <c r="L902" s="5"/>
      <c r="N902" s="5"/>
      <c r="P902" s="5"/>
      <c r="R902" s="5"/>
    </row>
    <row r="903" spans="2:18" x14ac:dyDescent="0.2">
      <c r="B903" s="5"/>
      <c r="H903" s="5"/>
      <c r="J903" s="5"/>
      <c r="L903" s="5"/>
      <c r="N903" s="5"/>
      <c r="P903" s="5"/>
      <c r="R903" s="5"/>
    </row>
    <row r="904" spans="2:18" x14ac:dyDescent="0.2">
      <c r="B904" s="5"/>
      <c r="H904" s="5"/>
      <c r="J904" s="5"/>
      <c r="L904" s="5"/>
      <c r="N904" s="5"/>
      <c r="P904" s="5"/>
      <c r="R904" s="5"/>
    </row>
    <row r="905" spans="2:18" x14ac:dyDescent="0.2">
      <c r="B905" s="5"/>
      <c r="H905" s="5"/>
      <c r="J905" s="5"/>
      <c r="L905" s="5"/>
      <c r="N905" s="5"/>
      <c r="P905" s="5"/>
      <c r="R905" s="5"/>
    </row>
    <row r="906" spans="2:18" x14ac:dyDescent="0.2">
      <c r="B906" s="5"/>
      <c r="H906" s="5"/>
      <c r="J906" s="5"/>
      <c r="L906" s="5"/>
      <c r="N906" s="5"/>
      <c r="P906" s="5"/>
      <c r="R906" s="5"/>
    </row>
    <row r="907" spans="2:18" x14ac:dyDescent="0.2">
      <c r="B907" s="5"/>
      <c r="H907" s="5"/>
      <c r="J907" s="5"/>
      <c r="L907" s="5"/>
      <c r="N907" s="5"/>
      <c r="P907" s="5"/>
      <c r="R907" s="5"/>
    </row>
    <row r="908" spans="2:18" x14ac:dyDescent="0.2">
      <c r="B908" s="5"/>
      <c r="H908" s="5"/>
      <c r="J908" s="5"/>
      <c r="L908" s="5"/>
      <c r="N908" s="5"/>
      <c r="P908" s="5"/>
      <c r="R908" s="5"/>
    </row>
    <row r="909" spans="2:18" x14ac:dyDescent="0.2">
      <c r="B909" s="5"/>
      <c r="H909" s="5"/>
      <c r="J909" s="5"/>
      <c r="L909" s="5"/>
      <c r="N909" s="5"/>
      <c r="P909" s="5"/>
      <c r="R909" s="5"/>
    </row>
    <row r="910" spans="2:18" x14ac:dyDescent="0.2">
      <c r="B910" s="5"/>
      <c r="H910" s="5"/>
      <c r="J910" s="5"/>
      <c r="L910" s="5"/>
      <c r="N910" s="5"/>
      <c r="P910" s="5"/>
      <c r="R910" s="5"/>
    </row>
    <row r="911" spans="2:18" x14ac:dyDescent="0.2">
      <c r="B911" s="5"/>
      <c r="H911" s="5"/>
      <c r="J911" s="5"/>
      <c r="L911" s="5"/>
      <c r="N911" s="5"/>
      <c r="P911" s="5"/>
      <c r="R911" s="5"/>
    </row>
    <row r="912" spans="2:18" x14ac:dyDescent="0.2">
      <c r="B912" s="5"/>
      <c r="H912" s="5"/>
      <c r="J912" s="5"/>
      <c r="L912" s="5"/>
      <c r="N912" s="5"/>
      <c r="P912" s="5"/>
      <c r="R912" s="5"/>
    </row>
    <row r="913" spans="2:18" x14ac:dyDescent="0.2">
      <c r="B913" s="5"/>
      <c r="H913" s="5"/>
      <c r="J913" s="5"/>
      <c r="L913" s="5"/>
      <c r="N913" s="5"/>
      <c r="P913" s="5"/>
      <c r="R913" s="5"/>
    </row>
    <row r="914" spans="2:18" x14ac:dyDescent="0.2">
      <c r="B914" s="5"/>
      <c r="H914" s="5"/>
      <c r="J914" s="5"/>
      <c r="L914" s="5"/>
      <c r="N914" s="5"/>
      <c r="P914" s="5"/>
      <c r="R914" s="5"/>
    </row>
    <row r="915" spans="2:18" x14ac:dyDescent="0.2">
      <c r="B915" s="5"/>
      <c r="H915" s="5"/>
      <c r="J915" s="5"/>
      <c r="L915" s="5"/>
      <c r="N915" s="5"/>
      <c r="P915" s="5"/>
      <c r="R915" s="5"/>
    </row>
    <row r="916" spans="2:18" x14ac:dyDescent="0.2">
      <c r="B916" s="5"/>
      <c r="H916" s="5"/>
      <c r="J916" s="5"/>
      <c r="L916" s="5"/>
      <c r="N916" s="5"/>
      <c r="P916" s="5"/>
      <c r="R916" s="5"/>
    </row>
    <row r="917" spans="2:18" x14ac:dyDescent="0.2">
      <c r="B917" s="5"/>
      <c r="H917" s="5"/>
      <c r="J917" s="5"/>
      <c r="L917" s="5"/>
      <c r="N917" s="5"/>
      <c r="P917" s="5"/>
      <c r="R917" s="5"/>
    </row>
    <row r="918" spans="2:18" x14ac:dyDescent="0.2">
      <c r="B918" s="5"/>
      <c r="H918" s="5"/>
      <c r="J918" s="5"/>
      <c r="L918" s="5"/>
      <c r="N918" s="5"/>
      <c r="P918" s="5"/>
      <c r="R918" s="5"/>
    </row>
    <row r="919" spans="2:18" x14ac:dyDescent="0.2">
      <c r="B919" s="5"/>
      <c r="H919" s="5"/>
      <c r="J919" s="5"/>
      <c r="L919" s="5"/>
      <c r="N919" s="5"/>
      <c r="P919" s="5"/>
      <c r="R919" s="5"/>
    </row>
    <row r="920" spans="2:18" x14ac:dyDescent="0.2">
      <c r="B920" s="5"/>
      <c r="H920" s="5"/>
      <c r="J920" s="5"/>
      <c r="L920" s="5"/>
      <c r="N920" s="5"/>
      <c r="P920" s="5"/>
      <c r="R920" s="5"/>
    </row>
    <row r="921" spans="2:18" x14ac:dyDescent="0.2">
      <c r="B921" s="5"/>
      <c r="H921" s="5"/>
      <c r="J921" s="5"/>
      <c r="L921" s="5"/>
      <c r="N921" s="5"/>
      <c r="P921" s="5"/>
      <c r="R921" s="5"/>
    </row>
    <row r="922" spans="2:18" x14ac:dyDescent="0.2">
      <c r="B922" s="5"/>
      <c r="H922" s="5"/>
      <c r="J922" s="5"/>
      <c r="L922" s="5"/>
      <c r="N922" s="5"/>
      <c r="P922" s="5"/>
      <c r="R922" s="5"/>
    </row>
    <row r="923" spans="2:18" x14ac:dyDescent="0.2">
      <c r="B923" s="5"/>
      <c r="H923" s="5"/>
      <c r="J923" s="5"/>
      <c r="L923" s="5"/>
      <c r="N923" s="5"/>
      <c r="P923" s="5"/>
      <c r="R923" s="5"/>
    </row>
    <row r="924" spans="2:18" x14ac:dyDescent="0.2">
      <c r="B924" s="5"/>
      <c r="H924" s="5"/>
      <c r="J924" s="5"/>
      <c r="L924" s="5"/>
      <c r="N924" s="5"/>
      <c r="P924" s="5"/>
      <c r="R924" s="5"/>
    </row>
    <row r="925" spans="2:18" x14ac:dyDescent="0.2">
      <c r="B925" s="5"/>
      <c r="H925" s="5"/>
      <c r="J925" s="5"/>
      <c r="L925" s="5"/>
      <c r="N925" s="5"/>
      <c r="P925" s="5"/>
      <c r="R925" s="5"/>
    </row>
    <row r="926" spans="2:18" x14ac:dyDescent="0.2">
      <c r="B926" s="5"/>
      <c r="H926" s="5"/>
      <c r="J926" s="5"/>
      <c r="L926" s="5"/>
      <c r="N926" s="5"/>
      <c r="P926" s="5"/>
      <c r="R926" s="5"/>
    </row>
    <row r="927" spans="2:18" x14ac:dyDescent="0.2">
      <c r="B927" s="5"/>
      <c r="H927" s="5"/>
      <c r="J927" s="5"/>
      <c r="L927" s="5"/>
      <c r="N927" s="5"/>
      <c r="P927" s="5"/>
      <c r="R927" s="5"/>
    </row>
    <row r="928" spans="2:18" x14ac:dyDescent="0.2">
      <c r="B928" s="5"/>
      <c r="H928" s="5"/>
      <c r="J928" s="5"/>
      <c r="L928" s="5"/>
      <c r="N928" s="5"/>
      <c r="P928" s="5"/>
      <c r="R928" s="5"/>
    </row>
    <row r="929" spans="2:18" x14ac:dyDescent="0.2">
      <c r="B929" s="5"/>
      <c r="H929" s="5"/>
      <c r="J929" s="5"/>
      <c r="L929" s="5"/>
      <c r="N929" s="5"/>
      <c r="P929" s="5"/>
      <c r="R929" s="5"/>
    </row>
    <row r="930" spans="2:18" x14ac:dyDescent="0.2">
      <c r="B930" s="5"/>
      <c r="H930" s="5"/>
      <c r="J930" s="5"/>
      <c r="L930" s="5"/>
      <c r="N930" s="5"/>
      <c r="P930" s="5"/>
      <c r="R930" s="5"/>
    </row>
    <row r="931" spans="2:18" x14ac:dyDescent="0.2">
      <c r="B931" s="5"/>
      <c r="H931" s="5"/>
      <c r="J931" s="5"/>
      <c r="L931" s="5"/>
      <c r="N931" s="5"/>
      <c r="P931" s="5"/>
      <c r="R931" s="5"/>
    </row>
    <row r="932" spans="2:18" x14ac:dyDescent="0.2">
      <c r="B932" s="5"/>
      <c r="H932" s="5"/>
      <c r="J932" s="5"/>
      <c r="L932" s="5"/>
      <c r="N932" s="5"/>
      <c r="P932" s="5"/>
      <c r="R932" s="5"/>
    </row>
    <row r="933" spans="2:18" x14ac:dyDescent="0.2">
      <c r="B933" s="5"/>
      <c r="H933" s="5"/>
      <c r="J933" s="5"/>
      <c r="L933" s="5"/>
      <c r="N933" s="5"/>
      <c r="P933" s="5"/>
      <c r="R933" s="5"/>
    </row>
    <row r="934" spans="2:18" x14ac:dyDescent="0.2">
      <c r="B934" s="5"/>
      <c r="H934" s="5"/>
      <c r="J934" s="5"/>
      <c r="L934" s="5"/>
      <c r="N934" s="5"/>
      <c r="P934" s="5"/>
      <c r="R934" s="5"/>
    </row>
    <row r="935" spans="2:18" x14ac:dyDescent="0.2">
      <c r="B935" s="5"/>
      <c r="H935" s="5"/>
      <c r="J935" s="5"/>
      <c r="L935" s="5"/>
      <c r="N935" s="5"/>
      <c r="P935" s="5"/>
      <c r="R935" s="5"/>
    </row>
    <row r="936" spans="2:18" x14ac:dyDescent="0.2">
      <c r="B936" s="5"/>
      <c r="H936" s="5"/>
      <c r="J936" s="5"/>
      <c r="L936" s="5"/>
      <c r="N936" s="5"/>
      <c r="P936" s="5"/>
      <c r="R936" s="5"/>
    </row>
    <row r="937" spans="2:18" x14ac:dyDescent="0.2">
      <c r="B937" s="5"/>
      <c r="H937" s="5"/>
      <c r="J937" s="5"/>
      <c r="L937" s="5"/>
      <c r="N937" s="5"/>
      <c r="P937" s="5"/>
      <c r="R937" s="5"/>
    </row>
    <row r="938" spans="2:18" x14ac:dyDescent="0.2">
      <c r="B938" s="5"/>
      <c r="H938" s="5"/>
      <c r="J938" s="5"/>
      <c r="L938" s="5"/>
      <c r="N938" s="5"/>
      <c r="P938" s="5"/>
      <c r="R938" s="5"/>
    </row>
    <row r="939" spans="2:18" x14ac:dyDescent="0.2">
      <c r="B939" s="5"/>
      <c r="H939" s="5"/>
      <c r="J939" s="5"/>
      <c r="L939" s="5"/>
      <c r="N939" s="5"/>
      <c r="P939" s="5"/>
      <c r="R939" s="5"/>
    </row>
    <row r="940" spans="2:18" x14ac:dyDescent="0.2">
      <c r="B940" s="5"/>
      <c r="H940" s="5"/>
      <c r="J940" s="5"/>
      <c r="L940" s="5"/>
      <c r="N940" s="5"/>
      <c r="P940" s="5"/>
      <c r="R940" s="5"/>
    </row>
    <row r="941" spans="2:18" x14ac:dyDescent="0.2">
      <c r="B941" s="5"/>
      <c r="H941" s="5"/>
      <c r="J941" s="5"/>
      <c r="L941" s="5"/>
      <c r="N941" s="5"/>
      <c r="P941" s="5"/>
      <c r="R941" s="5"/>
    </row>
    <row r="942" spans="2:18" x14ac:dyDescent="0.2">
      <c r="B942" s="5"/>
      <c r="H942" s="5"/>
      <c r="J942" s="5"/>
      <c r="L942" s="5"/>
      <c r="N942" s="5"/>
      <c r="P942" s="5"/>
      <c r="R942" s="5"/>
    </row>
    <row r="943" spans="2:18" x14ac:dyDescent="0.2">
      <c r="B943" s="5"/>
      <c r="H943" s="5"/>
      <c r="J943" s="5"/>
      <c r="L943" s="5"/>
      <c r="N943" s="5"/>
      <c r="P943" s="5"/>
      <c r="R943" s="5"/>
    </row>
    <row r="944" spans="2:18" x14ac:dyDescent="0.2">
      <c r="B944" s="5"/>
      <c r="H944" s="5"/>
      <c r="J944" s="5"/>
      <c r="L944" s="5"/>
      <c r="N944" s="5"/>
      <c r="P944" s="5"/>
      <c r="R944" s="5"/>
    </row>
    <row r="945" spans="2:18" x14ac:dyDescent="0.2">
      <c r="B945" s="5"/>
      <c r="H945" s="5"/>
      <c r="J945" s="5"/>
      <c r="L945" s="5"/>
      <c r="N945" s="5"/>
      <c r="P945" s="5"/>
      <c r="R945" s="5"/>
    </row>
    <row r="946" spans="2:18" x14ac:dyDescent="0.2">
      <c r="B946" s="5"/>
      <c r="H946" s="5"/>
      <c r="J946" s="5"/>
      <c r="L946" s="5"/>
      <c r="N946" s="5"/>
      <c r="P946" s="5"/>
      <c r="R946" s="5"/>
    </row>
    <row r="947" spans="2:18" x14ac:dyDescent="0.2">
      <c r="B947" s="5"/>
      <c r="H947" s="5"/>
      <c r="J947" s="5"/>
      <c r="L947" s="5"/>
      <c r="N947" s="5"/>
      <c r="P947" s="5"/>
      <c r="R947" s="5"/>
    </row>
    <row r="948" spans="2:18" x14ac:dyDescent="0.2">
      <c r="B948" s="5"/>
      <c r="H948" s="5"/>
      <c r="J948" s="5"/>
      <c r="L948" s="5"/>
      <c r="N948" s="5"/>
      <c r="P948" s="5"/>
      <c r="R948" s="5"/>
    </row>
    <row r="949" spans="2:18" x14ac:dyDescent="0.2">
      <c r="B949" s="5"/>
      <c r="H949" s="5"/>
      <c r="J949" s="5"/>
      <c r="L949" s="5"/>
      <c r="N949" s="5"/>
      <c r="P949" s="5"/>
      <c r="R949" s="5"/>
    </row>
    <row r="950" spans="2:18" x14ac:dyDescent="0.2">
      <c r="B950" s="5"/>
      <c r="H950" s="5"/>
      <c r="J950" s="5"/>
      <c r="L950" s="5"/>
      <c r="N950" s="5"/>
      <c r="P950" s="5"/>
      <c r="R950" s="5"/>
    </row>
    <row r="951" spans="2:18" x14ac:dyDescent="0.2">
      <c r="B951" s="5"/>
      <c r="H951" s="5"/>
      <c r="J951" s="5"/>
      <c r="L951" s="5"/>
      <c r="N951" s="5"/>
      <c r="P951" s="5"/>
      <c r="R951" s="5"/>
    </row>
    <row r="952" spans="2:18" x14ac:dyDescent="0.2">
      <c r="B952" s="5"/>
      <c r="H952" s="5"/>
      <c r="J952" s="5"/>
      <c r="L952" s="5"/>
      <c r="N952" s="5"/>
      <c r="P952" s="5"/>
      <c r="R952" s="5"/>
    </row>
    <row r="953" spans="2:18" x14ac:dyDescent="0.2">
      <c r="B953" s="5"/>
      <c r="H953" s="5"/>
      <c r="J953" s="5"/>
      <c r="L953" s="5"/>
      <c r="N953" s="5"/>
      <c r="P953" s="5"/>
      <c r="R953" s="5"/>
    </row>
    <row r="954" spans="2:18" x14ac:dyDescent="0.2">
      <c r="B954" s="5"/>
      <c r="H954" s="5"/>
      <c r="J954" s="5"/>
      <c r="L954" s="5"/>
      <c r="N954" s="5"/>
      <c r="P954" s="5"/>
      <c r="R954" s="5"/>
    </row>
    <row r="955" spans="2:18" x14ac:dyDescent="0.2">
      <c r="B955" s="5"/>
      <c r="H955" s="5"/>
      <c r="J955" s="5"/>
      <c r="L955" s="5"/>
      <c r="N955" s="5"/>
      <c r="P955" s="5"/>
      <c r="R955" s="5"/>
    </row>
    <row r="956" spans="2:18" x14ac:dyDescent="0.2">
      <c r="B956" s="5"/>
      <c r="H956" s="5"/>
      <c r="J956" s="5"/>
      <c r="L956" s="5"/>
      <c r="N956" s="5"/>
      <c r="P956" s="5"/>
      <c r="R956" s="5"/>
    </row>
    <row r="957" spans="2:18" x14ac:dyDescent="0.2">
      <c r="B957" s="5"/>
      <c r="H957" s="5"/>
      <c r="J957" s="5"/>
      <c r="L957" s="5"/>
      <c r="N957" s="5"/>
      <c r="P957" s="5"/>
      <c r="R957" s="5"/>
    </row>
    <row r="958" spans="2:18" x14ac:dyDescent="0.2">
      <c r="B958" s="5"/>
      <c r="H958" s="5"/>
      <c r="J958" s="5"/>
      <c r="L958" s="5"/>
      <c r="N958" s="5"/>
      <c r="P958" s="5"/>
      <c r="R958" s="5"/>
    </row>
    <row r="959" spans="2:18" x14ac:dyDescent="0.2">
      <c r="B959" s="5"/>
      <c r="H959" s="5"/>
      <c r="J959" s="5"/>
      <c r="L959" s="5"/>
      <c r="N959" s="5"/>
      <c r="P959" s="5"/>
      <c r="R959" s="5"/>
    </row>
    <row r="960" spans="2:18" x14ac:dyDescent="0.2">
      <c r="B960" s="5"/>
      <c r="H960" s="5"/>
      <c r="J960" s="5"/>
      <c r="L960" s="5"/>
      <c r="N960" s="5"/>
      <c r="P960" s="5"/>
      <c r="R960" s="5"/>
    </row>
    <row r="961" spans="2:18" x14ac:dyDescent="0.2">
      <c r="B961" s="5"/>
      <c r="H961" s="5"/>
      <c r="J961" s="5"/>
      <c r="L961" s="5"/>
      <c r="N961" s="5"/>
      <c r="P961" s="5"/>
      <c r="R961" s="5"/>
    </row>
    <row r="962" spans="2:18" x14ac:dyDescent="0.2">
      <c r="B962" s="5"/>
      <c r="H962" s="5"/>
      <c r="J962" s="5"/>
      <c r="L962" s="5"/>
      <c r="N962" s="5"/>
      <c r="P962" s="5"/>
      <c r="R962" s="5"/>
    </row>
    <row r="963" spans="2:18" x14ac:dyDescent="0.2">
      <c r="B963" s="5"/>
      <c r="H963" s="5"/>
      <c r="J963" s="5"/>
      <c r="L963" s="5"/>
      <c r="N963" s="5"/>
      <c r="P963" s="5"/>
      <c r="R963" s="5"/>
    </row>
    <row r="964" spans="2:18" x14ac:dyDescent="0.2">
      <c r="B964" s="5"/>
      <c r="H964" s="5"/>
      <c r="J964" s="5"/>
      <c r="L964" s="5"/>
      <c r="N964" s="5"/>
      <c r="P964" s="5"/>
      <c r="R964" s="5"/>
    </row>
    <row r="965" spans="2:18" x14ac:dyDescent="0.2">
      <c r="B965" s="5"/>
      <c r="H965" s="5"/>
      <c r="J965" s="5"/>
      <c r="L965" s="5"/>
      <c r="N965" s="5"/>
      <c r="P965" s="5"/>
      <c r="R965" s="5"/>
    </row>
    <row r="966" spans="2:18" x14ac:dyDescent="0.2">
      <c r="B966" s="5"/>
      <c r="H966" s="5"/>
      <c r="J966" s="5"/>
      <c r="L966" s="5"/>
      <c r="N966" s="5"/>
      <c r="P966" s="5"/>
      <c r="R966" s="5"/>
    </row>
    <row r="967" spans="2:18" x14ac:dyDescent="0.2">
      <c r="B967" s="5"/>
      <c r="H967" s="5"/>
      <c r="J967" s="5"/>
      <c r="L967" s="5"/>
      <c r="N967" s="5"/>
      <c r="P967" s="5"/>
      <c r="R967" s="5"/>
    </row>
    <row r="968" spans="2:18" x14ac:dyDescent="0.2">
      <c r="B968" s="5"/>
      <c r="H968" s="5"/>
      <c r="J968" s="5"/>
      <c r="L968" s="5"/>
      <c r="N968" s="5"/>
      <c r="P968" s="5"/>
      <c r="R968" s="5"/>
    </row>
    <row r="969" spans="2:18" x14ac:dyDescent="0.2">
      <c r="B969" s="5"/>
      <c r="H969" s="5"/>
      <c r="J969" s="5"/>
      <c r="L969" s="5"/>
      <c r="N969" s="5"/>
      <c r="P969" s="5"/>
      <c r="R969" s="5"/>
    </row>
    <row r="970" spans="2:18" x14ac:dyDescent="0.2">
      <c r="B970" s="5"/>
      <c r="H970" s="5"/>
      <c r="J970" s="5"/>
      <c r="L970" s="5"/>
      <c r="N970" s="5"/>
      <c r="P970" s="5"/>
      <c r="R970" s="5"/>
    </row>
    <row r="971" spans="2:18" x14ac:dyDescent="0.2">
      <c r="B971" s="5"/>
      <c r="H971" s="5"/>
      <c r="J971" s="5"/>
      <c r="L971" s="5"/>
      <c r="N971" s="5"/>
      <c r="P971" s="5"/>
      <c r="R971" s="5"/>
    </row>
    <row r="972" spans="2:18" x14ac:dyDescent="0.2">
      <c r="B972" s="5"/>
      <c r="H972" s="5"/>
      <c r="J972" s="5"/>
      <c r="L972" s="5"/>
      <c r="N972" s="5"/>
      <c r="P972" s="5"/>
      <c r="R972" s="5"/>
    </row>
    <row r="973" spans="2:18" x14ac:dyDescent="0.2">
      <c r="B973" s="5"/>
      <c r="H973" s="5"/>
      <c r="J973" s="5"/>
      <c r="L973" s="5"/>
      <c r="N973" s="5"/>
      <c r="P973" s="5"/>
      <c r="R973" s="5"/>
    </row>
    <row r="974" spans="2:18" x14ac:dyDescent="0.2">
      <c r="B974" s="5"/>
      <c r="H974" s="5"/>
      <c r="J974" s="5"/>
      <c r="L974" s="5"/>
      <c r="N974" s="5"/>
      <c r="P974" s="5"/>
      <c r="R974" s="5"/>
    </row>
    <row r="975" spans="2:18" x14ac:dyDescent="0.2">
      <c r="B975" s="5"/>
      <c r="H975" s="5"/>
      <c r="J975" s="5"/>
      <c r="L975" s="5"/>
      <c r="N975" s="5"/>
      <c r="P975" s="5"/>
      <c r="R975" s="5"/>
    </row>
    <row r="976" spans="2:18" x14ac:dyDescent="0.2">
      <c r="B976" s="5"/>
      <c r="H976" s="5"/>
      <c r="J976" s="5"/>
      <c r="L976" s="5"/>
      <c r="N976" s="5"/>
      <c r="P976" s="5"/>
      <c r="R976" s="5"/>
    </row>
    <row r="977" spans="2:18" x14ac:dyDescent="0.2">
      <c r="B977" s="5"/>
      <c r="H977" s="5"/>
      <c r="J977" s="5"/>
      <c r="L977" s="5"/>
      <c r="N977" s="5"/>
      <c r="P977" s="5"/>
      <c r="R977" s="5"/>
    </row>
    <row r="978" spans="2:18" x14ac:dyDescent="0.2">
      <c r="B978" s="5"/>
      <c r="H978" s="5"/>
      <c r="J978" s="5"/>
      <c r="L978" s="5"/>
      <c r="N978" s="5"/>
      <c r="P978" s="5"/>
      <c r="R978" s="5"/>
    </row>
    <row r="979" spans="2:18" x14ac:dyDescent="0.2">
      <c r="B979" s="5"/>
      <c r="H979" s="5"/>
      <c r="J979" s="5"/>
      <c r="L979" s="5"/>
      <c r="N979" s="5"/>
      <c r="P979" s="5"/>
      <c r="R979" s="5"/>
    </row>
    <row r="980" spans="2:18" x14ac:dyDescent="0.2">
      <c r="B980" s="5"/>
      <c r="H980" s="5"/>
      <c r="J980" s="5"/>
      <c r="L980" s="5"/>
      <c r="N980" s="5"/>
      <c r="P980" s="5"/>
      <c r="R980" s="5"/>
    </row>
    <row r="981" spans="2:18" x14ac:dyDescent="0.2">
      <c r="B981" s="5"/>
      <c r="H981" s="5"/>
      <c r="J981" s="5"/>
      <c r="L981" s="5"/>
      <c r="N981" s="5"/>
      <c r="P981" s="5"/>
      <c r="R981" s="5"/>
    </row>
    <row r="982" spans="2:18" x14ac:dyDescent="0.2">
      <c r="B982" s="5"/>
      <c r="H982" s="5"/>
      <c r="J982" s="5"/>
      <c r="L982" s="5"/>
      <c r="N982" s="5"/>
      <c r="P982" s="5"/>
      <c r="R982" s="5"/>
    </row>
    <row r="983" spans="2:18" x14ac:dyDescent="0.2">
      <c r="B983" s="5"/>
      <c r="H983" s="5"/>
      <c r="J983" s="5"/>
      <c r="L983" s="5"/>
      <c r="N983" s="5"/>
      <c r="P983" s="5"/>
      <c r="R983" s="5"/>
    </row>
    <row r="984" spans="2:18" x14ac:dyDescent="0.2">
      <c r="B984" s="5"/>
      <c r="H984" s="5"/>
      <c r="J984" s="5"/>
      <c r="L984" s="5"/>
      <c r="N984" s="5"/>
      <c r="P984" s="5"/>
      <c r="R984" s="5"/>
    </row>
    <row r="985" spans="2:18" x14ac:dyDescent="0.2">
      <c r="B985" s="5"/>
      <c r="H985" s="5"/>
      <c r="J985" s="5"/>
      <c r="L985" s="5"/>
      <c r="N985" s="5"/>
      <c r="P985" s="5"/>
      <c r="R985" s="5"/>
    </row>
    <row r="986" spans="2:18" x14ac:dyDescent="0.2">
      <c r="B986" s="5"/>
      <c r="H986" s="5"/>
      <c r="J986" s="5"/>
      <c r="L986" s="5"/>
      <c r="N986" s="5"/>
      <c r="P986" s="5"/>
      <c r="R986" s="5"/>
    </row>
    <row r="987" spans="2:18" x14ac:dyDescent="0.2">
      <c r="B987" s="5"/>
      <c r="H987" s="5"/>
      <c r="J987" s="5"/>
      <c r="L987" s="5"/>
      <c r="N987" s="5"/>
      <c r="P987" s="5"/>
      <c r="R987" s="5"/>
    </row>
    <row r="988" spans="2:18" x14ac:dyDescent="0.2">
      <c r="B988" s="5"/>
      <c r="H988" s="5"/>
      <c r="J988" s="5"/>
      <c r="L988" s="5"/>
      <c r="N988" s="5"/>
      <c r="P988" s="5"/>
      <c r="R988" s="5"/>
    </row>
    <row r="989" spans="2:18" x14ac:dyDescent="0.2">
      <c r="B989" s="5"/>
      <c r="H989" s="5"/>
      <c r="J989" s="5"/>
      <c r="L989" s="5"/>
      <c r="N989" s="5"/>
      <c r="P989" s="5"/>
      <c r="R989" s="5"/>
    </row>
    <row r="990" spans="2:18" x14ac:dyDescent="0.2">
      <c r="B990" s="5"/>
      <c r="H990" s="5"/>
      <c r="J990" s="5"/>
      <c r="L990" s="5"/>
      <c r="N990" s="5"/>
      <c r="P990" s="5"/>
      <c r="R990" s="5"/>
    </row>
    <row r="991" spans="2:18" x14ac:dyDescent="0.2">
      <c r="B991" s="5"/>
      <c r="H991" s="5"/>
      <c r="J991" s="5"/>
      <c r="L991" s="5"/>
      <c r="N991" s="5"/>
      <c r="P991" s="5"/>
      <c r="R991" s="5"/>
    </row>
    <row r="992" spans="2:18" x14ac:dyDescent="0.2">
      <c r="B992" s="5"/>
      <c r="H992" s="5"/>
      <c r="J992" s="5"/>
      <c r="L992" s="5"/>
      <c r="N992" s="5"/>
      <c r="P992" s="5"/>
      <c r="R992" s="5"/>
    </row>
    <row r="993" spans="2:18" x14ac:dyDescent="0.2">
      <c r="B993" s="5"/>
      <c r="H993" s="5"/>
      <c r="J993" s="5"/>
      <c r="L993" s="5"/>
      <c r="N993" s="5"/>
      <c r="P993" s="5"/>
      <c r="R993" s="5"/>
    </row>
    <row r="994" spans="2:18" x14ac:dyDescent="0.2">
      <c r="B994" s="5"/>
      <c r="H994" s="5"/>
      <c r="J994" s="5"/>
      <c r="L994" s="5"/>
      <c r="N994" s="5"/>
      <c r="P994" s="5"/>
      <c r="R994" s="5"/>
    </row>
    <row r="995" spans="2:18" x14ac:dyDescent="0.2">
      <c r="B995" s="5"/>
      <c r="H995" s="5"/>
      <c r="J995" s="5"/>
      <c r="L995" s="5"/>
      <c r="N995" s="5"/>
      <c r="P995" s="5"/>
      <c r="R995" s="5"/>
    </row>
    <row r="996" spans="2:18" x14ac:dyDescent="0.2">
      <c r="B996" s="5"/>
      <c r="H996" s="5"/>
      <c r="J996" s="5"/>
      <c r="L996" s="5"/>
      <c r="N996" s="5"/>
      <c r="P996" s="5"/>
      <c r="R996" s="5"/>
    </row>
    <row r="997" spans="2:18" x14ac:dyDescent="0.2">
      <c r="B997" s="5"/>
      <c r="H997" s="5"/>
      <c r="J997" s="5"/>
      <c r="L997" s="5"/>
      <c r="N997" s="5"/>
      <c r="P997" s="5"/>
      <c r="R997" s="5"/>
    </row>
    <row r="998" spans="2:18" x14ac:dyDescent="0.2">
      <c r="B998" s="5"/>
      <c r="H998" s="5"/>
      <c r="J998" s="5"/>
      <c r="L998" s="5"/>
      <c r="N998" s="5"/>
      <c r="P998" s="5"/>
      <c r="R998" s="5"/>
    </row>
    <row r="999" spans="2:18" x14ac:dyDescent="0.2">
      <c r="B999" s="5"/>
      <c r="H999" s="5"/>
      <c r="J999" s="5"/>
      <c r="L999" s="5"/>
      <c r="N999" s="5"/>
      <c r="P999" s="5"/>
      <c r="R999" s="5"/>
    </row>
    <row r="1000" spans="2:18" x14ac:dyDescent="0.2">
      <c r="B1000" s="5"/>
      <c r="H1000" s="5"/>
      <c r="J1000" s="5"/>
      <c r="L1000" s="5"/>
      <c r="N1000" s="5"/>
      <c r="P1000" s="5"/>
      <c r="R1000" s="5"/>
    </row>
    <row r="1001" spans="2:18" x14ac:dyDescent="0.2">
      <c r="B1001" s="5"/>
      <c r="H1001" s="5"/>
      <c r="J1001" s="5"/>
      <c r="L1001" s="5"/>
      <c r="N1001" s="5"/>
      <c r="P1001" s="5"/>
      <c r="R1001" s="5"/>
    </row>
    <row r="1002" spans="2:18" x14ac:dyDescent="0.2">
      <c r="B1002" s="5"/>
      <c r="H1002" s="5"/>
      <c r="J1002" s="5"/>
      <c r="L1002" s="5"/>
      <c r="N1002" s="5"/>
      <c r="P1002" s="5"/>
      <c r="R1002" s="5"/>
    </row>
    <row r="1003" spans="2:18" x14ac:dyDescent="0.2">
      <c r="C1003" s="115"/>
      <c r="D1003" s="115"/>
      <c r="E1003" s="115"/>
      <c r="F1003" s="115"/>
      <c r="G1003" s="115"/>
    </row>
    <row r="1004" spans="2:18" x14ac:dyDescent="0.2">
      <c r="B1004" s="115"/>
      <c r="C1004" s="115"/>
      <c r="D1004" s="115"/>
      <c r="E1004" s="115"/>
      <c r="F1004" s="115"/>
      <c r="G1004" s="115"/>
      <c r="H1004" s="115"/>
    </row>
    <row r="1005" spans="2:18" x14ac:dyDescent="0.2">
      <c r="B1005" s="115"/>
      <c r="C1005" s="115"/>
      <c r="D1005" s="116"/>
      <c r="E1005" s="115"/>
      <c r="F1005" s="116"/>
      <c r="G1005" s="115"/>
      <c r="H1005" s="115"/>
    </row>
    <row r="1006" spans="2:18" x14ac:dyDescent="0.2">
      <c r="B1006" s="115"/>
      <c r="C1006" s="115"/>
      <c r="D1006" s="115"/>
      <c r="E1006" s="115"/>
      <c r="F1006" s="115"/>
      <c r="G1006" s="115"/>
      <c r="H1006" s="115"/>
    </row>
    <row r="1007" spans="2:18" x14ac:dyDescent="0.2">
      <c r="B1007" s="115"/>
      <c r="C1007" s="115"/>
      <c r="D1007" s="115"/>
      <c r="E1007" s="115"/>
      <c r="F1007" s="115"/>
      <c r="G1007" s="115"/>
      <c r="H1007" s="115"/>
    </row>
    <row r="1008" spans="2:18" x14ac:dyDescent="0.2">
      <c r="B1008" s="115"/>
      <c r="C1008" s="115"/>
      <c r="D1008" s="115"/>
      <c r="E1008" s="115"/>
      <c r="F1008" s="115"/>
      <c r="G1008" s="115"/>
      <c r="H1008" s="115"/>
    </row>
    <row r="1009" spans="2:8" x14ac:dyDescent="0.2">
      <c r="B1009" s="115"/>
      <c r="C1009" s="115"/>
      <c r="D1009" s="115"/>
      <c r="E1009" s="115"/>
      <c r="F1009" s="115"/>
      <c r="G1009" s="115"/>
      <c r="H1009" s="115"/>
    </row>
    <row r="1010" spans="2:8" x14ac:dyDescent="0.2">
      <c r="B1010" s="115"/>
      <c r="C1010" s="115"/>
      <c r="D1010" s="115"/>
      <c r="E1010" s="115"/>
      <c r="F1010" s="115"/>
      <c r="G1010" s="115"/>
      <c r="H1010" s="115"/>
    </row>
    <row r="1011" spans="2:8" x14ac:dyDescent="0.2">
      <c r="B1011" s="115"/>
      <c r="C1011" s="115"/>
      <c r="D1011" s="115"/>
      <c r="E1011" s="115"/>
      <c r="F1011" s="115"/>
      <c r="G1011" s="115"/>
      <c r="H1011" s="115"/>
    </row>
    <row r="1012" spans="2:8" x14ac:dyDescent="0.2">
      <c r="B1012" s="115"/>
      <c r="C1012" s="115"/>
      <c r="D1012" s="115"/>
      <c r="E1012" s="115"/>
      <c r="F1012" s="115"/>
      <c r="G1012" s="115"/>
      <c r="H1012" s="115"/>
    </row>
    <row r="1013" spans="2:8" x14ac:dyDescent="0.2">
      <c r="B1013" s="115"/>
      <c r="C1013" s="115"/>
      <c r="D1013" s="115"/>
      <c r="E1013" s="115"/>
      <c r="F1013" s="115"/>
      <c r="G1013" s="115"/>
      <c r="H1013" s="115"/>
    </row>
    <row r="1014" spans="2:8" x14ac:dyDescent="0.2">
      <c r="B1014" s="115"/>
      <c r="C1014" s="115"/>
      <c r="D1014" s="115"/>
      <c r="E1014" s="115"/>
      <c r="F1014" s="115"/>
      <c r="G1014" s="115"/>
      <c r="H1014" s="115"/>
    </row>
    <row r="1015" spans="2:8" x14ac:dyDescent="0.2">
      <c r="B1015" s="115"/>
      <c r="C1015" s="115"/>
      <c r="D1015" s="115"/>
      <c r="E1015" s="115"/>
      <c r="F1015" s="115"/>
      <c r="G1015" s="115"/>
      <c r="H1015" s="115"/>
    </row>
    <row r="1016" spans="2:8" x14ac:dyDescent="0.2">
      <c r="B1016" s="115"/>
      <c r="C1016" s="115"/>
      <c r="D1016" s="115"/>
      <c r="E1016" s="115"/>
      <c r="F1016" s="115"/>
      <c r="G1016" s="115"/>
      <c r="H1016" s="115"/>
    </row>
    <row r="1017" spans="2:8" x14ac:dyDescent="0.2">
      <c r="B1017" s="115"/>
      <c r="C1017" s="115"/>
      <c r="D1017" s="115"/>
      <c r="E1017" s="115"/>
      <c r="F1017" s="115"/>
      <c r="G1017" s="115"/>
      <c r="H1017" s="115"/>
    </row>
    <row r="1018" spans="2:8" x14ac:dyDescent="0.2">
      <c r="B1018" s="115"/>
      <c r="C1018" s="115"/>
      <c r="D1018" s="115"/>
      <c r="E1018" s="115"/>
      <c r="F1018" s="115"/>
      <c r="G1018" s="115"/>
      <c r="H1018" s="115"/>
    </row>
  </sheetData>
  <dataConsolidate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X1002"/>
  <sheetViews>
    <sheetView zoomScaleNormal="100" workbookViewId="0">
      <selection sqref="A1:F1048576"/>
    </sheetView>
  </sheetViews>
  <sheetFormatPr baseColWidth="10" defaultColWidth="8.83203125" defaultRowHeight="15" x14ac:dyDescent="0.2"/>
  <cols>
    <col min="1" max="1" width="11.5" bestFit="1" customWidth="1"/>
    <col min="2" max="2" width="11.33203125" customWidth="1"/>
  </cols>
  <sheetData>
    <row r="1" spans="1:24" s="41" customFormat="1" x14ac:dyDescent="0.2">
      <c r="A1" s="41" t="s">
        <v>171</v>
      </c>
      <c r="H1" s="41" t="s">
        <v>176</v>
      </c>
      <c r="S1" s="41" t="s">
        <v>175</v>
      </c>
    </row>
    <row r="2" spans="1:24" s="41" customFormat="1" x14ac:dyDescent="0.2">
      <c r="A2" s="41" t="s">
        <v>174</v>
      </c>
      <c r="B2" s="41" t="s">
        <v>172</v>
      </c>
      <c r="C2" s="156" t="s">
        <v>143</v>
      </c>
      <c r="D2" s="156" t="s">
        <v>144</v>
      </c>
      <c r="E2" s="156" t="s">
        <v>145</v>
      </c>
      <c r="F2" s="156" t="s">
        <v>146</v>
      </c>
      <c r="H2" s="41" t="s">
        <v>177</v>
      </c>
    </row>
    <row r="3" spans="1:24" x14ac:dyDescent="0.2">
      <c r="B3" t="s">
        <v>173</v>
      </c>
      <c r="C3">
        <v>38.846912020945808</v>
      </c>
      <c r="D3">
        <v>24.844696157872011</v>
      </c>
      <c r="E3">
        <v>91.182984714546421</v>
      </c>
      <c r="F3">
        <v>39.965480089504851</v>
      </c>
      <c r="R3" t="s">
        <v>183</v>
      </c>
      <c r="S3" t="s">
        <v>178</v>
      </c>
      <c r="T3" t="s">
        <v>173</v>
      </c>
      <c r="U3" t="s">
        <v>179</v>
      </c>
      <c r="V3" t="s">
        <v>180</v>
      </c>
      <c r="W3" t="s">
        <v>181</v>
      </c>
      <c r="X3" t="s">
        <v>182</v>
      </c>
    </row>
    <row r="4" spans="1:24" x14ac:dyDescent="0.2">
      <c r="B4" t="s">
        <v>173</v>
      </c>
      <c r="C4">
        <v>16.347551443882956</v>
      </c>
      <c r="D4">
        <v>99.128166689510707</v>
      </c>
      <c r="E4">
        <v>74.626213280535225</v>
      </c>
      <c r="F4">
        <v>7.6995191885865886</v>
      </c>
      <c r="H4" t="s">
        <v>185</v>
      </c>
      <c r="R4">
        <v>1</v>
      </c>
      <c r="S4" s="156" t="s">
        <v>143</v>
      </c>
    </row>
    <row r="5" spans="1:24" x14ac:dyDescent="0.2">
      <c r="B5" t="s">
        <v>173</v>
      </c>
      <c r="C5">
        <v>140.72372932474613</v>
      </c>
      <c r="D5">
        <v>34.820629862690389</v>
      </c>
      <c r="E5">
        <v>190.03141684061089</v>
      </c>
      <c r="F5">
        <v>10.936173229643266</v>
      </c>
      <c r="R5">
        <v>1</v>
      </c>
      <c r="S5" s="156" t="s">
        <v>144</v>
      </c>
    </row>
    <row r="6" spans="1:24" x14ac:dyDescent="0.2">
      <c r="B6" t="s">
        <v>173</v>
      </c>
      <c r="C6">
        <v>22.77135021111884</v>
      </c>
      <c r="D6">
        <v>43.710440453295938</v>
      </c>
      <c r="E6">
        <v>35.551844450323394</v>
      </c>
      <c r="F6">
        <v>32.319922492104283</v>
      </c>
      <c r="R6">
        <v>1</v>
      </c>
      <c r="S6" s="156" t="s">
        <v>145</v>
      </c>
      <c r="V6" t="s">
        <v>184</v>
      </c>
    </row>
    <row r="7" spans="1:24" x14ac:dyDescent="0.2">
      <c r="B7" t="s">
        <v>173</v>
      </c>
      <c r="C7">
        <v>32.073058149443362</v>
      </c>
      <c r="D7">
        <v>48.003758690483032</v>
      </c>
      <c r="E7">
        <v>26.250136402218818</v>
      </c>
      <c r="F7">
        <v>37.023347819451374</v>
      </c>
      <c r="R7">
        <v>1</v>
      </c>
      <c r="S7" s="156" t="s">
        <v>146</v>
      </c>
    </row>
    <row r="8" spans="1:24" x14ac:dyDescent="0.2">
      <c r="B8" t="s">
        <v>173</v>
      </c>
      <c r="C8">
        <v>639.70103669549712</v>
      </c>
      <c r="D8">
        <v>39.474899749694636</v>
      </c>
      <c r="E8">
        <v>60.928920936280321</v>
      </c>
      <c r="F8">
        <v>9.0917184206493573</v>
      </c>
      <c r="R8">
        <f>R4+1</f>
        <v>2</v>
      </c>
      <c r="S8" s="156" t="s">
        <v>143</v>
      </c>
    </row>
    <row r="9" spans="1:24" x14ac:dyDescent="0.2">
      <c r="B9" t="s">
        <v>173</v>
      </c>
      <c r="C9">
        <v>90.327885757920825</v>
      </c>
      <c r="D9">
        <v>40.03298014776184</v>
      </c>
      <c r="E9">
        <v>45.87287337676046</v>
      </c>
      <c r="F9">
        <v>7.4516162268882979</v>
      </c>
      <c r="R9">
        <f t="shared" ref="R9:R31" si="0">R5+1</f>
        <v>2</v>
      </c>
      <c r="S9" s="156" t="s">
        <v>144</v>
      </c>
    </row>
    <row r="10" spans="1:24" x14ac:dyDescent="0.2">
      <c r="B10" t="s">
        <v>173</v>
      </c>
      <c r="C10">
        <v>101.35097274218867</v>
      </c>
      <c r="D10">
        <v>34.334432512935557</v>
      </c>
      <c r="E10">
        <v>4.7769359484058427</v>
      </c>
      <c r="F10">
        <v>4.7026628946936526</v>
      </c>
      <c r="R10">
        <f t="shared" si="0"/>
        <v>2</v>
      </c>
      <c r="S10" s="156" t="s">
        <v>145</v>
      </c>
    </row>
    <row r="11" spans="1:24" x14ac:dyDescent="0.2">
      <c r="B11" t="s">
        <v>173</v>
      </c>
      <c r="C11">
        <v>26.495558107374553</v>
      </c>
      <c r="D11">
        <v>133.76475769633225</v>
      </c>
      <c r="E11">
        <v>14.390990553884516</v>
      </c>
      <c r="F11">
        <v>17.601505619013409</v>
      </c>
      <c r="R11">
        <f t="shared" si="0"/>
        <v>2</v>
      </c>
      <c r="S11" s="156" t="s">
        <v>146</v>
      </c>
    </row>
    <row r="12" spans="1:24" x14ac:dyDescent="0.2">
      <c r="B12" t="s">
        <v>173</v>
      </c>
      <c r="C12">
        <v>128.13130708377918</v>
      </c>
      <c r="D12">
        <v>10.314386247240654</v>
      </c>
      <c r="E12">
        <v>61.516343870057035</v>
      </c>
      <c r="F12">
        <v>94.357758955966801</v>
      </c>
      <c r="R12">
        <f t="shared" si="0"/>
        <v>3</v>
      </c>
      <c r="S12" s="156" t="s">
        <v>143</v>
      </c>
    </row>
    <row r="13" spans="1:24" x14ac:dyDescent="0.2">
      <c r="B13" t="s">
        <v>173</v>
      </c>
      <c r="C13">
        <v>32.286516758236296</v>
      </c>
      <c r="D13">
        <v>25.442063008644809</v>
      </c>
      <c r="E13">
        <v>20.451068963485213</v>
      </c>
      <c r="F13">
        <v>17.694502446298856</v>
      </c>
      <c r="R13">
        <f t="shared" si="0"/>
        <v>3</v>
      </c>
      <c r="S13" s="156" t="s">
        <v>144</v>
      </c>
    </row>
    <row r="14" spans="1:24" x14ac:dyDescent="0.2">
      <c r="B14" t="s">
        <v>173</v>
      </c>
      <c r="C14">
        <v>88.549595891609059</v>
      </c>
      <c r="D14">
        <v>111.3328774944148</v>
      </c>
      <c r="E14">
        <v>81.968492097368255</v>
      </c>
      <c r="F14">
        <v>31.49084562039252</v>
      </c>
      <c r="R14">
        <f t="shared" si="0"/>
        <v>3</v>
      </c>
      <c r="S14" s="156" t="s">
        <v>145</v>
      </c>
    </row>
    <row r="15" spans="1:24" x14ac:dyDescent="0.2">
      <c r="B15" t="s">
        <v>173</v>
      </c>
      <c r="C15">
        <v>107.72601326433178</v>
      </c>
      <c r="D15">
        <v>15.429324968630466</v>
      </c>
      <c r="E15">
        <v>174.75744967481117</v>
      </c>
      <c r="F15">
        <v>13.32428449685829</v>
      </c>
      <c r="R15">
        <f t="shared" si="0"/>
        <v>3</v>
      </c>
      <c r="S15" s="156" t="s">
        <v>146</v>
      </c>
    </row>
    <row r="16" spans="1:24" x14ac:dyDescent="0.2">
      <c r="B16" t="s">
        <v>173</v>
      </c>
      <c r="C16">
        <v>19.562834747773564</v>
      </c>
      <c r="D16">
        <v>68.768108861477032</v>
      </c>
      <c r="E16">
        <v>342.30397120699632</v>
      </c>
      <c r="F16">
        <v>14.595406949557365</v>
      </c>
      <c r="R16">
        <f t="shared" si="0"/>
        <v>4</v>
      </c>
      <c r="S16" s="156" t="s">
        <v>143</v>
      </c>
    </row>
    <row r="17" spans="2:19" x14ac:dyDescent="0.2">
      <c r="B17" t="s">
        <v>173</v>
      </c>
      <c r="C17">
        <v>20.477273617958733</v>
      </c>
      <c r="D17">
        <v>12.294725700783749</v>
      </c>
      <c r="E17">
        <v>13.37145372698774</v>
      </c>
      <c r="F17">
        <v>4.4407836220049646</v>
      </c>
      <c r="R17">
        <f t="shared" si="0"/>
        <v>4</v>
      </c>
      <c r="S17" s="156" t="s">
        <v>144</v>
      </c>
    </row>
    <row r="18" spans="2:19" x14ac:dyDescent="0.2">
      <c r="B18" t="s">
        <v>173</v>
      </c>
      <c r="C18">
        <v>78.857945441420839</v>
      </c>
      <c r="D18">
        <v>7.5863463526950818</v>
      </c>
      <c r="E18">
        <v>201.1640345867973</v>
      </c>
      <c r="F18">
        <v>1.6354473013355033</v>
      </c>
      <c r="R18">
        <f t="shared" si="0"/>
        <v>4</v>
      </c>
      <c r="S18" s="156" t="s">
        <v>145</v>
      </c>
    </row>
    <row r="19" spans="2:19" x14ac:dyDescent="0.2">
      <c r="B19" t="s">
        <v>173</v>
      </c>
      <c r="C19">
        <v>147.79815321424596</v>
      </c>
      <c r="D19">
        <v>32.727841194432052</v>
      </c>
      <c r="E19">
        <v>8.4929754569000959</v>
      </c>
      <c r="F19">
        <v>14.7723665102179</v>
      </c>
      <c r="R19">
        <f t="shared" si="0"/>
        <v>4</v>
      </c>
      <c r="S19" s="156" t="s">
        <v>146</v>
      </c>
    </row>
    <row r="20" spans="2:19" x14ac:dyDescent="0.2">
      <c r="B20" t="s">
        <v>173</v>
      </c>
      <c r="C20">
        <v>51.972790643226389</v>
      </c>
      <c r="D20">
        <v>49.076462084873341</v>
      </c>
      <c r="E20">
        <v>117.63573857503316</v>
      </c>
      <c r="F20">
        <v>1.8696463506393677</v>
      </c>
      <c r="R20">
        <f>R16+1</f>
        <v>5</v>
      </c>
      <c r="S20" s="156" t="s">
        <v>143</v>
      </c>
    </row>
    <row r="21" spans="2:19" x14ac:dyDescent="0.2">
      <c r="B21" t="s">
        <v>173</v>
      </c>
      <c r="C21">
        <v>65.984169323554255</v>
      </c>
      <c r="D21">
        <v>31.10323444485886</v>
      </c>
      <c r="E21">
        <v>63.986496764679472</v>
      </c>
      <c r="F21">
        <v>3.3481520119490824</v>
      </c>
      <c r="R21">
        <f t="shared" si="0"/>
        <v>5</v>
      </c>
      <c r="S21" s="156" t="s">
        <v>144</v>
      </c>
    </row>
    <row r="22" spans="2:19" x14ac:dyDescent="0.2">
      <c r="B22" t="s">
        <v>173</v>
      </c>
      <c r="C22">
        <v>184.59047184524098</v>
      </c>
      <c r="D22">
        <v>38.971298294273254</v>
      </c>
      <c r="E22">
        <v>101.21783606866531</v>
      </c>
      <c r="F22">
        <v>18.308283315705808</v>
      </c>
      <c r="R22">
        <f t="shared" si="0"/>
        <v>5</v>
      </c>
      <c r="S22" s="156" t="s">
        <v>145</v>
      </c>
    </row>
    <row r="23" spans="2:19" x14ac:dyDescent="0.2">
      <c r="B23" t="s">
        <v>173</v>
      </c>
      <c r="C23">
        <v>26.865736593497871</v>
      </c>
      <c r="D23">
        <v>78.372002428431102</v>
      </c>
      <c r="E23">
        <v>79.171028049380553</v>
      </c>
      <c r="F23">
        <v>4.6162799904937728</v>
      </c>
      <c r="R23">
        <f t="shared" si="0"/>
        <v>5</v>
      </c>
      <c r="S23" s="156" t="s">
        <v>146</v>
      </c>
    </row>
    <row r="24" spans="2:19" x14ac:dyDescent="0.2">
      <c r="B24" t="s">
        <v>173</v>
      </c>
      <c r="C24">
        <v>205.82669480756127</v>
      </c>
      <c r="D24">
        <v>67.149789156797596</v>
      </c>
      <c r="E24">
        <v>63.057258304712704</v>
      </c>
      <c r="F24">
        <v>12.953368879833064</v>
      </c>
      <c r="R24">
        <f t="shared" si="0"/>
        <v>6</v>
      </c>
      <c r="S24" s="156" t="s">
        <v>143</v>
      </c>
    </row>
    <row r="25" spans="2:19" x14ac:dyDescent="0.2">
      <c r="B25" t="s">
        <v>173</v>
      </c>
      <c r="C25">
        <v>74.23153159089911</v>
      </c>
      <c r="D25">
        <v>16.59146229890813</v>
      </c>
      <c r="E25">
        <v>30.46269218432791</v>
      </c>
      <c r="F25">
        <v>9.2591077457816269</v>
      </c>
      <c r="R25">
        <f t="shared" si="0"/>
        <v>6</v>
      </c>
      <c r="S25" s="156" t="s">
        <v>144</v>
      </c>
    </row>
    <row r="26" spans="2:19" x14ac:dyDescent="0.2">
      <c r="B26" t="s">
        <v>173</v>
      </c>
      <c r="C26">
        <v>66.101714137471873</v>
      </c>
      <c r="D26">
        <v>43.946664146317822</v>
      </c>
      <c r="E26">
        <v>71.014057341003564</v>
      </c>
      <c r="F26">
        <v>11.517432839968649</v>
      </c>
      <c r="H26" t="s">
        <v>186</v>
      </c>
      <c r="R26">
        <f t="shared" si="0"/>
        <v>6</v>
      </c>
      <c r="S26" s="156" t="s">
        <v>145</v>
      </c>
    </row>
    <row r="27" spans="2:19" x14ac:dyDescent="0.2">
      <c r="B27" t="s">
        <v>173</v>
      </c>
      <c r="C27">
        <v>2.5257504724700799</v>
      </c>
      <c r="D27">
        <v>24.47217168354263</v>
      </c>
      <c r="E27">
        <v>55.814205645049732</v>
      </c>
      <c r="F27">
        <v>14.367461257232755</v>
      </c>
      <c r="R27">
        <f t="shared" si="0"/>
        <v>6</v>
      </c>
      <c r="S27" s="156" t="s">
        <v>146</v>
      </c>
    </row>
    <row r="28" spans="2:19" x14ac:dyDescent="0.2">
      <c r="B28" t="s">
        <v>173</v>
      </c>
      <c r="C28">
        <v>7.2874962226913516</v>
      </c>
      <c r="D28">
        <v>19.98925730995207</v>
      </c>
      <c r="E28">
        <v>36.83059555510966</v>
      </c>
      <c r="F28">
        <v>5.4878396689872702</v>
      </c>
      <c r="R28">
        <f t="shared" si="0"/>
        <v>7</v>
      </c>
      <c r="S28" s="156" t="s">
        <v>143</v>
      </c>
    </row>
    <row r="29" spans="2:19" x14ac:dyDescent="0.2">
      <c r="B29" t="s">
        <v>173</v>
      </c>
      <c r="C29">
        <v>32.595571590031554</v>
      </c>
      <c r="D29">
        <v>109.44515710142086</v>
      </c>
      <c r="E29">
        <v>8.1014611572557733</v>
      </c>
      <c r="F29">
        <v>14.103298613992976</v>
      </c>
      <c r="R29">
        <f t="shared" si="0"/>
        <v>7</v>
      </c>
      <c r="S29" s="156" t="s">
        <v>144</v>
      </c>
    </row>
    <row r="30" spans="2:19" x14ac:dyDescent="0.2">
      <c r="B30" t="s">
        <v>173</v>
      </c>
      <c r="C30">
        <v>70.026389300332326</v>
      </c>
      <c r="D30">
        <v>63.836911844889947</v>
      </c>
      <c r="E30">
        <v>13.765715104146048</v>
      </c>
      <c r="F30">
        <v>4.2746924516598863</v>
      </c>
      <c r="R30">
        <f t="shared" si="0"/>
        <v>7</v>
      </c>
      <c r="S30" s="156" t="s">
        <v>145</v>
      </c>
    </row>
    <row r="31" spans="2:19" x14ac:dyDescent="0.2">
      <c r="B31" t="s">
        <v>173</v>
      </c>
      <c r="C31">
        <v>10.383214282264362</v>
      </c>
      <c r="D31">
        <v>114.99121992177312</v>
      </c>
      <c r="E31">
        <v>57.708982029134589</v>
      </c>
      <c r="F31">
        <v>28.458229914244541</v>
      </c>
      <c r="R31">
        <f t="shared" si="0"/>
        <v>7</v>
      </c>
      <c r="S31" s="156" t="s">
        <v>146</v>
      </c>
    </row>
    <row r="32" spans="2:19" x14ac:dyDescent="0.2">
      <c r="B32" t="s">
        <v>173</v>
      </c>
      <c r="C32">
        <v>94.005903725327599</v>
      </c>
      <c r="D32">
        <v>72.219563265442716</v>
      </c>
      <c r="E32">
        <v>107.41611423742185</v>
      </c>
      <c r="F32">
        <v>6.8059433079397493</v>
      </c>
    </row>
    <row r="33" spans="2:6" x14ac:dyDescent="0.2">
      <c r="B33" t="s">
        <v>173</v>
      </c>
      <c r="C33">
        <v>18.752255932303115</v>
      </c>
      <c r="D33">
        <v>13.69247662537297</v>
      </c>
      <c r="E33">
        <v>47.703137273305586</v>
      </c>
      <c r="F33">
        <v>21.17341023347177</v>
      </c>
    </row>
    <row r="34" spans="2:6" x14ac:dyDescent="0.2">
      <c r="B34" t="s">
        <v>173</v>
      </c>
      <c r="C34">
        <v>25.135767250226795</v>
      </c>
      <c r="D34">
        <v>89.733411311566712</v>
      </c>
      <c r="E34">
        <v>53.564544408270486</v>
      </c>
      <c r="F34">
        <v>23.979377330737265</v>
      </c>
    </row>
    <row r="35" spans="2:6" x14ac:dyDescent="0.2">
      <c r="B35" t="s">
        <v>173</v>
      </c>
      <c r="C35">
        <v>118.61641652853611</v>
      </c>
      <c r="D35">
        <v>60.269666874847239</v>
      </c>
      <c r="E35">
        <v>57.882739105417933</v>
      </c>
      <c r="F35">
        <v>18.536331066801381</v>
      </c>
    </row>
    <row r="36" spans="2:6" x14ac:dyDescent="0.2">
      <c r="B36" t="s">
        <v>173</v>
      </c>
      <c r="C36">
        <v>19.298604615783123</v>
      </c>
      <c r="D36">
        <v>14.699390917284012</v>
      </c>
      <c r="E36">
        <v>25.129277125661339</v>
      </c>
      <c r="F36">
        <v>14.996932588224325</v>
      </c>
    </row>
    <row r="37" spans="2:6" x14ac:dyDescent="0.2">
      <c r="B37" t="s">
        <v>173</v>
      </c>
      <c r="C37">
        <v>496.49321819115619</v>
      </c>
      <c r="D37">
        <v>1.2005633867041332</v>
      </c>
      <c r="E37">
        <v>81.100857783753156</v>
      </c>
      <c r="F37">
        <v>68.696761264916944</v>
      </c>
    </row>
    <row r="38" spans="2:6" x14ac:dyDescent="0.2">
      <c r="B38" t="s">
        <v>173</v>
      </c>
      <c r="C38">
        <v>11.541274318768373</v>
      </c>
      <c r="D38">
        <v>54.268475178528107</v>
      </c>
      <c r="E38">
        <v>29.78601595204789</v>
      </c>
      <c r="F38">
        <v>18.054036537475412</v>
      </c>
    </row>
    <row r="39" spans="2:6" x14ac:dyDescent="0.2">
      <c r="B39" t="s">
        <v>173</v>
      </c>
      <c r="C39">
        <v>62.434854971782286</v>
      </c>
      <c r="D39">
        <v>28.409707840170114</v>
      </c>
      <c r="E39">
        <v>82.365550563710229</v>
      </c>
      <c r="F39">
        <v>8.0086163030142501</v>
      </c>
    </row>
    <row r="40" spans="2:6" x14ac:dyDescent="0.2">
      <c r="B40" t="s">
        <v>173</v>
      </c>
      <c r="C40">
        <v>132.35166135796177</v>
      </c>
      <c r="D40">
        <v>10.778549566561994</v>
      </c>
      <c r="E40">
        <v>58.574637879791588</v>
      </c>
      <c r="F40">
        <v>21.31639129930501</v>
      </c>
    </row>
    <row r="41" spans="2:6" x14ac:dyDescent="0.2">
      <c r="B41" t="s">
        <v>173</v>
      </c>
      <c r="C41">
        <v>64.823030798654671</v>
      </c>
      <c r="D41">
        <v>36.66345453139138</v>
      </c>
      <c r="E41">
        <v>10.02139729601579</v>
      </c>
      <c r="F41">
        <v>10.065430628215328</v>
      </c>
    </row>
    <row r="42" spans="2:6" x14ac:dyDescent="0.2">
      <c r="B42" t="s">
        <v>173</v>
      </c>
      <c r="C42">
        <v>60.416214714042638</v>
      </c>
      <c r="D42">
        <v>15.11010830006018</v>
      </c>
      <c r="E42">
        <v>60.239788400153351</v>
      </c>
      <c r="F42">
        <v>0.56171703129566097</v>
      </c>
    </row>
    <row r="43" spans="2:6" x14ac:dyDescent="0.2">
      <c r="B43" t="s">
        <v>173</v>
      </c>
      <c r="C43">
        <v>93.638656429408215</v>
      </c>
      <c r="D43">
        <v>68.675300127992273</v>
      </c>
      <c r="E43">
        <v>17.8565346519412</v>
      </c>
      <c r="F43">
        <v>31.994103718910424</v>
      </c>
    </row>
    <row r="44" spans="2:6" x14ac:dyDescent="0.2">
      <c r="B44" t="s">
        <v>173</v>
      </c>
      <c r="C44">
        <v>25.72961019110177</v>
      </c>
      <c r="D44">
        <v>34.903523498921864</v>
      </c>
      <c r="E44">
        <v>46.935813251399388</v>
      </c>
      <c r="F44">
        <v>1.3170183944791791</v>
      </c>
    </row>
    <row r="45" spans="2:6" x14ac:dyDescent="0.2">
      <c r="B45" t="s">
        <v>173</v>
      </c>
      <c r="C45">
        <v>239.307208236219</v>
      </c>
      <c r="D45">
        <v>39.035786141081331</v>
      </c>
      <c r="E45">
        <v>57.306067830723038</v>
      </c>
      <c r="F45">
        <v>42.88793787855144</v>
      </c>
    </row>
    <row r="46" spans="2:6" x14ac:dyDescent="0.2">
      <c r="B46" t="s">
        <v>173</v>
      </c>
      <c r="C46">
        <v>210.44191334374347</v>
      </c>
      <c r="D46">
        <v>94.624033147675291</v>
      </c>
      <c r="E46">
        <v>23.778495151070945</v>
      </c>
      <c r="F46">
        <v>10.386222166462645</v>
      </c>
    </row>
    <row r="47" spans="2:6" x14ac:dyDescent="0.2">
      <c r="B47" t="s">
        <v>173</v>
      </c>
      <c r="C47">
        <v>75.976454774119716</v>
      </c>
      <c r="D47">
        <v>49.903417250382816</v>
      </c>
      <c r="E47">
        <v>55.532762266546406</v>
      </c>
      <c r="F47">
        <v>72.203563600746236</v>
      </c>
    </row>
    <row r="48" spans="2:6" x14ac:dyDescent="0.2">
      <c r="B48" t="s">
        <v>173</v>
      </c>
      <c r="C48">
        <v>27.114491941830309</v>
      </c>
      <c r="D48">
        <v>38.059009285209385</v>
      </c>
      <c r="E48">
        <v>206.2416683705886</v>
      </c>
      <c r="F48">
        <v>5.2378943148858603</v>
      </c>
    </row>
    <row r="49" spans="2:6" x14ac:dyDescent="0.2">
      <c r="B49" t="s">
        <v>173</v>
      </c>
      <c r="C49">
        <v>9.9142245755475162</v>
      </c>
      <c r="D49">
        <v>68.165604580474053</v>
      </c>
      <c r="E49">
        <v>189.14880780873014</v>
      </c>
      <c r="F49">
        <v>8.1694108537082215</v>
      </c>
    </row>
    <row r="50" spans="2:6" x14ac:dyDescent="0.2">
      <c r="B50" t="s">
        <v>173</v>
      </c>
      <c r="C50">
        <v>14.29835386523707</v>
      </c>
      <c r="D50">
        <v>40.580092780690492</v>
      </c>
      <c r="E50">
        <v>58.143491154917086</v>
      </c>
      <c r="F50">
        <v>4.8955208681631461</v>
      </c>
    </row>
    <row r="51" spans="2:6" x14ac:dyDescent="0.2">
      <c r="B51" t="s">
        <v>173</v>
      </c>
      <c r="C51">
        <v>36.598444361465695</v>
      </c>
      <c r="D51">
        <v>104.64429382449057</v>
      </c>
      <c r="E51">
        <v>14.763063224730306</v>
      </c>
      <c r="F51">
        <v>36.218588812082224</v>
      </c>
    </row>
    <row r="52" spans="2:6" x14ac:dyDescent="0.2">
      <c r="B52" t="s">
        <v>173</v>
      </c>
      <c r="C52">
        <v>25.663426492088885</v>
      </c>
      <c r="D52">
        <v>59.728528290299053</v>
      </c>
      <c r="E52">
        <v>75.560018631151621</v>
      </c>
      <c r="F52">
        <v>15.548742937345921</v>
      </c>
    </row>
    <row r="53" spans="2:6" x14ac:dyDescent="0.2">
      <c r="B53" t="s">
        <v>173</v>
      </c>
      <c r="C53">
        <v>54.160847844155946</v>
      </c>
      <c r="D53">
        <v>28.058711334742576</v>
      </c>
      <c r="E53">
        <v>99.116907168861744</v>
      </c>
      <c r="F53">
        <v>5.1496136227420948</v>
      </c>
    </row>
    <row r="54" spans="2:6" x14ac:dyDescent="0.2">
      <c r="B54" t="s">
        <v>173</v>
      </c>
      <c r="C54">
        <v>87.597925004087244</v>
      </c>
      <c r="D54">
        <v>33.841835974439086</v>
      </c>
      <c r="E54">
        <v>26.169712714643335</v>
      </c>
      <c r="F54">
        <v>0.80821746570383013</v>
      </c>
    </row>
    <row r="55" spans="2:6" x14ac:dyDescent="0.2">
      <c r="B55" t="s">
        <v>173</v>
      </c>
      <c r="C55">
        <v>49.314848353340793</v>
      </c>
      <c r="D55">
        <v>80.651471854957833</v>
      </c>
      <c r="E55">
        <v>42.793367244650163</v>
      </c>
      <c r="F55">
        <v>9.5029143646608247</v>
      </c>
    </row>
    <row r="56" spans="2:6" x14ac:dyDescent="0.2">
      <c r="B56" t="s">
        <v>173</v>
      </c>
      <c r="C56">
        <v>164.02409860427554</v>
      </c>
      <c r="D56">
        <v>35.424346429411138</v>
      </c>
      <c r="E56">
        <v>49.24223738923866</v>
      </c>
      <c r="F56">
        <v>12.92077349433535</v>
      </c>
    </row>
    <row r="57" spans="2:6" x14ac:dyDescent="0.2">
      <c r="B57" t="s">
        <v>173</v>
      </c>
      <c r="C57">
        <v>32.881515883721555</v>
      </c>
      <c r="D57">
        <v>99.663894029482378</v>
      </c>
      <c r="E57">
        <v>45.047078414557788</v>
      </c>
      <c r="F57">
        <v>4.9868680361873885</v>
      </c>
    </row>
    <row r="58" spans="2:6" x14ac:dyDescent="0.2">
      <c r="B58" t="s">
        <v>173</v>
      </c>
      <c r="C58">
        <v>25.345552139482052</v>
      </c>
      <c r="D58">
        <v>32.329938828844831</v>
      </c>
      <c r="E58">
        <v>62.41497521642858</v>
      </c>
      <c r="F58">
        <v>7.2282472414039916</v>
      </c>
    </row>
    <row r="59" spans="2:6" x14ac:dyDescent="0.2">
      <c r="B59" t="s">
        <v>173</v>
      </c>
      <c r="C59">
        <v>21.282403694914599</v>
      </c>
      <c r="D59">
        <v>40.255433322434101</v>
      </c>
      <c r="E59">
        <v>18.658019410432193</v>
      </c>
      <c r="F59">
        <v>11.056083205129895</v>
      </c>
    </row>
    <row r="60" spans="2:6" x14ac:dyDescent="0.2">
      <c r="B60" t="s">
        <v>173</v>
      </c>
      <c r="C60">
        <v>57.012059331700108</v>
      </c>
      <c r="D60">
        <v>49.228996771472438</v>
      </c>
      <c r="E60">
        <v>136.09147252257145</v>
      </c>
      <c r="F60">
        <v>25.83468094071543</v>
      </c>
    </row>
    <row r="61" spans="2:6" x14ac:dyDescent="0.2">
      <c r="B61" t="s">
        <v>173</v>
      </c>
      <c r="C61">
        <v>11.924964083959505</v>
      </c>
      <c r="D61">
        <v>171.79573721728124</v>
      </c>
      <c r="E61">
        <v>99.405373688276953</v>
      </c>
      <c r="F61">
        <v>10.080575590894384</v>
      </c>
    </row>
    <row r="62" spans="2:6" x14ac:dyDescent="0.2">
      <c r="B62" t="s">
        <v>173</v>
      </c>
      <c r="C62">
        <v>63.181216585696006</v>
      </c>
      <c r="D62">
        <v>50.082187391436356</v>
      </c>
      <c r="E62">
        <v>246.48019442793472</v>
      </c>
      <c r="F62">
        <v>45.997724728522883</v>
      </c>
    </row>
    <row r="63" spans="2:6" x14ac:dyDescent="0.2">
      <c r="B63" t="s">
        <v>173</v>
      </c>
      <c r="C63">
        <v>89.644100038500454</v>
      </c>
      <c r="D63">
        <v>75.377341557084335</v>
      </c>
      <c r="E63">
        <v>26.843692827906345</v>
      </c>
      <c r="F63">
        <v>5.9929819753698439</v>
      </c>
    </row>
    <row r="64" spans="2:6" x14ac:dyDescent="0.2">
      <c r="B64" t="s">
        <v>173</v>
      </c>
      <c r="C64">
        <v>111.37606294599149</v>
      </c>
      <c r="D64">
        <v>36.426638425517332</v>
      </c>
      <c r="E64">
        <v>149.46368377199391</v>
      </c>
      <c r="F64">
        <v>78.138725155250242</v>
      </c>
    </row>
    <row r="65" spans="2:6" x14ac:dyDescent="0.2">
      <c r="B65" t="s">
        <v>173</v>
      </c>
      <c r="C65">
        <v>10.375044585359072</v>
      </c>
      <c r="D65">
        <v>39.711670078707733</v>
      </c>
      <c r="E65">
        <v>130.47745955060094</v>
      </c>
      <c r="F65">
        <v>1.2681297733724506</v>
      </c>
    </row>
    <row r="66" spans="2:6" x14ac:dyDescent="0.2">
      <c r="B66" t="s">
        <v>173</v>
      </c>
      <c r="C66">
        <v>7.5896147485868113</v>
      </c>
      <c r="D66">
        <v>21.032311165932285</v>
      </c>
      <c r="E66">
        <v>93.206915647179017</v>
      </c>
      <c r="F66">
        <v>32.845921811090221</v>
      </c>
    </row>
    <row r="67" spans="2:6" x14ac:dyDescent="0.2">
      <c r="B67" t="s">
        <v>173</v>
      </c>
      <c r="C67">
        <v>71.478337878126354</v>
      </c>
      <c r="D67">
        <v>71.476382331943626</v>
      </c>
      <c r="E67">
        <v>115.50156235712423</v>
      </c>
      <c r="F67">
        <v>2.7400656477157526</v>
      </c>
    </row>
    <row r="68" spans="2:6" x14ac:dyDescent="0.2">
      <c r="B68" t="s">
        <v>173</v>
      </c>
      <c r="C68">
        <v>23.054990229589485</v>
      </c>
      <c r="D68">
        <v>20.122227711442292</v>
      </c>
      <c r="E68">
        <v>20.583390198541604</v>
      </c>
      <c r="F68">
        <v>1.3086394691947838</v>
      </c>
    </row>
    <row r="69" spans="2:6" x14ac:dyDescent="0.2">
      <c r="B69" t="s">
        <v>173</v>
      </c>
      <c r="C69">
        <v>160.79093663705981</v>
      </c>
      <c r="D69">
        <v>49.941275559645376</v>
      </c>
      <c r="E69">
        <v>16.062906371583036</v>
      </c>
      <c r="F69">
        <v>36.193101746228209</v>
      </c>
    </row>
    <row r="70" spans="2:6" x14ac:dyDescent="0.2">
      <c r="B70" t="s">
        <v>173</v>
      </c>
      <c r="C70">
        <v>32.113145424574192</v>
      </c>
      <c r="D70">
        <v>55.228705018419575</v>
      </c>
      <c r="E70">
        <v>104.06086419612025</v>
      </c>
      <c r="F70">
        <v>2.5318547631647341</v>
      </c>
    </row>
    <row r="71" spans="2:6" x14ac:dyDescent="0.2">
      <c r="B71" t="s">
        <v>173</v>
      </c>
      <c r="C71">
        <v>82.269862739937778</v>
      </c>
      <c r="D71">
        <v>64.835258780731962</v>
      </c>
      <c r="E71">
        <v>96.235471228778096</v>
      </c>
      <c r="F71">
        <v>16.282033051568384</v>
      </c>
    </row>
    <row r="72" spans="2:6" x14ac:dyDescent="0.2">
      <c r="B72" t="s">
        <v>173</v>
      </c>
      <c r="C72">
        <v>66.537580956070798</v>
      </c>
      <c r="D72">
        <v>41.878784327629759</v>
      </c>
      <c r="E72">
        <v>24.255726046129553</v>
      </c>
      <c r="F72">
        <v>15.046790154213284</v>
      </c>
    </row>
    <row r="73" spans="2:6" x14ac:dyDescent="0.2">
      <c r="B73" t="s">
        <v>173</v>
      </c>
      <c r="C73">
        <v>53.107813791442524</v>
      </c>
      <c r="D73">
        <v>94.127936059761282</v>
      </c>
      <c r="E73">
        <v>58.790428466037874</v>
      </c>
      <c r="F73">
        <v>7.2607301410103844</v>
      </c>
    </row>
    <row r="74" spans="2:6" x14ac:dyDescent="0.2">
      <c r="B74" t="s">
        <v>173</v>
      </c>
      <c r="C74">
        <v>26.470310537432862</v>
      </c>
      <c r="D74">
        <v>11.68113605189472</v>
      </c>
      <c r="E74">
        <v>66.795815096368472</v>
      </c>
      <c r="F74">
        <v>6.8553905441881398</v>
      </c>
    </row>
    <row r="75" spans="2:6" x14ac:dyDescent="0.2">
      <c r="B75" t="s">
        <v>173</v>
      </c>
      <c r="C75">
        <v>99.846283020497509</v>
      </c>
      <c r="D75">
        <v>12.836149402196453</v>
      </c>
      <c r="E75">
        <v>33.468591832228832</v>
      </c>
      <c r="F75">
        <v>28.871579367149621</v>
      </c>
    </row>
    <row r="76" spans="2:6" x14ac:dyDescent="0.2">
      <c r="B76" t="s">
        <v>173</v>
      </c>
      <c r="C76">
        <v>25.553655770923665</v>
      </c>
      <c r="D76">
        <v>61.242830958646408</v>
      </c>
      <c r="E76">
        <v>189.41032119922852</v>
      </c>
      <c r="F76">
        <v>12.090246014870459</v>
      </c>
    </row>
    <row r="77" spans="2:6" x14ac:dyDescent="0.2">
      <c r="B77" t="s">
        <v>173</v>
      </c>
      <c r="C77">
        <v>20.566136584956148</v>
      </c>
      <c r="D77">
        <v>64.982662366273047</v>
      </c>
      <c r="E77">
        <v>122.09993349465117</v>
      </c>
      <c r="F77">
        <v>11.049786888587818</v>
      </c>
    </row>
    <row r="78" spans="2:6" x14ac:dyDescent="0.2">
      <c r="B78" t="s">
        <v>173</v>
      </c>
      <c r="C78">
        <v>142.95286657511488</v>
      </c>
      <c r="D78">
        <v>50.851502800594659</v>
      </c>
      <c r="E78">
        <v>45.220929101161602</v>
      </c>
      <c r="F78">
        <v>6.6934314797735297</v>
      </c>
    </row>
    <row r="79" spans="2:6" x14ac:dyDescent="0.2">
      <c r="B79" t="s">
        <v>173</v>
      </c>
      <c r="C79">
        <v>5.8346807257106237</v>
      </c>
      <c r="D79">
        <v>41.747925090963513</v>
      </c>
      <c r="E79">
        <v>77.449776138140464</v>
      </c>
      <c r="F79">
        <v>7.3791287088002946</v>
      </c>
    </row>
    <row r="80" spans="2:6" x14ac:dyDescent="0.2">
      <c r="B80" t="s">
        <v>173</v>
      </c>
      <c r="C80">
        <v>90.915907652370123</v>
      </c>
      <c r="D80">
        <v>10.368344345758311</v>
      </c>
      <c r="E80">
        <v>72.266109472275048</v>
      </c>
      <c r="F80">
        <v>1.7544002699335408</v>
      </c>
    </row>
    <row r="81" spans="2:6" x14ac:dyDescent="0.2">
      <c r="B81" t="s">
        <v>173</v>
      </c>
      <c r="C81">
        <v>93.668393419831915</v>
      </c>
      <c r="D81">
        <v>31.97688724600183</v>
      </c>
      <c r="E81">
        <v>167.38461447053524</v>
      </c>
      <c r="F81">
        <v>14.24875900882644</v>
      </c>
    </row>
    <row r="82" spans="2:6" x14ac:dyDescent="0.2">
      <c r="B82" t="s">
        <v>173</v>
      </c>
      <c r="C82">
        <v>97.591014266520645</v>
      </c>
      <c r="D82">
        <v>44.948559493081682</v>
      </c>
      <c r="E82">
        <v>114.60540008854922</v>
      </c>
      <c r="F82">
        <v>33.950496075044754</v>
      </c>
    </row>
    <row r="83" spans="2:6" x14ac:dyDescent="0.2">
      <c r="B83" t="s">
        <v>173</v>
      </c>
      <c r="C83">
        <v>59.318083919083321</v>
      </c>
      <c r="D83">
        <v>55.213894706964382</v>
      </c>
      <c r="E83">
        <v>82.753894074402709</v>
      </c>
      <c r="F83">
        <v>51.951818471354059</v>
      </c>
    </row>
    <row r="84" spans="2:6" x14ac:dyDescent="0.2">
      <c r="B84" t="s">
        <v>173</v>
      </c>
      <c r="C84">
        <v>20.323400431347462</v>
      </c>
      <c r="D84">
        <v>18.700457114207836</v>
      </c>
      <c r="E84">
        <v>80.651313792138751</v>
      </c>
      <c r="F84">
        <v>4.8845724664230019</v>
      </c>
    </row>
    <row r="85" spans="2:6" x14ac:dyDescent="0.2">
      <c r="B85" t="s">
        <v>173</v>
      </c>
      <c r="C85">
        <v>23.68536732515037</v>
      </c>
      <c r="D85">
        <v>123.51977166229042</v>
      </c>
      <c r="E85">
        <v>35.877348177690273</v>
      </c>
      <c r="F85">
        <v>1.7824965904804984</v>
      </c>
    </row>
    <row r="86" spans="2:6" x14ac:dyDescent="0.2">
      <c r="B86" t="s">
        <v>173</v>
      </c>
      <c r="C86">
        <v>163.47980412401029</v>
      </c>
      <c r="D86">
        <v>12.174284046240786</v>
      </c>
      <c r="E86">
        <v>52.712156552995559</v>
      </c>
      <c r="F86">
        <v>2.5952355168327195</v>
      </c>
    </row>
    <row r="87" spans="2:6" x14ac:dyDescent="0.2">
      <c r="B87" t="s">
        <v>173</v>
      </c>
      <c r="C87">
        <v>9.1754651912802014</v>
      </c>
      <c r="D87">
        <v>61.961482645401219</v>
      </c>
      <c r="E87">
        <v>35.421175114423797</v>
      </c>
      <c r="F87">
        <v>7.868990399613466</v>
      </c>
    </row>
    <row r="88" spans="2:6" x14ac:dyDescent="0.2">
      <c r="B88" t="s">
        <v>173</v>
      </c>
      <c r="C88">
        <v>11.9809378320041</v>
      </c>
      <c r="D88">
        <v>52.489818627447036</v>
      </c>
      <c r="E88">
        <v>82.424774171278401</v>
      </c>
      <c r="F88">
        <v>18.220808081060738</v>
      </c>
    </row>
    <row r="89" spans="2:6" x14ac:dyDescent="0.2">
      <c r="B89" t="s">
        <v>173</v>
      </c>
      <c r="C89">
        <v>21.403003552265687</v>
      </c>
      <c r="D89">
        <v>4.5338171428379406</v>
      </c>
      <c r="E89">
        <v>73.822999043315903</v>
      </c>
      <c r="F89">
        <v>8.5426970582167456</v>
      </c>
    </row>
    <row r="90" spans="2:6" x14ac:dyDescent="0.2">
      <c r="B90" t="s">
        <v>173</v>
      </c>
      <c r="C90">
        <v>83.160529735916839</v>
      </c>
      <c r="D90">
        <v>69.603917635682521</v>
      </c>
      <c r="E90">
        <v>148.27581909388928</v>
      </c>
      <c r="F90">
        <v>47.901002958827952</v>
      </c>
    </row>
    <row r="91" spans="2:6" x14ac:dyDescent="0.2">
      <c r="B91" t="s">
        <v>173</v>
      </c>
      <c r="C91">
        <v>138.22121351183594</v>
      </c>
      <c r="D91">
        <v>145.05469192734623</v>
      </c>
      <c r="E91">
        <v>8.5061593473430968</v>
      </c>
      <c r="F91">
        <v>8.4657843907083148</v>
      </c>
    </row>
    <row r="92" spans="2:6" x14ac:dyDescent="0.2">
      <c r="B92" t="s">
        <v>173</v>
      </c>
      <c r="C92">
        <v>115.94414398832639</v>
      </c>
      <c r="D92">
        <v>27.208996053714074</v>
      </c>
      <c r="E92">
        <v>90.06462313627604</v>
      </c>
      <c r="F92">
        <v>68.715527508764936</v>
      </c>
    </row>
    <row r="93" spans="2:6" x14ac:dyDescent="0.2">
      <c r="B93" t="s">
        <v>173</v>
      </c>
      <c r="C93">
        <v>93.068847167785066</v>
      </c>
      <c r="D93">
        <v>47.545471625765281</v>
      </c>
      <c r="E93">
        <v>42.794713061673122</v>
      </c>
      <c r="F93">
        <v>2.9786240261063242</v>
      </c>
    </row>
    <row r="94" spans="2:6" x14ac:dyDescent="0.2">
      <c r="B94" t="s">
        <v>173</v>
      </c>
      <c r="C94">
        <v>50.206102861924691</v>
      </c>
      <c r="D94">
        <v>44.168964599746296</v>
      </c>
      <c r="E94">
        <v>106.44705076113971</v>
      </c>
      <c r="F94">
        <v>18.763563919245314</v>
      </c>
    </row>
    <row r="95" spans="2:6" x14ac:dyDescent="0.2">
      <c r="B95" t="s">
        <v>173</v>
      </c>
      <c r="C95">
        <v>57.556019042656608</v>
      </c>
      <c r="D95">
        <v>58.893519413452474</v>
      </c>
      <c r="E95">
        <v>80.848697434542444</v>
      </c>
      <c r="F95">
        <v>0.42847258066568639</v>
      </c>
    </row>
    <row r="96" spans="2:6" x14ac:dyDescent="0.2">
      <c r="B96" t="s">
        <v>173</v>
      </c>
      <c r="C96">
        <v>7.1596674381651484</v>
      </c>
      <c r="D96">
        <v>34.258854157826278</v>
      </c>
      <c r="E96">
        <v>53.566856376525031</v>
      </c>
      <c r="F96">
        <v>4.3041903339396583</v>
      </c>
    </row>
    <row r="97" spans="2:6" x14ac:dyDescent="0.2">
      <c r="B97" t="s">
        <v>173</v>
      </c>
      <c r="C97">
        <v>37.799853795149609</v>
      </c>
      <c r="D97">
        <v>39.015195824265319</v>
      </c>
      <c r="E97">
        <v>11.020573360545377</v>
      </c>
      <c r="F97">
        <v>6.8540026072578542</v>
      </c>
    </row>
    <row r="98" spans="2:6" x14ac:dyDescent="0.2">
      <c r="B98" t="s">
        <v>173</v>
      </c>
      <c r="C98">
        <v>104.03476637900842</v>
      </c>
      <c r="D98">
        <v>14.803501409867007</v>
      </c>
      <c r="E98">
        <v>50.157265546181378</v>
      </c>
      <c r="F98">
        <v>15.958781761362133</v>
      </c>
    </row>
    <row r="99" spans="2:6" x14ac:dyDescent="0.2">
      <c r="B99" t="s">
        <v>173</v>
      </c>
      <c r="C99">
        <v>93.25394538418324</v>
      </c>
      <c r="D99">
        <v>39.560524033542059</v>
      </c>
      <c r="E99">
        <v>108.01085029643615</v>
      </c>
      <c r="F99">
        <v>52.632565499621577</v>
      </c>
    </row>
    <row r="100" spans="2:6" x14ac:dyDescent="0.2">
      <c r="B100" t="s">
        <v>173</v>
      </c>
      <c r="C100">
        <v>122.72958417429092</v>
      </c>
      <c r="D100">
        <v>86.737803409576713</v>
      </c>
      <c r="E100">
        <v>57.725062673966548</v>
      </c>
      <c r="F100">
        <v>2.7849599619734775</v>
      </c>
    </row>
    <row r="101" spans="2:6" x14ac:dyDescent="0.2">
      <c r="B101" t="s">
        <v>173</v>
      </c>
      <c r="C101">
        <v>47.28892217030824</v>
      </c>
      <c r="D101">
        <v>13.118141313305138</v>
      </c>
      <c r="E101">
        <v>36.428916950988729</v>
      </c>
      <c r="F101">
        <v>22.581352890783819</v>
      </c>
    </row>
    <row r="102" spans="2:6" x14ac:dyDescent="0.2">
      <c r="B102" t="s">
        <v>173</v>
      </c>
      <c r="C102">
        <v>190.22589924960164</v>
      </c>
      <c r="D102">
        <v>56.271723364490363</v>
      </c>
      <c r="E102">
        <v>65.313573028559262</v>
      </c>
      <c r="F102">
        <v>1.3607610214915908</v>
      </c>
    </row>
    <row r="103" spans="2:6" x14ac:dyDescent="0.2">
      <c r="B103" t="s">
        <v>173</v>
      </c>
      <c r="C103">
        <v>32.782022419473854</v>
      </c>
      <c r="D103">
        <v>25.746876513713001</v>
      </c>
      <c r="E103">
        <v>20.569736306474063</v>
      </c>
      <c r="F103">
        <v>75.41569669558109</v>
      </c>
    </row>
    <row r="104" spans="2:6" x14ac:dyDescent="0.2">
      <c r="B104" t="s">
        <v>173</v>
      </c>
      <c r="C104">
        <v>51.120069070609972</v>
      </c>
      <c r="D104">
        <v>97.796983689557806</v>
      </c>
      <c r="E104">
        <v>9.2804842170669435</v>
      </c>
      <c r="F104">
        <v>6.1208029065370368</v>
      </c>
    </row>
    <row r="105" spans="2:6" x14ac:dyDescent="0.2">
      <c r="B105" t="s">
        <v>173</v>
      </c>
      <c r="C105">
        <v>150.74392953214036</v>
      </c>
      <c r="D105">
        <v>40.666816581663404</v>
      </c>
      <c r="E105">
        <v>113.60038984328379</v>
      </c>
      <c r="F105">
        <v>0.41497577941038966</v>
      </c>
    </row>
    <row r="106" spans="2:6" x14ac:dyDescent="0.2">
      <c r="B106" t="s">
        <v>173</v>
      </c>
      <c r="C106">
        <v>92.149254791329412</v>
      </c>
      <c r="D106">
        <v>2.9317915660435094</v>
      </c>
      <c r="E106">
        <v>101.97104096789477</v>
      </c>
      <c r="F106">
        <v>34.405055100733733</v>
      </c>
    </row>
    <row r="107" spans="2:6" x14ac:dyDescent="0.2">
      <c r="B107" t="s">
        <v>173</v>
      </c>
      <c r="C107">
        <v>170.70338579846825</v>
      </c>
      <c r="D107">
        <v>15.877556404844873</v>
      </c>
      <c r="E107">
        <v>143.3612017466177</v>
      </c>
      <c r="F107">
        <v>27.339982430184975</v>
      </c>
    </row>
    <row r="108" spans="2:6" x14ac:dyDescent="0.2">
      <c r="B108" t="s">
        <v>173</v>
      </c>
      <c r="C108">
        <v>24.807787676882985</v>
      </c>
      <c r="D108">
        <v>18.850202343862442</v>
      </c>
      <c r="E108">
        <v>15.036267024749703</v>
      </c>
      <c r="F108">
        <v>84.550780602270663</v>
      </c>
    </row>
    <row r="109" spans="2:6" x14ac:dyDescent="0.2">
      <c r="B109" t="s">
        <v>173</v>
      </c>
      <c r="C109">
        <v>63.666740948773565</v>
      </c>
      <c r="D109">
        <v>21.581159209198162</v>
      </c>
      <c r="E109">
        <v>46.346419666038415</v>
      </c>
      <c r="F109">
        <v>13.952126714581738</v>
      </c>
    </row>
    <row r="110" spans="2:6" x14ac:dyDescent="0.2">
      <c r="B110" t="s">
        <v>173</v>
      </c>
      <c r="C110">
        <v>80.857814486518706</v>
      </c>
      <c r="D110">
        <v>55.694301078445982</v>
      </c>
      <c r="E110">
        <v>70.86764209439518</v>
      </c>
      <c r="F110">
        <v>7.0077678272409969</v>
      </c>
    </row>
    <row r="111" spans="2:6" x14ac:dyDescent="0.2">
      <c r="B111" t="s">
        <v>173</v>
      </c>
      <c r="C111">
        <v>45.511249770861284</v>
      </c>
      <c r="D111">
        <v>5.9950163302940291</v>
      </c>
      <c r="E111">
        <v>48.025462690727146</v>
      </c>
      <c r="F111">
        <v>21.296409958736263</v>
      </c>
    </row>
    <row r="112" spans="2:6" x14ac:dyDescent="0.2">
      <c r="B112" t="s">
        <v>173</v>
      </c>
      <c r="C112">
        <v>26.985980026233815</v>
      </c>
      <c r="D112">
        <v>73.528582954058081</v>
      </c>
      <c r="E112">
        <v>11.438509590933947</v>
      </c>
      <c r="F112">
        <v>72.397214498064955</v>
      </c>
    </row>
    <row r="113" spans="2:6" x14ac:dyDescent="0.2">
      <c r="B113" t="s">
        <v>173</v>
      </c>
      <c r="C113">
        <v>240.60143184373578</v>
      </c>
      <c r="D113">
        <v>47.93042697161232</v>
      </c>
      <c r="E113">
        <v>9.7796624962051961</v>
      </c>
      <c r="F113">
        <v>57.428444639819787</v>
      </c>
    </row>
    <row r="114" spans="2:6" x14ac:dyDescent="0.2">
      <c r="B114" t="s">
        <v>173</v>
      </c>
      <c r="C114">
        <v>80.000605321064</v>
      </c>
      <c r="D114">
        <v>39.148874855280027</v>
      </c>
      <c r="E114">
        <v>38.781213422470444</v>
      </c>
      <c r="F114">
        <v>30.845128985432197</v>
      </c>
    </row>
    <row r="115" spans="2:6" x14ac:dyDescent="0.2">
      <c r="B115" t="s">
        <v>173</v>
      </c>
      <c r="C115">
        <v>56.133601043601068</v>
      </c>
      <c r="D115">
        <v>45.013940704184165</v>
      </c>
      <c r="E115">
        <v>82.144197580881638</v>
      </c>
      <c r="F115">
        <v>4.6827560374037693</v>
      </c>
    </row>
    <row r="116" spans="2:6" x14ac:dyDescent="0.2">
      <c r="B116" t="s">
        <v>173</v>
      </c>
      <c r="C116">
        <v>145.27026544520069</v>
      </c>
      <c r="D116">
        <v>45.12365066755472</v>
      </c>
      <c r="E116">
        <v>105.73485217807938</v>
      </c>
      <c r="F116">
        <v>15.182144678749516</v>
      </c>
    </row>
    <row r="117" spans="2:6" x14ac:dyDescent="0.2">
      <c r="B117" t="s">
        <v>173</v>
      </c>
      <c r="C117">
        <v>44.235305362085569</v>
      </c>
      <c r="D117">
        <v>23.933205248258311</v>
      </c>
      <c r="E117">
        <v>100.39461667314724</v>
      </c>
      <c r="F117">
        <v>4.0158649648292553</v>
      </c>
    </row>
    <row r="118" spans="2:6" x14ac:dyDescent="0.2">
      <c r="B118" t="s">
        <v>173</v>
      </c>
      <c r="C118">
        <v>112.84999842867974</v>
      </c>
      <c r="D118">
        <v>54.243574860952442</v>
      </c>
      <c r="E118">
        <v>24.647076574548279</v>
      </c>
      <c r="F118">
        <v>29.194677977846482</v>
      </c>
    </row>
    <row r="119" spans="2:6" x14ac:dyDescent="0.2">
      <c r="B119" t="s">
        <v>173</v>
      </c>
      <c r="C119">
        <v>98.124071685963372</v>
      </c>
      <c r="D119">
        <v>43.869789216611615</v>
      </c>
      <c r="E119">
        <v>16.049272050659361</v>
      </c>
      <c r="F119">
        <v>76.449173732969626</v>
      </c>
    </row>
    <row r="120" spans="2:6" x14ac:dyDescent="0.2">
      <c r="B120" t="s">
        <v>173</v>
      </c>
      <c r="C120">
        <v>7.7940074239501023</v>
      </c>
      <c r="D120">
        <v>88.77870456000079</v>
      </c>
      <c r="E120">
        <v>28.330721722823903</v>
      </c>
      <c r="F120">
        <v>3.2253456634399056</v>
      </c>
    </row>
    <row r="121" spans="2:6" x14ac:dyDescent="0.2">
      <c r="B121" t="s">
        <v>173</v>
      </c>
      <c r="C121">
        <v>91.166917113404352</v>
      </c>
      <c r="D121">
        <v>29.102892447255787</v>
      </c>
      <c r="E121">
        <v>18.535901170388016</v>
      </c>
      <c r="F121">
        <v>12.141026742920815</v>
      </c>
    </row>
    <row r="122" spans="2:6" x14ac:dyDescent="0.2">
      <c r="B122" t="s">
        <v>173</v>
      </c>
      <c r="C122">
        <v>9.7297038399342419</v>
      </c>
      <c r="D122">
        <v>18.420628314454309</v>
      </c>
      <c r="E122">
        <v>8.4096825109311855</v>
      </c>
      <c r="F122">
        <v>18.519479094106174</v>
      </c>
    </row>
    <row r="123" spans="2:6" x14ac:dyDescent="0.2">
      <c r="B123" t="s">
        <v>173</v>
      </c>
      <c r="C123">
        <v>68.200959915019652</v>
      </c>
      <c r="D123">
        <v>41.783497594085901</v>
      </c>
      <c r="E123">
        <v>14.470840071511454</v>
      </c>
      <c r="F123">
        <v>18.109883793121639</v>
      </c>
    </row>
    <row r="124" spans="2:6" x14ac:dyDescent="0.2">
      <c r="B124" t="s">
        <v>173</v>
      </c>
      <c r="C124">
        <v>138.07782090829616</v>
      </c>
      <c r="D124">
        <v>81.275237560385094</v>
      </c>
      <c r="E124">
        <v>32.022998114468159</v>
      </c>
      <c r="F124">
        <v>8.3763331614177794</v>
      </c>
    </row>
    <row r="125" spans="2:6" x14ac:dyDescent="0.2">
      <c r="B125" t="s">
        <v>173</v>
      </c>
      <c r="C125">
        <v>121.9592973675646</v>
      </c>
      <c r="D125">
        <v>13.652038435977646</v>
      </c>
      <c r="E125">
        <v>32.31792860211138</v>
      </c>
      <c r="F125">
        <v>7.3898573644608803</v>
      </c>
    </row>
    <row r="126" spans="2:6" x14ac:dyDescent="0.2">
      <c r="B126" t="s">
        <v>173</v>
      </c>
      <c r="C126">
        <v>58.836943221929623</v>
      </c>
      <c r="D126">
        <v>17.08345084555182</v>
      </c>
      <c r="E126">
        <v>68.382499425903731</v>
      </c>
      <c r="F126">
        <v>79.653658668365551</v>
      </c>
    </row>
    <row r="127" spans="2:6" x14ac:dyDescent="0.2">
      <c r="B127" t="s">
        <v>173</v>
      </c>
      <c r="C127">
        <v>108.88746165266129</v>
      </c>
      <c r="D127">
        <v>14.020811633694517</v>
      </c>
      <c r="E127">
        <v>91.693170909713103</v>
      </c>
      <c r="F127">
        <v>11.436722492832587</v>
      </c>
    </row>
    <row r="128" spans="2:6" x14ac:dyDescent="0.2">
      <c r="B128" t="s">
        <v>173</v>
      </c>
      <c r="C128">
        <v>16.058424608173109</v>
      </c>
      <c r="D128">
        <v>48.017456418735875</v>
      </c>
      <c r="E128">
        <v>53.107789842905163</v>
      </c>
      <c r="F128">
        <v>30.443141039238341</v>
      </c>
    </row>
    <row r="129" spans="2:6" x14ac:dyDescent="0.2">
      <c r="B129" t="s">
        <v>173</v>
      </c>
      <c r="C129">
        <v>28.303526730652401</v>
      </c>
      <c r="D129">
        <v>6.6080284370458484</v>
      </c>
      <c r="E129">
        <v>7.6635210226376813</v>
      </c>
      <c r="F129">
        <v>21.844315488304915</v>
      </c>
    </row>
    <row r="130" spans="2:6" x14ac:dyDescent="0.2">
      <c r="B130" t="s">
        <v>173</v>
      </c>
      <c r="C130">
        <v>34.980770804122436</v>
      </c>
      <c r="D130">
        <v>129.22996083605221</v>
      </c>
      <c r="E130">
        <v>56.781059842713795</v>
      </c>
      <c r="F130">
        <v>35.087810174154868</v>
      </c>
    </row>
    <row r="131" spans="2:6" x14ac:dyDescent="0.2">
      <c r="B131" t="s">
        <v>173</v>
      </c>
      <c r="C131">
        <v>36.756281378913179</v>
      </c>
      <c r="D131">
        <v>84.919787020712818</v>
      </c>
      <c r="E131">
        <v>70.071251627542424</v>
      </c>
      <c r="F131">
        <v>4.2315625298811668</v>
      </c>
    </row>
    <row r="132" spans="2:6" x14ac:dyDescent="0.2">
      <c r="B132" t="s">
        <v>173</v>
      </c>
      <c r="C132">
        <v>80.97552283707455</v>
      </c>
      <c r="D132">
        <v>95.219656056675134</v>
      </c>
      <c r="E132">
        <v>97.032048381114691</v>
      </c>
      <c r="F132">
        <v>13.339982718482872</v>
      </c>
    </row>
    <row r="133" spans="2:6" x14ac:dyDescent="0.2">
      <c r="B133" t="s">
        <v>173</v>
      </c>
      <c r="C133">
        <v>46.651144612949494</v>
      </c>
      <c r="D133">
        <v>49.029194182653271</v>
      </c>
      <c r="E133">
        <v>118.94305290421413</v>
      </c>
      <c r="F133">
        <v>19.458557261303021</v>
      </c>
    </row>
    <row r="134" spans="2:6" x14ac:dyDescent="0.2">
      <c r="B134" t="s">
        <v>173</v>
      </c>
      <c r="C134">
        <v>161.64662846726668</v>
      </c>
      <c r="D134">
        <v>8.7611164795144862</v>
      </c>
      <c r="E134">
        <v>63.38365145516331</v>
      </c>
      <c r="F134">
        <v>8.7728833928594394</v>
      </c>
    </row>
    <row r="135" spans="2:6" x14ac:dyDescent="0.2">
      <c r="B135" t="s">
        <v>173</v>
      </c>
      <c r="C135">
        <v>96.479054220622672</v>
      </c>
      <c r="D135">
        <v>105.62458933398355</v>
      </c>
      <c r="E135">
        <v>292.94593978721281</v>
      </c>
      <c r="F135">
        <v>14.18582513803813</v>
      </c>
    </row>
    <row r="136" spans="2:6" x14ac:dyDescent="0.2">
      <c r="B136" t="s">
        <v>173</v>
      </c>
      <c r="C136">
        <v>93.467233992597272</v>
      </c>
      <c r="D136">
        <v>17.89893714959906</v>
      </c>
      <c r="E136">
        <v>181.03077909155112</v>
      </c>
      <c r="F136">
        <v>1.0110994062851546</v>
      </c>
    </row>
    <row r="137" spans="2:6" x14ac:dyDescent="0.2">
      <c r="B137" t="s">
        <v>173</v>
      </c>
      <c r="C137">
        <v>70.291943286782328</v>
      </c>
      <c r="D137">
        <v>141.8264641303372</v>
      </c>
      <c r="E137">
        <v>35.706426381380389</v>
      </c>
      <c r="F137">
        <v>8.2788540249124978</v>
      </c>
    </row>
    <row r="138" spans="2:6" x14ac:dyDescent="0.2">
      <c r="B138" t="s">
        <v>173</v>
      </c>
      <c r="C138">
        <v>61.344150718321984</v>
      </c>
      <c r="D138">
        <v>16.413452677632698</v>
      </c>
      <c r="E138">
        <v>55.786260448927884</v>
      </c>
      <c r="F138">
        <v>16.301743352799718</v>
      </c>
    </row>
    <row r="139" spans="2:6" x14ac:dyDescent="0.2">
      <c r="B139" t="s">
        <v>173</v>
      </c>
      <c r="C139">
        <v>63.691074131913467</v>
      </c>
      <c r="D139">
        <v>46.353337949154607</v>
      </c>
      <c r="E139">
        <v>50.48711969898347</v>
      </c>
      <c r="F139">
        <v>1.5235929675896873</v>
      </c>
    </row>
    <row r="140" spans="2:6" x14ac:dyDescent="0.2">
      <c r="B140" t="s">
        <v>173</v>
      </c>
      <c r="C140">
        <v>48.207245474950206</v>
      </c>
      <c r="D140">
        <v>75.770361155020396</v>
      </c>
      <c r="E140">
        <v>53.992612051468662</v>
      </c>
      <c r="F140">
        <v>4.7013314614356645</v>
      </c>
    </row>
    <row r="141" spans="2:6" x14ac:dyDescent="0.2">
      <c r="B141" t="s">
        <v>173</v>
      </c>
      <c r="C141">
        <v>7.0284430782254859</v>
      </c>
      <c r="D141">
        <v>35.255389737960435</v>
      </c>
      <c r="E141">
        <v>3.4735227816830001</v>
      </c>
      <c r="F141">
        <v>61.265113916749016</v>
      </c>
    </row>
    <row r="142" spans="2:6" x14ac:dyDescent="0.2">
      <c r="B142" t="s">
        <v>173</v>
      </c>
      <c r="C142">
        <v>64.35513285648922</v>
      </c>
      <c r="D142">
        <v>69.982259094280309</v>
      </c>
      <c r="E142">
        <v>11.386568575980972</v>
      </c>
      <c r="F142">
        <v>15.069839187347192</v>
      </c>
    </row>
    <row r="143" spans="2:6" x14ac:dyDescent="0.2">
      <c r="B143" t="s">
        <v>173</v>
      </c>
      <c r="C143">
        <v>162.75657392792124</v>
      </c>
      <c r="D143">
        <v>29.123124394039575</v>
      </c>
      <c r="E143">
        <v>27.177954592470861</v>
      </c>
      <c r="F143">
        <v>6.1993152347962166</v>
      </c>
    </row>
    <row r="144" spans="2:6" x14ac:dyDescent="0.2">
      <c r="B144" t="s">
        <v>173</v>
      </c>
      <c r="C144">
        <v>197.67562187018524</v>
      </c>
      <c r="D144">
        <v>41.511323378999585</v>
      </c>
      <c r="E144">
        <v>79.855769177748883</v>
      </c>
      <c r="F144">
        <v>5.1156194690933496</v>
      </c>
    </row>
    <row r="145" spans="2:6" x14ac:dyDescent="0.2">
      <c r="B145" t="s">
        <v>173</v>
      </c>
      <c r="C145">
        <v>4.150933923817048</v>
      </c>
      <c r="D145">
        <v>97.032159444156619</v>
      </c>
      <c r="E145">
        <v>55.026670089541497</v>
      </c>
      <c r="F145">
        <v>57.809307838753682</v>
      </c>
    </row>
    <row r="146" spans="2:6" x14ac:dyDescent="0.2">
      <c r="B146" t="s">
        <v>173</v>
      </c>
      <c r="C146">
        <v>51.388455823806368</v>
      </c>
      <c r="D146">
        <v>25.404539902900428</v>
      </c>
      <c r="E146">
        <v>191.67411139530884</v>
      </c>
      <c r="F146">
        <v>35.910576038182491</v>
      </c>
    </row>
    <row r="147" spans="2:6" x14ac:dyDescent="0.2">
      <c r="B147" t="s">
        <v>173</v>
      </c>
      <c r="C147">
        <v>26.967035737952152</v>
      </c>
      <c r="D147">
        <v>14.835543549242981</v>
      </c>
      <c r="E147">
        <v>88.928939674063969</v>
      </c>
      <c r="F147">
        <v>10.79619157100062</v>
      </c>
    </row>
    <row r="148" spans="2:6" x14ac:dyDescent="0.2">
      <c r="B148" t="s">
        <v>173</v>
      </c>
      <c r="C148">
        <v>72.421224221193256</v>
      </c>
      <c r="D148">
        <v>45.996874736577524</v>
      </c>
      <c r="E148">
        <v>197.5216642428604</v>
      </c>
      <c r="F148">
        <v>8.7006075072364553</v>
      </c>
    </row>
    <row r="149" spans="2:6" x14ac:dyDescent="0.2">
      <c r="B149" t="s">
        <v>173</v>
      </c>
      <c r="C149">
        <v>60.790610751345888</v>
      </c>
      <c r="D149">
        <v>22.295060829221462</v>
      </c>
      <c r="E149">
        <v>130.92484190099358</v>
      </c>
      <c r="F149">
        <v>24.177034407070423</v>
      </c>
    </row>
    <row r="150" spans="2:6" x14ac:dyDescent="0.2">
      <c r="B150" t="s">
        <v>173</v>
      </c>
      <c r="C150">
        <v>24.949284076981169</v>
      </c>
      <c r="D150">
        <v>37.697538881519272</v>
      </c>
      <c r="E150">
        <v>56.833125005531258</v>
      </c>
      <c r="F150">
        <v>5.895226339932492</v>
      </c>
    </row>
    <row r="151" spans="2:6" x14ac:dyDescent="0.2">
      <c r="B151" t="s">
        <v>173</v>
      </c>
      <c r="C151">
        <v>40.335892509553325</v>
      </c>
      <c r="D151">
        <v>30.555483544930251</v>
      </c>
      <c r="E151">
        <v>53.359522098096022</v>
      </c>
      <c r="F151">
        <v>26.630011331276648</v>
      </c>
    </row>
    <row r="152" spans="2:6" x14ac:dyDescent="0.2">
      <c r="B152" t="s">
        <v>173</v>
      </c>
      <c r="C152">
        <v>26.451237214681615</v>
      </c>
      <c r="D152">
        <v>110.49412639237421</v>
      </c>
      <c r="E152">
        <v>7.0714060382463142</v>
      </c>
      <c r="F152">
        <v>48.884813985376724</v>
      </c>
    </row>
    <row r="153" spans="2:6" x14ac:dyDescent="0.2">
      <c r="B153" t="s">
        <v>173</v>
      </c>
      <c r="C153">
        <v>14.776206110857608</v>
      </c>
      <c r="D153">
        <v>12.090643651186626</v>
      </c>
      <c r="E153">
        <v>45.627570599055304</v>
      </c>
      <c r="F153">
        <v>6.3734245607762645</v>
      </c>
    </row>
    <row r="154" spans="2:6" x14ac:dyDescent="0.2">
      <c r="B154" t="s">
        <v>173</v>
      </c>
      <c r="C154">
        <v>89.752245307130508</v>
      </c>
      <c r="D154">
        <v>51.363375403097301</v>
      </c>
      <c r="E154">
        <v>491.15919917501873</v>
      </c>
      <c r="F154">
        <v>15.433112584883929</v>
      </c>
    </row>
    <row r="155" spans="2:6" x14ac:dyDescent="0.2">
      <c r="B155" t="s">
        <v>173</v>
      </c>
      <c r="C155">
        <v>27.672168539133786</v>
      </c>
      <c r="D155">
        <v>33.785135806111583</v>
      </c>
      <c r="E155">
        <v>180.66008992829614</v>
      </c>
      <c r="F155">
        <v>47.208407653232655</v>
      </c>
    </row>
    <row r="156" spans="2:6" x14ac:dyDescent="0.2">
      <c r="B156" t="s">
        <v>173</v>
      </c>
      <c r="C156">
        <v>3.1293754637028646</v>
      </c>
      <c r="D156">
        <v>37.416033766560119</v>
      </c>
      <c r="E156">
        <v>17.182959953172411</v>
      </c>
      <c r="F156">
        <v>20.441658601170445</v>
      </c>
    </row>
    <row r="157" spans="2:6" x14ac:dyDescent="0.2">
      <c r="B157" t="s">
        <v>173</v>
      </c>
      <c r="C157">
        <v>13.838925024925334</v>
      </c>
      <c r="D157">
        <v>22.427760699840082</v>
      </c>
      <c r="E157">
        <v>79.852917104621739</v>
      </c>
      <c r="F157">
        <v>4.5392538402902147</v>
      </c>
    </row>
    <row r="158" spans="2:6" x14ac:dyDescent="0.2">
      <c r="B158" t="s">
        <v>173</v>
      </c>
      <c r="C158">
        <v>50.042129209491193</v>
      </c>
      <c r="D158">
        <v>11.83889736264026</v>
      </c>
      <c r="E158">
        <v>119.34636434850312</v>
      </c>
      <c r="F158">
        <v>13.27523844320703</v>
      </c>
    </row>
    <row r="159" spans="2:6" x14ac:dyDescent="0.2">
      <c r="B159" t="s">
        <v>173</v>
      </c>
      <c r="C159">
        <v>7.659512354683164</v>
      </c>
      <c r="D159">
        <v>71.210278230552134</v>
      </c>
      <c r="E159">
        <v>32.892296264330284</v>
      </c>
      <c r="F159">
        <v>20.645771553426243</v>
      </c>
    </row>
    <row r="160" spans="2:6" x14ac:dyDescent="0.2">
      <c r="B160" t="s">
        <v>173</v>
      </c>
      <c r="C160">
        <v>82.666063566191355</v>
      </c>
      <c r="D160">
        <v>25.993724883356531</v>
      </c>
      <c r="E160">
        <v>92.146733466268103</v>
      </c>
      <c r="F160">
        <v>18.85847687166212</v>
      </c>
    </row>
    <row r="161" spans="2:6" x14ac:dyDescent="0.2">
      <c r="B161" t="s">
        <v>173</v>
      </c>
      <c r="C161">
        <v>341.8927103417526</v>
      </c>
      <c r="D161">
        <v>34.76928144438304</v>
      </c>
      <c r="E161">
        <v>150.84221631962617</v>
      </c>
      <c r="F161">
        <v>85.457860461882547</v>
      </c>
    </row>
    <row r="162" spans="2:6" x14ac:dyDescent="0.2">
      <c r="B162" t="s">
        <v>173</v>
      </c>
      <c r="C162">
        <v>77.137672286024596</v>
      </c>
      <c r="D162">
        <v>17.461869967951042</v>
      </c>
      <c r="E162">
        <v>17.987938222914416</v>
      </c>
      <c r="F162">
        <v>21.186495038530481</v>
      </c>
    </row>
    <row r="163" spans="2:6" x14ac:dyDescent="0.2">
      <c r="B163" t="s">
        <v>173</v>
      </c>
      <c r="C163">
        <v>40.121332240244129</v>
      </c>
      <c r="D163">
        <v>43.0246767587644</v>
      </c>
      <c r="E163">
        <v>50.484641640698172</v>
      </c>
      <c r="F163">
        <v>32.083407808618674</v>
      </c>
    </row>
    <row r="164" spans="2:6" x14ac:dyDescent="0.2">
      <c r="B164" t="s">
        <v>173</v>
      </c>
      <c r="C164">
        <v>160.61039849262818</v>
      </c>
      <c r="D164">
        <v>31.978901281574601</v>
      </c>
      <c r="E164">
        <v>108.00660876118535</v>
      </c>
      <c r="F164">
        <v>1.7999485202403314</v>
      </c>
    </row>
    <row r="165" spans="2:6" x14ac:dyDescent="0.2">
      <c r="B165" t="s">
        <v>173</v>
      </c>
      <c r="C165">
        <v>110.13400764137035</v>
      </c>
      <c r="D165">
        <v>15.915160807919321</v>
      </c>
      <c r="E165">
        <v>21.809758621433637</v>
      </c>
      <c r="F165">
        <v>65.547270155573656</v>
      </c>
    </row>
    <row r="166" spans="2:6" x14ac:dyDescent="0.2">
      <c r="B166" t="s">
        <v>173</v>
      </c>
      <c r="C166">
        <v>265.39545370145709</v>
      </c>
      <c r="D166">
        <v>77.029116859337307</v>
      </c>
      <c r="E166">
        <v>129.67997561909402</v>
      </c>
      <c r="F166">
        <v>4.2307685422117238</v>
      </c>
    </row>
    <row r="167" spans="2:6" x14ac:dyDescent="0.2">
      <c r="B167" t="s">
        <v>173</v>
      </c>
      <c r="C167">
        <v>31.058955433212432</v>
      </c>
      <c r="D167">
        <v>45.486943155735304</v>
      </c>
      <c r="E167">
        <v>10.836221573974557</v>
      </c>
      <c r="F167">
        <v>13.246577131384974</v>
      </c>
    </row>
    <row r="168" spans="2:6" x14ac:dyDescent="0.2">
      <c r="B168" t="s">
        <v>173</v>
      </c>
      <c r="C168">
        <v>38.350087083537339</v>
      </c>
      <c r="D168">
        <v>23.477679722174862</v>
      </c>
      <c r="E168">
        <v>33.370598235143127</v>
      </c>
      <c r="F168">
        <v>18.995913792212662</v>
      </c>
    </row>
    <row r="169" spans="2:6" x14ac:dyDescent="0.2">
      <c r="B169" t="s">
        <v>173</v>
      </c>
      <c r="C169">
        <v>15.279960344400239</v>
      </c>
      <c r="D169">
        <v>20.969217145542903</v>
      </c>
      <c r="E169">
        <v>64.749567799441607</v>
      </c>
      <c r="F169">
        <v>79.757310550854328</v>
      </c>
    </row>
    <row r="170" spans="2:6" x14ac:dyDescent="0.2">
      <c r="B170" t="s">
        <v>173</v>
      </c>
      <c r="C170">
        <v>67.593885705087501</v>
      </c>
      <c r="D170">
        <v>54.993419916657032</v>
      </c>
      <c r="E170">
        <v>76.235680726229319</v>
      </c>
      <c r="F170">
        <v>21.276147826328845</v>
      </c>
    </row>
    <row r="171" spans="2:6" x14ac:dyDescent="0.2">
      <c r="B171" t="s">
        <v>173</v>
      </c>
      <c r="C171">
        <v>45.818818392208271</v>
      </c>
      <c r="D171">
        <v>143.86162800879603</v>
      </c>
      <c r="E171">
        <v>226.95183189817089</v>
      </c>
      <c r="F171">
        <v>50.357790487594457</v>
      </c>
    </row>
    <row r="172" spans="2:6" x14ac:dyDescent="0.2">
      <c r="B172" t="s">
        <v>173</v>
      </c>
      <c r="C172">
        <v>33.004073683822121</v>
      </c>
      <c r="D172">
        <v>41.623162098214372</v>
      </c>
      <c r="E172">
        <v>34.250777444606747</v>
      </c>
      <c r="F172">
        <v>16.223471863348564</v>
      </c>
    </row>
    <row r="173" spans="2:6" x14ac:dyDescent="0.2">
      <c r="B173" t="s">
        <v>173</v>
      </c>
      <c r="C173">
        <v>78.540558790358617</v>
      </c>
      <c r="D173">
        <v>7.5748802884072441</v>
      </c>
      <c r="E173">
        <v>85.884978007745701</v>
      </c>
      <c r="F173">
        <v>12.833299825255629</v>
      </c>
    </row>
    <row r="174" spans="2:6" x14ac:dyDescent="0.2">
      <c r="B174" t="s">
        <v>173</v>
      </c>
      <c r="C174">
        <v>8.4899057868384897</v>
      </c>
      <c r="D174">
        <v>90.220559402209204</v>
      </c>
      <c r="E174">
        <v>65.881057481655603</v>
      </c>
      <c r="F174">
        <v>79.620751589573217</v>
      </c>
    </row>
    <row r="175" spans="2:6" x14ac:dyDescent="0.2">
      <c r="B175" t="s">
        <v>173</v>
      </c>
      <c r="C175">
        <v>52.970005615843945</v>
      </c>
      <c r="D175">
        <v>43.850472875062692</v>
      </c>
      <c r="E175">
        <v>26.081768392625328</v>
      </c>
      <c r="F175">
        <v>52.570192872650935</v>
      </c>
    </row>
    <row r="176" spans="2:6" x14ac:dyDescent="0.2">
      <c r="B176" t="s">
        <v>173</v>
      </c>
      <c r="C176">
        <v>33.826585683160253</v>
      </c>
      <c r="D176">
        <v>20.503736100211142</v>
      </c>
      <c r="E176">
        <v>6.101697820894092</v>
      </c>
      <c r="F176">
        <v>6.122789907517511</v>
      </c>
    </row>
    <row r="177" spans="2:6" x14ac:dyDescent="0.2">
      <c r="B177" t="s">
        <v>173</v>
      </c>
      <c r="C177">
        <v>50.168841151783873</v>
      </c>
      <c r="D177">
        <v>11.805837537700134</v>
      </c>
      <c r="E177">
        <v>49.377780185422402</v>
      </c>
      <c r="F177">
        <v>54.631666064992174</v>
      </c>
    </row>
    <row r="178" spans="2:6" x14ac:dyDescent="0.2">
      <c r="B178" t="s">
        <v>173</v>
      </c>
      <c r="C178">
        <v>154.35306457751082</v>
      </c>
      <c r="D178">
        <v>49.039880096582145</v>
      </c>
      <c r="E178">
        <v>179.57939615838961</v>
      </c>
      <c r="F178">
        <v>13.543884471798052</v>
      </c>
    </row>
    <row r="179" spans="2:6" x14ac:dyDescent="0.2">
      <c r="B179" t="s">
        <v>173</v>
      </c>
      <c r="C179">
        <v>22.504579238171612</v>
      </c>
      <c r="D179">
        <v>44.983527409153837</v>
      </c>
      <c r="E179">
        <v>62.900527274623293</v>
      </c>
      <c r="F179">
        <v>26.097795813588185</v>
      </c>
    </row>
    <row r="180" spans="2:6" x14ac:dyDescent="0.2">
      <c r="B180" t="s">
        <v>173</v>
      </c>
      <c r="C180">
        <v>69.987558781381821</v>
      </c>
      <c r="D180">
        <v>41.069585021850465</v>
      </c>
      <c r="E180">
        <v>18.372324809488649</v>
      </c>
      <c r="F180">
        <v>9.4699194365089241</v>
      </c>
    </row>
    <row r="181" spans="2:6" x14ac:dyDescent="0.2">
      <c r="B181" t="s">
        <v>173</v>
      </c>
      <c r="C181">
        <v>135.5181477191812</v>
      </c>
      <c r="D181">
        <v>15.98788548937852</v>
      </c>
      <c r="E181">
        <v>169.9769384801275</v>
      </c>
      <c r="F181">
        <v>36.739596048527964</v>
      </c>
    </row>
    <row r="182" spans="2:6" x14ac:dyDescent="0.2">
      <c r="B182" t="s">
        <v>173</v>
      </c>
      <c r="C182">
        <v>188.03320579199905</v>
      </c>
      <c r="D182">
        <v>69.236273126213476</v>
      </c>
      <c r="E182">
        <v>23.556636593581953</v>
      </c>
      <c r="F182">
        <v>19.589300187280173</v>
      </c>
    </row>
    <row r="183" spans="2:6" x14ac:dyDescent="0.2">
      <c r="B183" t="s">
        <v>173</v>
      </c>
      <c r="C183">
        <v>32.774316255546054</v>
      </c>
      <c r="D183">
        <v>12.581162521252065</v>
      </c>
      <c r="E183">
        <v>78.585242837955192</v>
      </c>
      <c r="F183">
        <v>5.9499622612591772</v>
      </c>
    </row>
    <row r="184" spans="2:6" x14ac:dyDescent="0.2">
      <c r="B184" t="s">
        <v>173</v>
      </c>
      <c r="C184">
        <v>71.544348746171508</v>
      </c>
      <c r="D184">
        <v>79.891769842434087</v>
      </c>
      <c r="E184">
        <v>3.004904596480332</v>
      </c>
      <c r="F184">
        <v>11.088516836836106</v>
      </c>
    </row>
    <row r="185" spans="2:6" x14ac:dyDescent="0.2">
      <c r="B185" t="s">
        <v>173</v>
      </c>
      <c r="C185">
        <v>59.392029392501158</v>
      </c>
      <c r="D185">
        <v>14.811784986899438</v>
      </c>
      <c r="E185">
        <v>10.997182530318828</v>
      </c>
      <c r="F185">
        <v>14.254259864787656</v>
      </c>
    </row>
    <row r="186" spans="2:6" x14ac:dyDescent="0.2">
      <c r="B186" t="s">
        <v>173</v>
      </c>
      <c r="C186">
        <v>7.2995914585669945</v>
      </c>
      <c r="D186">
        <v>15.35002598275522</v>
      </c>
      <c r="E186">
        <v>74.084959731250891</v>
      </c>
      <c r="F186">
        <v>10.368210138229927</v>
      </c>
    </row>
    <row r="187" spans="2:6" x14ac:dyDescent="0.2">
      <c r="B187" t="s">
        <v>173</v>
      </c>
      <c r="C187">
        <v>93.569388353760175</v>
      </c>
      <c r="D187">
        <v>27.267377581716183</v>
      </c>
      <c r="E187">
        <v>96.383664787231154</v>
      </c>
      <c r="F187">
        <v>40.69527475614197</v>
      </c>
    </row>
    <row r="188" spans="2:6" x14ac:dyDescent="0.2">
      <c r="B188" t="s">
        <v>173</v>
      </c>
      <c r="C188">
        <v>60.884758634485898</v>
      </c>
      <c r="D188">
        <v>28.295179602301253</v>
      </c>
      <c r="E188">
        <v>11.847608781406715</v>
      </c>
      <c r="F188">
        <v>7.7439568312152716</v>
      </c>
    </row>
    <row r="189" spans="2:6" x14ac:dyDescent="0.2">
      <c r="B189" t="s">
        <v>173</v>
      </c>
      <c r="C189">
        <v>49.961442611645261</v>
      </c>
      <c r="D189">
        <v>94.57425354435253</v>
      </c>
      <c r="E189">
        <v>123.28308283187903</v>
      </c>
      <c r="F189">
        <v>17.437228208536396</v>
      </c>
    </row>
    <row r="190" spans="2:6" x14ac:dyDescent="0.2">
      <c r="B190" t="s">
        <v>173</v>
      </c>
      <c r="C190">
        <v>87.812228178908967</v>
      </c>
      <c r="D190">
        <v>19.324995293875375</v>
      </c>
      <c r="E190">
        <v>53.921733259562046</v>
      </c>
      <c r="F190">
        <v>18.931902177085988</v>
      </c>
    </row>
    <row r="191" spans="2:6" x14ac:dyDescent="0.2">
      <c r="B191" t="s">
        <v>173</v>
      </c>
      <c r="C191">
        <v>27.850907425688689</v>
      </c>
      <c r="D191">
        <v>69.474719154641377</v>
      </c>
      <c r="E191">
        <v>314.47245779645749</v>
      </c>
      <c r="F191">
        <v>13.677979814220805</v>
      </c>
    </row>
    <row r="192" spans="2:6" x14ac:dyDescent="0.2">
      <c r="B192" t="s">
        <v>173</v>
      </c>
      <c r="C192">
        <v>84.712308183889519</v>
      </c>
      <c r="D192">
        <v>48.722763586121282</v>
      </c>
      <c r="E192">
        <v>75.722635693765142</v>
      </c>
      <c r="F192">
        <v>8.7239829284579926</v>
      </c>
    </row>
    <row r="193" spans="2:6" x14ac:dyDescent="0.2">
      <c r="B193" t="s">
        <v>173</v>
      </c>
      <c r="C193">
        <v>73.023655273563605</v>
      </c>
      <c r="D193">
        <v>47.466802760338744</v>
      </c>
      <c r="E193">
        <v>116.88982527499475</v>
      </c>
      <c r="F193">
        <v>22.370906866495062</v>
      </c>
    </row>
    <row r="194" spans="2:6" x14ac:dyDescent="0.2">
      <c r="B194" t="s">
        <v>173</v>
      </c>
      <c r="C194">
        <v>40.49138679273414</v>
      </c>
      <c r="D194">
        <v>40.259528309942581</v>
      </c>
      <c r="E194">
        <v>113.76966430678175</v>
      </c>
      <c r="F194">
        <v>8.0901434112072934</v>
      </c>
    </row>
    <row r="195" spans="2:6" x14ac:dyDescent="0.2">
      <c r="B195" t="s">
        <v>173</v>
      </c>
      <c r="C195">
        <v>66.463967800665088</v>
      </c>
      <c r="D195">
        <v>21.660262164428467</v>
      </c>
      <c r="E195">
        <v>75.272229919727224</v>
      </c>
      <c r="F195">
        <v>12.394958494507087</v>
      </c>
    </row>
    <row r="196" spans="2:6" x14ac:dyDescent="0.2">
      <c r="B196" t="s">
        <v>173</v>
      </c>
      <c r="C196">
        <v>48.231858490010524</v>
      </c>
      <c r="D196">
        <v>50.09408212868491</v>
      </c>
      <c r="E196">
        <v>34.750272855883168</v>
      </c>
      <c r="F196">
        <v>42.528459776373559</v>
      </c>
    </row>
    <row r="197" spans="2:6" x14ac:dyDescent="0.2">
      <c r="B197" t="s">
        <v>173</v>
      </c>
      <c r="C197">
        <v>176.94571871347534</v>
      </c>
      <c r="D197">
        <v>56.74519673361884</v>
      </c>
      <c r="E197">
        <v>233.8631568820056</v>
      </c>
      <c r="F197">
        <v>11.476577357820346</v>
      </c>
    </row>
    <row r="198" spans="2:6" x14ac:dyDescent="0.2">
      <c r="B198" t="s">
        <v>173</v>
      </c>
      <c r="C198">
        <v>145.43930567776027</v>
      </c>
      <c r="D198">
        <v>14.025895176227349</v>
      </c>
      <c r="E198">
        <v>199.00443325450738</v>
      </c>
      <c r="F198">
        <v>17.609930387048138</v>
      </c>
    </row>
    <row r="199" spans="2:6" x14ac:dyDescent="0.2">
      <c r="B199" t="s">
        <v>173</v>
      </c>
      <c r="C199">
        <v>236.99143812571262</v>
      </c>
      <c r="D199">
        <v>77.829073550905534</v>
      </c>
      <c r="E199">
        <v>94.1382193538401</v>
      </c>
      <c r="F199">
        <v>35.325488982336168</v>
      </c>
    </row>
    <row r="200" spans="2:6" x14ac:dyDescent="0.2">
      <c r="B200" t="s">
        <v>173</v>
      </c>
      <c r="C200">
        <v>91.176759904482736</v>
      </c>
      <c r="D200">
        <v>55.046069595312765</v>
      </c>
      <c r="E200">
        <v>86.775508242674078</v>
      </c>
      <c r="F200">
        <v>20.058429025027991</v>
      </c>
    </row>
    <row r="201" spans="2:6" x14ac:dyDescent="0.2">
      <c r="B201" t="s">
        <v>173</v>
      </c>
      <c r="C201">
        <v>62.943094575506755</v>
      </c>
      <c r="D201">
        <v>79.349442835806684</v>
      </c>
      <c r="E201">
        <v>10.128206162588461</v>
      </c>
      <c r="F201">
        <v>5.0282763557976864</v>
      </c>
    </row>
    <row r="202" spans="2:6" x14ac:dyDescent="0.2">
      <c r="B202" t="s">
        <v>173</v>
      </c>
      <c r="C202">
        <v>36.865701058242841</v>
      </c>
      <c r="D202">
        <v>2.5722749227357489</v>
      </c>
      <c r="E202">
        <v>37.761770599154616</v>
      </c>
      <c r="F202">
        <v>8.9995024667930963</v>
      </c>
    </row>
    <row r="203" spans="2:6" x14ac:dyDescent="0.2">
      <c r="B203" t="s">
        <v>173</v>
      </c>
      <c r="C203">
        <v>51.197176744368136</v>
      </c>
      <c r="D203">
        <v>42.455421394543393</v>
      </c>
      <c r="E203">
        <v>87.934939248091482</v>
      </c>
      <c r="F203">
        <v>9.274026075946729</v>
      </c>
    </row>
    <row r="204" spans="2:6" x14ac:dyDescent="0.2">
      <c r="B204" t="s">
        <v>173</v>
      </c>
      <c r="C204">
        <v>54.378253549469349</v>
      </c>
      <c r="D204">
        <v>66.941776397299307</v>
      </c>
      <c r="E204">
        <v>32.833255445870265</v>
      </c>
      <c r="F204">
        <v>44.479029701560506</v>
      </c>
    </row>
    <row r="205" spans="2:6" x14ac:dyDescent="0.2">
      <c r="B205" t="s">
        <v>173</v>
      </c>
      <c r="C205">
        <v>92.096204150679057</v>
      </c>
      <c r="D205">
        <v>80.67982845832141</v>
      </c>
      <c r="E205">
        <v>39.493435936720381</v>
      </c>
      <c r="F205">
        <v>0.90183922070504252</v>
      </c>
    </row>
    <row r="206" spans="2:6" x14ac:dyDescent="0.2">
      <c r="B206" t="s">
        <v>173</v>
      </c>
      <c r="C206">
        <v>55.313150701635188</v>
      </c>
      <c r="D206">
        <v>15.198198625559435</v>
      </c>
      <c r="E206">
        <v>18.203417326941352</v>
      </c>
      <c r="F206">
        <v>5.392245649833157</v>
      </c>
    </row>
    <row r="207" spans="2:6" x14ac:dyDescent="0.2">
      <c r="B207" t="s">
        <v>173</v>
      </c>
      <c r="C207">
        <v>72.402572893512954</v>
      </c>
      <c r="D207">
        <v>25.748529744855166</v>
      </c>
      <c r="E207">
        <v>108.66532528477697</v>
      </c>
      <c r="F207">
        <v>4.2505676987852326</v>
      </c>
    </row>
    <row r="208" spans="2:6" x14ac:dyDescent="0.2">
      <c r="B208" t="s">
        <v>173</v>
      </c>
      <c r="C208">
        <v>144.51121072648652</v>
      </c>
      <c r="D208">
        <v>30.067145056864867</v>
      </c>
      <c r="E208">
        <v>43.039593720453169</v>
      </c>
      <c r="F208">
        <v>45.583592587237831</v>
      </c>
    </row>
    <row r="209" spans="2:6" x14ac:dyDescent="0.2">
      <c r="B209" t="s">
        <v>173</v>
      </c>
      <c r="C209">
        <v>41.27502045673576</v>
      </c>
      <c r="D209">
        <v>13.562474158880963</v>
      </c>
      <c r="E209">
        <v>28.225906746916518</v>
      </c>
      <c r="F209">
        <v>5.3242016757179726</v>
      </c>
    </row>
    <row r="210" spans="2:6" x14ac:dyDescent="0.2">
      <c r="B210" t="s">
        <v>173</v>
      </c>
      <c r="C210">
        <v>280.49175981558864</v>
      </c>
      <c r="D210">
        <v>31.146849655392636</v>
      </c>
      <c r="E210">
        <v>28.842074456025827</v>
      </c>
      <c r="F210">
        <v>6.3860315129902645</v>
      </c>
    </row>
    <row r="211" spans="2:6" x14ac:dyDescent="0.2">
      <c r="B211" t="s">
        <v>173</v>
      </c>
      <c r="C211">
        <v>61.636229451812298</v>
      </c>
      <c r="D211">
        <v>29.513536737501028</v>
      </c>
      <c r="E211">
        <v>77.344848008947721</v>
      </c>
      <c r="F211">
        <v>64.810027167008627</v>
      </c>
    </row>
    <row r="212" spans="2:6" x14ac:dyDescent="0.2">
      <c r="B212" t="s">
        <v>173</v>
      </c>
      <c r="C212">
        <v>28.918658044414936</v>
      </c>
      <c r="D212">
        <v>18.004147544527573</v>
      </c>
      <c r="E212">
        <v>35.00472559339687</v>
      </c>
      <c r="F212">
        <v>11.158594463566054</v>
      </c>
    </row>
    <row r="213" spans="2:6" x14ac:dyDescent="0.2">
      <c r="B213" t="s">
        <v>173</v>
      </c>
      <c r="C213">
        <v>19.652635635394553</v>
      </c>
      <c r="D213">
        <v>22.706475201783586</v>
      </c>
      <c r="E213">
        <v>51.386011915905002</v>
      </c>
      <c r="F213">
        <v>5.4214395484274576</v>
      </c>
    </row>
    <row r="214" spans="2:6" x14ac:dyDescent="0.2">
      <c r="B214" t="s">
        <v>173</v>
      </c>
      <c r="C214">
        <v>145.85313056182775</v>
      </c>
      <c r="D214">
        <v>11.785330942655133</v>
      </c>
      <c r="E214">
        <v>150.49680162050126</v>
      </c>
      <c r="F214">
        <v>21.153951313122931</v>
      </c>
    </row>
    <row r="215" spans="2:6" x14ac:dyDescent="0.2">
      <c r="B215" t="s">
        <v>173</v>
      </c>
      <c r="C215">
        <v>16.117343061175454</v>
      </c>
      <c r="D215">
        <v>92.068762666674544</v>
      </c>
      <c r="E215">
        <v>12.886062541832592</v>
      </c>
      <c r="F215">
        <v>20.50140154093944</v>
      </c>
    </row>
    <row r="216" spans="2:6" x14ac:dyDescent="0.2">
      <c r="B216" t="s">
        <v>173</v>
      </c>
      <c r="C216">
        <v>43.980682257066348</v>
      </c>
      <c r="D216">
        <v>41.078824111117868</v>
      </c>
      <c r="E216">
        <v>35.8133658938319</v>
      </c>
      <c r="F216">
        <v>6.029692681906603</v>
      </c>
    </row>
    <row r="217" spans="2:6" x14ac:dyDescent="0.2">
      <c r="B217" t="s">
        <v>173</v>
      </c>
      <c r="C217">
        <v>192.87025596980175</v>
      </c>
      <c r="D217">
        <v>16.819084761131425</v>
      </c>
      <c r="E217">
        <v>26.776466137833662</v>
      </c>
      <c r="F217">
        <v>22.394479237843946</v>
      </c>
    </row>
    <row r="218" spans="2:6" x14ac:dyDescent="0.2">
      <c r="B218" t="s">
        <v>173</v>
      </c>
      <c r="C218">
        <v>117.23337984543676</v>
      </c>
      <c r="D218">
        <v>46.242900230340695</v>
      </c>
      <c r="E218">
        <v>15.78000814196283</v>
      </c>
      <c r="F218">
        <v>5.6397693361467987</v>
      </c>
    </row>
    <row r="219" spans="2:6" x14ac:dyDescent="0.2">
      <c r="B219" t="s">
        <v>173</v>
      </c>
      <c r="C219">
        <v>170.04361701394788</v>
      </c>
      <c r="D219">
        <v>3.0056808399910451</v>
      </c>
      <c r="E219">
        <v>34.137095776873458</v>
      </c>
      <c r="F219">
        <v>67.374004374633756</v>
      </c>
    </row>
    <row r="220" spans="2:6" x14ac:dyDescent="0.2">
      <c r="B220" t="s">
        <v>173</v>
      </c>
      <c r="C220">
        <v>87.490168896014524</v>
      </c>
      <c r="D220">
        <v>30.510139059920796</v>
      </c>
      <c r="E220">
        <v>22.939031128459479</v>
      </c>
      <c r="F220">
        <v>31.539767822266327</v>
      </c>
    </row>
    <row r="221" spans="2:6" x14ac:dyDescent="0.2">
      <c r="B221" t="s">
        <v>173</v>
      </c>
      <c r="C221">
        <v>35.549989516008246</v>
      </c>
      <c r="D221">
        <v>51.492236941799895</v>
      </c>
      <c r="E221">
        <v>12.444696128360379</v>
      </c>
      <c r="F221">
        <v>7.7588046235868262</v>
      </c>
    </row>
    <row r="222" spans="2:6" x14ac:dyDescent="0.2">
      <c r="B222" t="s">
        <v>173</v>
      </c>
      <c r="C222">
        <v>19.75396095662537</v>
      </c>
      <c r="D222">
        <v>63.357521973424781</v>
      </c>
      <c r="E222">
        <v>113.60996630628858</v>
      </c>
      <c r="F222">
        <v>21.91404544069627</v>
      </c>
    </row>
    <row r="223" spans="2:6" x14ac:dyDescent="0.2">
      <c r="B223" t="s">
        <v>173</v>
      </c>
      <c r="C223">
        <v>57.890348202935101</v>
      </c>
      <c r="D223">
        <v>54.518209070639045</v>
      </c>
      <c r="E223">
        <v>4.9871587709428056</v>
      </c>
      <c r="F223">
        <v>0.77949998023735567</v>
      </c>
    </row>
    <row r="224" spans="2:6" x14ac:dyDescent="0.2">
      <c r="B224" t="s">
        <v>173</v>
      </c>
      <c r="C224">
        <v>18.719740821351603</v>
      </c>
      <c r="D224">
        <v>5.8747592103523356</v>
      </c>
      <c r="E224">
        <v>30.235428125126838</v>
      </c>
      <c r="F224">
        <v>40.020001312804709</v>
      </c>
    </row>
    <row r="225" spans="2:6" x14ac:dyDescent="0.2">
      <c r="B225" t="s">
        <v>173</v>
      </c>
      <c r="C225">
        <v>134.00680956117662</v>
      </c>
      <c r="D225">
        <v>68.440901364910431</v>
      </c>
      <c r="E225">
        <v>13.20629387977584</v>
      </c>
      <c r="F225">
        <v>4.4475563522773669</v>
      </c>
    </row>
    <row r="226" spans="2:6" x14ac:dyDescent="0.2">
      <c r="B226" t="s">
        <v>173</v>
      </c>
      <c r="C226">
        <v>45.290969442654607</v>
      </c>
      <c r="D226">
        <v>68.507234447790935</v>
      </c>
      <c r="E226">
        <v>27.820704962600789</v>
      </c>
      <c r="F226">
        <v>48.941732368502215</v>
      </c>
    </row>
    <row r="227" spans="2:6" x14ac:dyDescent="0.2">
      <c r="B227" t="s">
        <v>173</v>
      </c>
      <c r="C227">
        <v>151.45666438221656</v>
      </c>
      <c r="D227">
        <v>100.27485171316734</v>
      </c>
      <c r="E227">
        <v>34.076915280201248</v>
      </c>
      <c r="F227">
        <v>17.046308887570177</v>
      </c>
    </row>
    <row r="228" spans="2:6" x14ac:dyDescent="0.2">
      <c r="B228" t="s">
        <v>173</v>
      </c>
      <c r="C228">
        <v>3.6409860501469145</v>
      </c>
      <c r="D228">
        <v>53.112299684001854</v>
      </c>
      <c r="E228">
        <v>94.181349754919438</v>
      </c>
      <c r="F228">
        <v>25.924022564368123</v>
      </c>
    </row>
    <row r="229" spans="2:6" x14ac:dyDescent="0.2">
      <c r="B229" t="s">
        <v>173</v>
      </c>
      <c r="C229">
        <v>82.414754008490462</v>
      </c>
      <c r="D229">
        <v>26.894450298024946</v>
      </c>
      <c r="E229">
        <v>57.583907361147141</v>
      </c>
      <c r="F229">
        <v>9.6761866610687157</v>
      </c>
    </row>
    <row r="230" spans="2:6" x14ac:dyDescent="0.2">
      <c r="B230" t="s">
        <v>173</v>
      </c>
      <c r="C230">
        <v>22.329624116326251</v>
      </c>
      <c r="D230">
        <v>99.04016712166451</v>
      </c>
      <c r="E230">
        <v>127.98286629507182</v>
      </c>
      <c r="F230">
        <v>12.609598709453522</v>
      </c>
    </row>
    <row r="231" spans="2:6" x14ac:dyDescent="0.2">
      <c r="B231" t="s">
        <v>173</v>
      </c>
      <c r="C231">
        <v>59.027524406315649</v>
      </c>
      <c r="D231">
        <v>14.307440364998515</v>
      </c>
      <c r="E231">
        <v>71.24151797611151</v>
      </c>
      <c r="F231">
        <v>3.8820885782214383</v>
      </c>
    </row>
    <row r="232" spans="2:6" x14ac:dyDescent="0.2">
      <c r="B232" t="s">
        <v>173</v>
      </c>
      <c r="C232">
        <v>73.496944991949832</v>
      </c>
      <c r="D232">
        <v>114.42216320432921</v>
      </c>
      <c r="E232">
        <v>24.570194271128258</v>
      </c>
      <c r="F232">
        <v>1.3961034597053237</v>
      </c>
    </row>
    <row r="233" spans="2:6" x14ac:dyDescent="0.2">
      <c r="B233" t="s">
        <v>173</v>
      </c>
      <c r="C233">
        <v>84.755036549930978</v>
      </c>
      <c r="D233">
        <v>35.10101807039149</v>
      </c>
      <c r="E233">
        <v>116.73915323738152</v>
      </c>
      <c r="F233">
        <v>3.456776404706325</v>
      </c>
    </row>
    <row r="234" spans="2:6" x14ac:dyDescent="0.2">
      <c r="B234" t="s">
        <v>173</v>
      </c>
      <c r="C234">
        <v>7.8974895545990487</v>
      </c>
      <c r="D234">
        <v>0.74141422000042123</v>
      </c>
      <c r="E234">
        <v>55.093657629801861</v>
      </c>
      <c r="F234">
        <v>0.5414581678974919</v>
      </c>
    </row>
    <row r="235" spans="2:6" x14ac:dyDescent="0.2">
      <c r="B235" t="s">
        <v>173</v>
      </c>
      <c r="C235">
        <v>79.92100874766318</v>
      </c>
      <c r="D235">
        <v>29.848019077066173</v>
      </c>
      <c r="E235">
        <v>222.89224685957413</v>
      </c>
      <c r="F235">
        <v>14.362650170382082</v>
      </c>
    </row>
    <row r="236" spans="2:6" x14ac:dyDescent="0.2">
      <c r="B236" t="s">
        <v>173</v>
      </c>
      <c r="C236">
        <v>44.574985727728482</v>
      </c>
      <c r="D236">
        <v>168.02435349094637</v>
      </c>
      <c r="E236">
        <v>18.376512144480444</v>
      </c>
      <c r="F236">
        <v>8.8780771136894074</v>
      </c>
    </row>
    <row r="237" spans="2:6" x14ac:dyDescent="0.2">
      <c r="B237" t="s">
        <v>173</v>
      </c>
      <c r="C237">
        <v>98.260116514249447</v>
      </c>
      <c r="D237">
        <v>33.136044429490532</v>
      </c>
      <c r="E237">
        <v>39.579844308886607</v>
      </c>
      <c r="F237">
        <v>55.534589514718519</v>
      </c>
    </row>
    <row r="238" spans="2:6" x14ac:dyDescent="0.2">
      <c r="B238" t="s">
        <v>173</v>
      </c>
      <c r="C238">
        <v>122.87685018625008</v>
      </c>
      <c r="D238">
        <v>15.305977379993292</v>
      </c>
      <c r="E238">
        <v>67.620202857643662</v>
      </c>
      <c r="F238">
        <v>25.85673535807625</v>
      </c>
    </row>
    <row r="239" spans="2:6" x14ac:dyDescent="0.2">
      <c r="B239" t="s">
        <v>173</v>
      </c>
      <c r="C239">
        <v>135.7318277253066</v>
      </c>
      <c r="D239">
        <v>16.67770475165047</v>
      </c>
      <c r="E239">
        <v>52.826206864625284</v>
      </c>
      <c r="F239">
        <v>11.389562894128346</v>
      </c>
    </row>
    <row r="240" spans="2:6" x14ac:dyDescent="0.2">
      <c r="B240" t="s">
        <v>173</v>
      </c>
      <c r="C240">
        <v>76.544723178764315</v>
      </c>
      <c r="D240">
        <v>57.635992483087954</v>
      </c>
      <c r="E240">
        <v>62.116834694957262</v>
      </c>
      <c r="F240">
        <v>3.1490302389450111</v>
      </c>
    </row>
    <row r="241" spans="2:6" x14ac:dyDescent="0.2">
      <c r="B241" t="s">
        <v>173</v>
      </c>
      <c r="C241">
        <v>80.005681215366465</v>
      </c>
      <c r="D241">
        <v>29.951231830020578</v>
      </c>
      <c r="E241">
        <v>73.112574683763228</v>
      </c>
      <c r="F241">
        <v>14.429259767648311</v>
      </c>
    </row>
    <row r="242" spans="2:6" x14ac:dyDescent="0.2">
      <c r="B242" t="s">
        <v>173</v>
      </c>
      <c r="C242">
        <v>232.79236404761912</v>
      </c>
      <c r="D242">
        <v>14.700193218653077</v>
      </c>
      <c r="E242">
        <v>17.618922910386324</v>
      </c>
      <c r="F242">
        <v>3.4248372197000467</v>
      </c>
    </row>
    <row r="243" spans="2:6" x14ac:dyDescent="0.2">
      <c r="B243" t="s">
        <v>173</v>
      </c>
      <c r="C243">
        <v>8.4636138347177212</v>
      </c>
      <c r="D243">
        <v>10.273746766202683</v>
      </c>
      <c r="E243">
        <v>30.056242958371772</v>
      </c>
      <c r="F243">
        <v>9.6452679678065785</v>
      </c>
    </row>
    <row r="244" spans="2:6" x14ac:dyDescent="0.2">
      <c r="B244" t="s">
        <v>173</v>
      </c>
      <c r="C244">
        <v>204.76327595936678</v>
      </c>
      <c r="D244">
        <v>11.206008258155411</v>
      </c>
      <c r="E244">
        <v>6.3601697181549666</v>
      </c>
      <c r="F244">
        <v>13.151860245108907</v>
      </c>
    </row>
    <row r="245" spans="2:6" x14ac:dyDescent="0.2">
      <c r="B245" t="s">
        <v>173</v>
      </c>
      <c r="C245">
        <v>29.976207757017736</v>
      </c>
      <c r="D245">
        <v>4.1930020279254379</v>
      </c>
      <c r="E245">
        <v>28.79591339852356</v>
      </c>
      <c r="F245">
        <v>20.280108055623174</v>
      </c>
    </row>
    <row r="246" spans="2:6" x14ac:dyDescent="0.2">
      <c r="B246" t="s">
        <v>173</v>
      </c>
      <c r="C246">
        <v>40.617039812146906</v>
      </c>
      <c r="D246">
        <v>58.367238827981495</v>
      </c>
      <c r="E246">
        <v>105.71844704149819</v>
      </c>
      <c r="F246">
        <v>9.1357769309757941</v>
      </c>
    </row>
    <row r="247" spans="2:6" x14ac:dyDescent="0.2">
      <c r="B247" t="s">
        <v>173</v>
      </c>
      <c r="C247">
        <v>63.403209294486921</v>
      </c>
      <c r="D247">
        <v>33.762279029067585</v>
      </c>
      <c r="E247">
        <v>52.997896457211418</v>
      </c>
      <c r="F247">
        <v>3.8136057728125508</v>
      </c>
    </row>
    <row r="248" spans="2:6" x14ac:dyDescent="0.2">
      <c r="B248" t="s">
        <v>173</v>
      </c>
      <c r="C248">
        <v>83.401045198297552</v>
      </c>
      <c r="D248">
        <v>34.5381754332196</v>
      </c>
      <c r="E248">
        <v>77.706818928596547</v>
      </c>
      <c r="F248">
        <v>33.570291901147613</v>
      </c>
    </row>
    <row r="249" spans="2:6" x14ac:dyDescent="0.2">
      <c r="B249" t="s">
        <v>173</v>
      </c>
      <c r="C249">
        <v>10.385106436815956</v>
      </c>
      <c r="D249">
        <v>26.055099128971573</v>
      </c>
      <c r="E249">
        <v>62.334424461807572</v>
      </c>
      <c r="F249">
        <v>1.8863019771716534</v>
      </c>
    </row>
    <row r="250" spans="2:6" x14ac:dyDescent="0.2">
      <c r="B250" t="s">
        <v>173</v>
      </c>
      <c r="C250">
        <v>54.301118557510804</v>
      </c>
      <c r="D250">
        <v>30.460359162200788</v>
      </c>
      <c r="E250">
        <v>182.28483060271762</v>
      </c>
      <c r="F250">
        <v>41.269320655308732</v>
      </c>
    </row>
    <row r="251" spans="2:6" x14ac:dyDescent="0.2">
      <c r="B251" t="s">
        <v>173</v>
      </c>
      <c r="C251">
        <v>23.661836688216944</v>
      </c>
      <c r="D251">
        <v>8.7091000214589336</v>
      </c>
      <c r="E251">
        <v>157.11174995247438</v>
      </c>
      <c r="F251">
        <v>1.0223974433571783</v>
      </c>
    </row>
    <row r="252" spans="2:6" x14ac:dyDescent="0.2">
      <c r="B252" t="s">
        <v>173</v>
      </c>
      <c r="C252">
        <v>25.700168919534878</v>
      </c>
      <c r="D252">
        <v>56.536633103353516</v>
      </c>
      <c r="E252">
        <v>60.327984573583052</v>
      </c>
      <c r="F252">
        <v>49.174155772891794</v>
      </c>
    </row>
    <row r="253" spans="2:6" x14ac:dyDescent="0.2">
      <c r="B253" t="s">
        <v>173</v>
      </c>
      <c r="C253">
        <v>68.229067015500178</v>
      </c>
      <c r="D253">
        <v>50.409557346074259</v>
      </c>
      <c r="E253">
        <v>32.222799031329025</v>
      </c>
      <c r="F253">
        <v>29.367311641478508</v>
      </c>
    </row>
    <row r="254" spans="2:6" x14ac:dyDescent="0.2">
      <c r="B254" t="s">
        <v>173</v>
      </c>
      <c r="C254">
        <v>127.75360804307472</v>
      </c>
      <c r="D254">
        <v>102.55872087223332</v>
      </c>
      <c r="E254">
        <v>81.975172796915302</v>
      </c>
      <c r="F254">
        <v>28.774736789525519</v>
      </c>
    </row>
    <row r="255" spans="2:6" x14ac:dyDescent="0.2">
      <c r="B255" t="s">
        <v>173</v>
      </c>
      <c r="C255">
        <v>12.199606272116933</v>
      </c>
      <c r="D255">
        <v>30.022426667461485</v>
      </c>
      <c r="E255">
        <v>45.556296754430086</v>
      </c>
      <c r="F255">
        <v>0.32710924541478903</v>
      </c>
    </row>
    <row r="256" spans="2:6" x14ac:dyDescent="0.2">
      <c r="B256" t="s">
        <v>173</v>
      </c>
      <c r="C256">
        <v>17.139223520261748</v>
      </c>
      <c r="D256">
        <v>7.1112306860471657</v>
      </c>
      <c r="E256">
        <v>39.660168699219192</v>
      </c>
      <c r="F256">
        <v>2.5433598186896091</v>
      </c>
    </row>
    <row r="257" spans="2:6" x14ac:dyDescent="0.2">
      <c r="B257" t="s">
        <v>173</v>
      </c>
      <c r="C257">
        <v>49.733497015989755</v>
      </c>
      <c r="D257">
        <v>63.236120355918032</v>
      </c>
      <c r="E257">
        <v>116.73254110838282</v>
      </c>
      <c r="F257">
        <v>1.9262934361715214</v>
      </c>
    </row>
    <row r="258" spans="2:6" x14ac:dyDescent="0.2">
      <c r="B258" t="s">
        <v>173</v>
      </c>
      <c r="C258">
        <v>17.767336375143902</v>
      </c>
      <c r="D258">
        <v>16.57897918436144</v>
      </c>
      <c r="E258">
        <v>28.374538076619856</v>
      </c>
      <c r="F258">
        <v>9.5137270551029047</v>
      </c>
    </row>
    <row r="259" spans="2:6" x14ac:dyDescent="0.2">
      <c r="B259" t="s">
        <v>173</v>
      </c>
      <c r="C259">
        <v>98.066399683210392</v>
      </c>
      <c r="D259">
        <v>21.56034797668821</v>
      </c>
      <c r="E259">
        <v>10.834275569385499</v>
      </c>
      <c r="F259">
        <v>81.687869357244324</v>
      </c>
    </row>
    <row r="260" spans="2:6" x14ac:dyDescent="0.2">
      <c r="B260" t="s">
        <v>173</v>
      </c>
      <c r="C260">
        <v>16.419117855530988</v>
      </c>
      <c r="D260">
        <v>17.036777298244711</v>
      </c>
      <c r="E260">
        <v>64.976099106201005</v>
      </c>
      <c r="F260">
        <v>26.574933303591266</v>
      </c>
    </row>
    <row r="261" spans="2:6" x14ac:dyDescent="0.2">
      <c r="B261" t="s">
        <v>173</v>
      </c>
      <c r="C261">
        <v>57.72268935911486</v>
      </c>
      <c r="D261">
        <v>74.025144548192074</v>
      </c>
      <c r="E261">
        <v>8.054724872425755</v>
      </c>
      <c r="F261">
        <v>2.9224496610720916</v>
      </c>
    </row>
    <row r="262" spans="2:6" x14ac:dyDescent="0.2">
      <c r="B262" t="s">
        <v>173</v>
      </c>
      <c r="C262">
        <v>14.39571149980946</v>
      </c>
      <c r="D262">
        <v>64.51244192375178</v>
      </c>
      <c r="E262">
        <v>49.714101385166664</v>
      </c>
      <c r="F262">
        <v>69.72829299285857</v>
      </c>
    </row>
    <row r="263" spans="2:6" x14ac:dyDescent="0.2">
      <c r="B263" t="s">
        <v>173</v>
      </c>
      <c r="C263">
        <v>52.909321170771896</v>
      </c>
      <c r="D263">
        <v>50.748100554532563</v>
      </c>
      <c r="E263">
        <v>17.856562359767697</v>
      </c>
      <c r="F263">
        <v>2.6406468720066485</v>
      </c>
    </row>
    <row r="264" spans="2:6" x14ac:dyDescent="0.2">
      <c r="B264" t="s">
        <v>173</v>
      </c>
      <c r="C264">
        <v>19.079467677726623</v>
      </c>
      <c r="D264">
        <v>83.447886509492363</v>
      </c>
      <c r="E264">
        <v>12.839154850325208</v>
      </c>
      <c r="F264">
        <v>7.8182006034763702</v>
      </c>
    </row>
    <row r="265" spans="2:6" x14ac:dyDescent="0.2">
      <c r="B265" t="s">
        <v>173</v>
      </c>
      <c r="C265">
        <v>81.605512095757135</v>
      </c>
      <c r="D265">
        <v>43.51678542226032</v>
      </c>
      <c r="E265">
        <v>105.69602837461407</v>
      </c>
      <c r="F265">
        <v>46.491347011951262</v>
      </c>
    </row>
    <row r="266" spans="2:6" x14ac:dyDescent="0.2">
      <c r="B266" t="s">
        <v>173</v>
      </c>
      <c r="C266">
        <v>38.163372945359519</v>
      </c>
      <c r="D266">
        <v>19.697860273408896</v>
      </c>
      <c r="E266">
        <v>127.08025906269853</v>
      </c>
      <c r="F266">
        <v>17.160714716173018</v>
      </c>
    </row>
    <row r="267" spans="2:6" x14ac:dyDescent="0.2">
      <c r="B267" t="s">
        <v>173</v>
      </c>
      <c r="C267">
        <v>103.85727237810913</v>
      </c>
      <c r="D267">
        <v>5.2340520086837632</v>
      </c>
      <c r="E267">
        <v>87.530250449620326</v>
      </c>
      <c r="F267">
        <v>14.488918611423927</v>
      </c>
    </row>
    <row r="268" spans="2:6" x14ac:dyDescent="0.2">
      <c r="B268" t="s">
        <v>173</v>
      </c>
      <c r="C268">
        <v>143.88687705128959</v>
      </c>
      <c r="D268">
        <v>23.761998959462034</v>
      </c>
      <c r="E268">
        <v>9.7406112894351509</v>
      </c>
      <c r="F268">
        <v>0.56527331953944149</v>
      </c>
    </row>
    <row r="269" spans="2:6" x14ac:dyDescent="0.2">
      <c r="B269" t="s">
        <v>173</v>
      </c>
      <c r="C269">
        <v>47.354132948589935</v>
      </c>
      <c r="D269">
        <v>13.191855891163547</v>
      </c>
      <c r="E269">
        <v>10.118144353042581</v>
      </c>
      <c r="F269">
        <v>42.329078795479667</v>
      </c>
    </row>
    <row r="270" spans="2:6" x14ac:dyDescent="0.2">
      <c r="B270" t="s">
        <v>173</v>
      </c>
      <c r="C270">
        <v>96.187776854940267</v>
      </c>
      <c r="D270">
        <v>52.193708692683757</v>
      </c>
      <c r="E270">
        <v>98.226128539869649</v>
      </c>
      <c r="F270">
        <v>6.1288311639246018</v>
      </c>
    </row>
    <row r="271" spans="2:6" x14ac:dyDescent="0.2">
      <c r="B271" t="s">
        <v>173</v>
      </c>
      <c r="C271">
        <v>184.56787690649634</v>
      </c>
      <c r="D271">
        <v>79.511702567118903</v>
      </c>
      <c r="E271">
        <v>67.282089348145064</v>
      </c>
      <c r="F271">
        <v>8.2353331144285562</v>
      </c>
    </row>
    <row r="272" spans="2:6" x14ac:dyDescent="0.2">
      <c r="B272" t="s">
        <v>173</v>
      </c>
      <c r="C272">
        <v>166.0254356041026</v>
      </c>
      <c r="D272">
        <v>29.76033431234087</v>
      </c>
      <c r="E272">
        <v>48.595968872552326</v>
      </c>
      <c r="F272">
        <v>12.772597528369545</v>
      </c>
    </row>
    <row r="273" spans="2:6" x14ac:dyDescent="0.2">
      <c r="B273" t="s">
        <v>173</v>
      </c>
      <c r="C273">
        <v>34.156838205412214</v>
      </c>
      <c r="D273">
        <v>11.182693705285095</v>
      </c>
      <c r="E273">
        <v>222.31885769117264</v>
      </c>
      <c r="F273">
        <v>6.9885194487150102</v>
      </c>
    </row>
    <row r="274" spans="2:6" x14ac:dyDescent="0.2">
      <c r="B274" t="s">
        <v>173</v>
      </c>
      <c r="C274">
        <v>160.26699340296727</v>
      </c>
      <c r="D274">
        <v>17.327172496462236</v>
      </c>
      <c r="E274">
        <v>43.843375888955684</v>
      </c>
      <c r="F274">
        <v>2.0383714954685104</v>
      </c>
    </row>
    <row r="275" spans="2:6" x14ac:dyDescent="0.2">
      <c r="B275" t="s">
        <v>173</v>
      </c>
      <c r="C275">
        <v>41.230200634695024</v>
      </c>
      <c r="D275">
        <v>9.3431740748949039</v>
      </c>
      <c r="E275">
        <v>32.070689752177508</v>
      </c>
      <c r="F275">
        <v>9.9234451636685748</v>
      </c>
    </row>
    <row r="276" spans="2:6" x14ac:dyDescent="0.2">
      <c r="B276" t="s">
        <v>173</v>
      </c>
      <c r="C276">
        <v>51.707602884168779</v>
      </c>
      <c r="D276">
        <v>21.74960930633118</v>
      </c>
      <c r="E276">
        <v>16.5562699023153</v>
      </c>
      <c r="F276">
        <v>13.212175021580762</v>
      </c>
    </row>
    <row r="277" spans="2:6" x14ac:dyDescent="0.2">
      <c r="B277" t="s">
        <v>173</v>
      </c>
      <c r="C277">
        <v>119.4872034497521</v>
      </c>
      <c r="D277">
        <v>7.17107424224608</v>
      </c>
      <c r="E277">
        <v>202.89866000541372</v>
      </c>
      <c r="F277">
        <v>40.853005380842589</v>
      </c>
    </row>
    <row r="278" spans="2:6" x14ac:dyDescent="0.2">
      <c r="B278" t="s">
        <v>173</v>
      </c>
      <c r="C278">
        <v>19.496245525436557</v>
      </c>
      <c r="D278">
        <v>143.99905865853654</v>
      </c>
      <c r="E278">
        <v>16.069395512097454</v>
      </c>
      <c r="F278">
        <v>77.301027383714626</v>
      </c>
    </row>
    <row r="279" spans="2:6" x14ac:dyDescent="0.2">
      <c r="B279" t="s">
        <v>173</v>
      </c>
      <c r="C279">
        <v>12.873870995884095</v>
      </c>
      <c r="D279">
        <v>47.449996012712162</v>
      </c>
      <c r="E279">
        <v>128.53380921645416</v>
      </c>
      <c r="F279">
        <v>28.40400131208402</v>
      </c>
    </row>
    <row r="280" spans="2:6" x14ac:dyDescent="0.2">
      <c r="B280" t="s">
        <v>173</v>
      </c>
      <c r="C280">
        <v>57.72299991509675</v>
      </c>
      <c r="D280">
        <v>27.096780632232463</v>
      </c>
      <c r="E280">
        <v>90.33027227795273</v>
      </c>
      <c r="F280">
        <v>25.152770601677396</v>
      </c>
    </row>
    <row r="281" spans="2:6" x14ac:dyDescent="0.2">
      <c r="B281" t="s">
        <v>173</v>
      </c>
      <c r="C281">
        <v>16.296116090786942</v>
      </c>
      <c r="D281">
        <v>105.70078987212081</v>
      </c>
      <c r="E281">
        <v>24.796791228490271</v>
      </c>
      <c r="F281">
        <v>29.844375199963224</v>
      </c>
    </row>
    <row r="282" spans="2:6" x14ac:dyDescent="0.2">
      <c r="B282" t="s">
        <v>173</v>
      </c>
      <c r="C282">
        <v>117.2932319305592</v>
      </c>
      <c r="D282">
        <v>41.899564763937853</v>
      </c>
      <c r="E282">
        <v>35.380964136483058</v>
      </c>
      <c r="F282">
        <v>0.17964768034467937</v>
      </c>
    </row>
    <row r="283" spans="2:6" x14ac:dyDescent="0.2">
      <c r="B283" t="s">
        <v>173</v>
      </c>
      <c r="C283">
        <v>39.399923780343279</v>
      </c>
      <c r="D283">
        <v>40.075975801340697</v>
      </c>
      <c r="E283">
        <v>48.833412177805272</v>
      </c>
      <c r="F283">
        <v>0.96529358601302029</v>
      </c>
    </row>
    <row r="284" spans="2:6" x14ac:dyDescent="0.2">
      <c r="B284" t="s">
        <v>173</v>
      </c>
      <c r="C284">
        <v>222.57890213287564</v>
      </c>
      <c r="D284">
        <v>35.532183290121189</v>
      </c>
      <c r="E284">
        <v>52.35530479382011</v>
      </c>
      <c r="F284">
        <v>0.77958321194888924</v>
      </c>
    </row>
    <row r="285" spans="2:6" x14ac:dyDescent="0.2">
      <c r="B285" t="s">
        <v>173</v>
      </c>
      <c r="C285">
        <v>33.314968934424215</v>
      </c>
      <c r="D285">
        <v>20.771067340098636</v>
      </c>
      <c r="E285">
        <v>0.40215946973341582</v>
      </c>
      <c r="F285">
        <v>2.8149826785198107</v>
      </c>
    </row>
    <row r="286" spans="2:6" x14ac:dyDescent="0.2">
      <c r="B286" t="s">
        <v>173</v>
      </c>
      <c r="C286">
        <v>70.764370245613577</v>
      </c>
      <c r="D286">
        <v>5.6456152265795545</v>
      </c>
      <c r="E286">
        <v>41.439519157371784</v>
      </c>
      <c r="F286">
        <v>1.311844644539562</v>
      </c>
    </row>
    <row r="287" spans="2:6" x14ac:dyDescent="0.2">
      <c r="B287" t="s">
        <v>173</v>
      </c>
      <c r="C287">
        <v>74.344831350271548</v>
      </c>
      <c r="D287">
        <v>73.002855396751627</v>
      </c>
      <c r="E287">
        <v>80.570618299232819</v>
      </c>
      <c r="F287">
        <v>38.83648124011637</v>
      </c>
    </row>
    <row r="288" spans="2:6" x14ac:dyDescent="0.2">
      <c r="B288" t="s">
        <v>173</v>
      </c>
      <c r="C288">
        <v>31.480947683645518</v>
      </c>
      <c r="D288">
        <v>10.765302790104045</v>
      </c>
      <c r="E288">
        <v>197.28472293505956</v>
      </c>
      <c r="F288">
        <v>12.11592416525167</v>
      </c>
    </row>
    <row r="289" spans="2:6" x14ac:dyDescent="0.2">
      <c r="B289" t="s">
        <v>173</v>
      </c>
      <c r="C289">
        <v>125.19455298911727</v>
      </c>
      <c r="D289">
        <v>10.368959151237187</v>
      </c>
      <c r="E289">
        <v>59.166845424639057</v>
      </c>
      <c r="F289">
        <v>7.8574574130596204</v>
      </c>
    </row>
    <row r="290" spans="2:6" x14ac:dyDescent="0.2">
      <c r="B290" t="s">
        <v>173</v>
      </c>
      <c r="C290">
        <v>51.115089867815932</v>
      </c>
      <c r="D290">
        <v>55.066696007614588</v>
      </c>
      <c r="E290">
        <v>71.381479563221262</v>
      </c>
      <c r="F290">
        <v>40.657736146007281</v>
      </c>
    </row>
    <row r="291" spans="2:6" x14ac:dyDescent="0.2">
      <c r="B291" t="s">
        <v>173</v>
      </c>
      <c r="C291">
        <v>211.86117663314653</v>
      </c>
      <c r="D291">
        <v>51.058691826272607</v>
      </c>
      <c r="E291">
        <v>96.102151272336798</v>
      </c>
      <c r="F291">
        <v>7.4296396232057873</v>
      </c>
    </row>
    <row r="292" spans="2:6" x14ac:dyDescent="0.2">
      <c r="B292" t="s">
        <v>173</v>
      </c>
      <c r="C292">
        <v>63.514704337882307</v>
      </c>
      <c r="D292">
        <v>8.55010461188356</v>
      </c>
      <c r="E292">
        <v>258.68572611026178</v>
      </c>
      <c r="F292">
        <v>28.731838959583172</v>
      </c>
    </row>
    <row r="293" spans="2:6" x14ac:dyDescent="0.2">
      <c r="B293" t="s">
        <v>173</v>
      </c>
      <c r="C293">
        <v>14.815689587311908</v>
      </c>
      <c r="D293">
        <v>62.816058273544442</v>
      </c>
      <c r="E293">
        <v>19.927933769174729</v>
      </c>
      <c r="F293">
        <v>23.430367672120042</v>
      </c>
    </row>
    <row r="294" spans="2:6" x14ac:dyDescent="0.2">
      <c r="B294" t="s">
        <v>173</v>
      </c>
      <c r="C294">
        <v>35.290320320950556</v>
      </c>
      <c r="D294">
        <v>70.655372723609503</v>
      </c>
      <c r="E294">
        <v>50.828796980875936</v>
      </c>
      <c r="F294">
        <v>19.529228332595267</v>
      </c>
    </row>
    <row r="295" spans="2:6" x14ac:dyDescent="0.2">
      <c r="B295" t="s">
        <v>173</v>
      </c>
      <c r="C295">
        <v>74.124065092504438</v>
      </c>
      <c r="D295">
        <v>8.5015033466929673</v>
      </c>
      <c r="E295">
        <v>25.93910419994824</v>
      </c>
      <c r="F295">
        <v>18.761522247416877</v>
      </c>
    </row>
    <row r="296" spans="2:6" x14ac:dyDescent="0.2">
      <c r="B296" t="s">
        <v>173</v>
      </c>
      <c r="C296">
        <v>40.373611522462845</v>
      </c>
      <c r="D296">
        <v>59.98983644381358</v>
      </c>
      <c r="E296">
        <v>14.123917067267968</v>
      </c>
      <c r="F296">
        <v>14.523503364399787</v>
      </c>
    </row>
    <row r="297" spans="2:6" x14ac:dyDescent="0.2">
      <c r="B297" t="s">
        <v>173</v>
      </c>
      <c r="C297">
        <v>50.548317029279787</v>
      </c>
      <c r="D297">
        <v>30.365993469323385</v>
      </c>
      <c r="E297">
        <v>13.891998072046738</v>
      </c>
      <c r="F297">
        <v>3.6638283137405949</v>
      </c>
    </row>
    <row r="298" spans="2:6" x14ac:dyDescent="0.2">
      <c r="B298" t="s">
        <v>173</v>
      </c>
      <c r="C298">
        <v>215.20752204801821</v>
      </c>
      <c r="D298">
        <v>17.927625449007305</v>
      </c>
      <c r="E298">
        <v>29.531863330585871</v>
      </c>
      <c r="F298">
        <v>61.115884076805827</v>
      </c>
    </row>
    <row r="299" spans="2:6" x14ac:dyDescent="0.2">
      <c r="B299" t="s">
        <v>173</v>
      </c>
      <c r="C299">
        <v>142.7941752377119</v>
      </c>
      <c r="D299">
        <v>54.551949345782312</v>
      </c>
      <c r="E299">
        <v>146.65916490268413</v>
      </c>
      <c r="F299">
        <v>4.8304868481526242</v>
      </c>
    </row>
    <row r="300" spans="2:6" x14ac:dyDescent="0.2">
      <c r="B300" t="s">
        <v>173</v>
      </c>
      <c r="C300">
        <v>57.324088643675125</v>
      </c>
      <c r="D300">
        <v>50.296329854684593</v>
      </c>
      <c r="E300">
        <v>30.361581012380999</v>
      </c>
      <c r="F300">
        <v>18.304004088428627</v>
      </c>
    </row>
    <row r="301" spans="2:6" x14ac:dyDescent="0.2">
      <c r="B301" t="s">
        <v>173</v>
      </c>
      <c r="C301">
        <v>44.441715294353529</v>
      </c>
      <c r="D301">
        <v>32.208415839002051</v>
      </c>
      <c r="E301">
        <v>36.860177627936878</v>
      </c>
      <c r="F301">
        <v>16.635173886715709</v>
      </c>
    </row>
    <row r="302" spans="2:6" x14ac:dyDescent="0.2">
      <c r="B302" t="s">
        <v>173</v>
      </c>
      <c r="C302">
        <v>37.536379616877696</v>
      </c>
      <c r="D302">
        <v>114.59828390906826</v>
      </c>
      <c r="E302">
        <v>110.86926602840146</v>
      </c>
      <c r="F302">
        <v>21.765404068135396</v>
      </c>
    </row>
    <row r="303" spans="2:6" x14ac:dyDescent="0.2">
      <c r="B303" t="s">
        <v>173</v>
      </c>
      <c r="C303">
        <v>92.904353481588103</v>
      </c>
      <c r="D303">
        <v>13.077461928098655</v>
      </c>
      <c r="E303">
        <v>38.164750367499046</v>
      </c>
      <c r="F303">
        <v>10.353218458767842</v>
      </c>
    </row>
    <row r="304" spans="2:6" x14ac:dyDescent="0.2">
      <c r="B304" t="s">
        <v>173</v>
      </c>
      <c r="C304">
        <v>33.835885840634994</v>
      </c>
      <c r="D304">
        <v>89.212334331072142</v>
      </c>
      <c r="E304">
        <v>61.968703377494165</v>
      </c>
      <c r="F304">
        <v>8.5308762697417357</v>
      </c>
    </row>
    <row r="305" spans="2:6" x14ac:dyDescent="0.2">
      <c r="B305" t="s">
        <v>173</v>
      </c>
      <c r="C305">
        <v>67.076769219107504</v>
      </c>
      <c r="D305">
        <v>31.534873111079119</v>
      </c>
      <c r="E305">
        <v>27.443948393814093</v>
      </c>
      <c r="F305">
        <v>23.915051884646296</v>
      </c>
    </row>
    <row r="306" spans="2:6" x14ac:dyDescent="0.2">
      <c r="B306" t="s">
        <v>173</v>
      </c>
      <c r="C306">
        <v>33.202526773682827</v>
      </c>
      <c r="D306">
        <v>18.630225826462283</v>
      </c>
      <c r="E306">
        <v>68.913363805185838</v>
      </c>
      <c r="F306">
        <v>9.5777993816022668</v>
      </c>
    </row>
    <row r="307" spans="2:6" x14ac:dyDescent="0.2">
      <c r="B307" t="s">
        <v>173</v>
      </c>
      <c r="C307">
        <v>18.584955543395527</v>
      </c>
      <c r="D307">
        <v>33.425082958965362</v>
      </c>
      <c r="E307">
        <v>90.269833581616041</v>
      </c>
      <c r="F307">
        <v>40.022119911019445</v>
      </c>
    </row>
    <row r="308" spans="2:6" x14ac:dyDescent="0.2">
      <c r="B308" t="s">
        <v>173</v>
      </c>
      <c r="C308">
        <v>141.95079407920306</v>
      </c>
      <c r="D308">
        <v>134.97415225149723</v>
      </c>
      <c r="E308">
        <v>72.707308807054716</v>
      </c>
      <c r="F308">
        <v>5.2063479909651491</v>
      </c>
    </row>
    <row r="309" spans="2:6" x14ac:dyDescent="0.2">
      <c r="B309" t="s">
        <v>173</v>
      </c>
      <c r="C309">
        <v>85.678788991407856</v>
      </c>
      <c r="D309">
        <v>45.364337994051972</v>
      </c>
      <c r="E309">
        <v>181.01256360972752</v>
      </c>
      <c r="F309">
        <v>16.065985400122798</v>
      </c>
    </row>
    <row r="310" spans="2:6" x14ac:dyDescent="0.2">
      <c r="B310" t="s">
        <v>173</v>
      </c>
      <c r="C310">
        <v>35.737181989440153</v>
      </c>
      <c r="D310">
        <v>37.870210105208209</v>
      </c>
      <c r="E310">
        <v>66.783470767156672</v>
      </c>
      <c r="F310">
        <v>27.260388754364286</v>
      </c>
    </row>
    <row r="311" spans="2:6" x14ac:dyDescent="0.2">
      <c r="B311" t="s">
        <v>173</v>
      </c>
      <c r="C311">
        <v>64.124753553060643</v>
      </c>
      <c r="D311">
        <v>15.834656058332484</v>
      </c>
      <c r="E311">
        <v>90.104535541720281</v>
      </c>
      <c r="F311">
        <v>17.621214646017336</v>
      </c>
    </row>
    <row r="312" spans="2:6" x14ac:dyDescent="0.2">
      <c r="B312" t="s">
        <v>173</v>
      </c>
      <c r="C312">
        <v>95.926173522812917</v>
      </c>
      <c r="D312">
        <v>57.880013567095581</v>
      </c>
      <c r="E312">
        <v>44.693884487777083</v>
      </c>
      <c r="F312">
        <v>9.2159018174168139</v>
      </c>
    </row>
    <row r="313" spans="2:6" x14ac:dyDescent="0.2">
      <c r="B313" t="s">
        <v>173</v>
      </c>
      <c r="C313">
        <v>121.2502706494098</v>
      </c>
      <c r="D313">
        <v>91.568370219488884</v>
      </c>
      <c r="E313">
        <v>48.916472810623539</v>
      </c>
      <c r="F313">
        <v>15.315563018730401</v>
      </c>
    </row>
    <row r="314" spans="2:6" x14ac:dyDescent="0.2">
      <c r="B314" t="s">
        <v>173</v>
      </c>
      <c r="C314">
        <v>5.9272285992889886</v>
      </c>
      <c r="D314">
        <v>37.507970103063784</v>
      </c>
      <c r="E314">
        <v>71.142791750298429</v>
      </c>
      <c r="F314">
        <v>27.573021446735467</v>
      </c>
    </row>
    <row r="315" spans="2:6" x14ac:dyDescent="0.2">
      <c r="B315" t="s">
        <v>173</v>
      </c>
      <c r="C315">
        <v>48.640506736504804</v>
      </c>
      <c r="D315">
        <v>51.071567589733256</v>
      </c>
      <c r="E315">
        <v>104.55792361367473</v>
      </c>
      <c r="F315">
        <v>1.5216238663864914</v>
      </c>
    </row>
    <row r="316" spans="2:6" x14ac:dyDescent="0.2">
      <c r="B316" t="s">
        <v>173</v>
      </c>
      <c r="C316">
        <v>44.241148334338419</v>
      </c>
      <c r="D316">
        <v>9.0785638340573165</v>
      </c>
      <c r="E316">
        <v>138.18040566192198</v>
      </c>
      <c r="F316">
        <v>30.779442476640014</v>
      </c>
    </row>
    <row r="317" spans="2:6" x14ac:dyDescent="0.2">
      <c r="B317" t="s">
        <v>173</v>
      </c>
      <c r="C317">
        <v>9.5992831170437825</v>
      </c>
      <c r="D317">
        <v>23.81328865364079</v>
      </c>
      <c r="E317">
        <v>17.470468553059938</v>
      </c>
      <c r="F317">
        <v>21.725566721661593</v>
      </c>
    </row>
    <row r="318" spans="2:6" x14ac:dyDescent="0.2">
      <c r="B318" t="s">
        <v>173</v>
      </c>
      <c r="C318">
        <v>31.9197273876675</v>
      </c>
      <c r="D318">
        <v>27.826568612027298</v>
      </c>
      <c r="E318">
        <v>77.202519984046049</v>
      </c>
      <c r="F318">
        <v>82.548912100937713</v>
      </c>
    </row>
    <row r="319" spans="2:6" x14ac:dyDescent="0.2">
      <c r="B319" t="s">
        <v>173</v>
      </c>
      <c r="C319">
        <v>151.78113593481842</v>
      </c>
      <c r="D319">
        <v>40.630373795233972</v>
      </c>
      <c r="E319">
        <v>47.958791320717907</v>
      </c>
      <c r="F319">
        <v>29.707119615988319</v>
      </c>
    </row>
    <row r="320" spans="2:6" x14ac:dyDescent="0.2">
      <c r="B320" t="s">
        <v>173</v>
      </c>
      <c r="C320">
        <v>116.85555644776105</v>
      </c>
      <c r="D320">
        <v>23.169252362988175</v>
      </c>
      <c r="E320">
        <v>126.69307118742906</v>
      </c>
      <c r="F320">
        <v>27.24794197085366</v>
      </c>
    </row>
    <row r="321" spans="2:6" x14ac:dyDescent="0.2">
      <c r="B321" t="s">
        <v>173</v>
      </c>
      <c r="C321">
        <v>254.91025239859235</v>
      </c>
      <c r="D321">
        <v>18.432031541039581</v>
      </c>
      <c r="E321">
        <v>65.702606941482543</v>
      </c>
      <c r="F321">
        <v>6.1312305872336026</v>
      </c>
    </row>
    <row r="322" spans="2:6" x14ac:dyDescent="0.2">
      <c r="B322" t="s">
        <v>173</v>
      </c>
      <c r="C322">
        <v>30.806582122103716</v>
      </c>
      <c r="D322">
        <v>74.164305275346806</v>
      </c>
      <c r="E322">
        <v>111.96898938429227</v>
      </c>
      <c r="F322">
        <v>135.00957868211526</v>
      </c>
    </row>
    <row r="323" spans="2:6" x14ac:dyDescent="0.2">
      <c r="B323" t="s">
        <v>173</v>
      </c>
      <c r="C323">
        <v>61.448884603857543</v>
      </c>
      <c r="D323">
        <v>28.459484457172856</v>
      </c>
      <c r="E323">
        <v>53.839163480825825</v>
      </c>
      <c r="F323">
        <v>11.218617453706536</v>
      </c>
    </row>
    <row r="324" spans="2:6" x14ac:dyDescent="0.2">
      <c r="B324" t="s">
        <v>173</v>
      </c>
      <c r="C324">
        <v>84.622000401822675</v>
      </c>
      <c r="D324">
        <v>35.238854002989065</v>
      </c>
      <c r="E324">
        <v>84.129520571601745</v>
      </c>
      <c r="F324">
        <v>2.1166448787720995</v>
      </c>
    </row>
    <row r="325" spans="2:6" x14ac:dyDescent="0.2">
      <c r="B325" t="s">
        <v>173</v>
      </c>
      <c r="C325">
        <v>74.123266098345013</v>
      </c>
      <c r="D325">
        <v>28.452896028858849</v>
      </c>
      <c r="E325">
        <v>120.82374249179298</v>
      </c>
      <c r="F325">
        <v>11.097245836586403</v>
      </c>
    </row>
    <row r="326" spans="2:6" x14ac:dyDescent="0.2">
      <c r="B326" t="s">
        <v>173</v>
      </c>
      <c r="C326">
        <v>23.864203814569034</v>
      </c>
      <c r="D326">
        <v>6.2545602446175002</v>
      </c>
      <c r="E326">
        <v>108.00298766965049</v>
      </c>
      <c r="F326">
        <v>1.4591890700139718</v>
      </c>
    </row>
    <row r="327" spans="2:6" x14ac:dyDescent="0.2">
      <c r="B327" t="s">
        <v>173</v>
      </c>
      <c r="C327">
        <v>128.92026315438946</v>
      </c>
      <c r="D327">
        <v>12.158072141004119</v>
      </c>
      <c r="E327">
        <v>22.199873819546809</v>
      </c>
      <c r="F327">
        <v>18.97537182837371</v>
      </c>
    </row>
    <row r="328" spans="2:6" x14ac:dyDescent="0.2">
      <c r="B328" t="s">
        <v>173</v>
      </c>
      <c r="C328">
        <v>209.5693961228946</v>
      </c>
      <c r="D328">
        <v>81.775002282354009</v>
      </c>
      <c r="E328">
        <v>35.16946075474219</v>
      </c>
      <c r="F328">
        <v>26.927458327214573</v>
      </c>
    </row>
    <row r="329" spans="2:6" x14ac:dyDescent="0.2">
      <c r="B329" t="s">
        <v>173</v>
      </c>
      <c r="C329">
        <v>88.720627185662863</v>
      </c>
      <c r="D329">
        <v>46.947324929647294</v>
      </c>
      <c r="E329">
        <v>103.28319414222679</v>
      </c>
      <c r="F329">
        <v>20.565864881053095</v>
      </c>
    </row>
    <row r="330" spans="2:6" x14ac:dyDescent="0.2">
      <c r="B330" t="s">
        <v>173</v>
      </c>
      <c r="C330">
        <v>182.20584299269987</v>
      </c>
      <c r="D330">
        <v>57.307949252457924</v>
      </c>
      <c r="E330">
        <v>127.2300260337979</v>
      </c>
      <c r="F330">
        <v>17.827802619917755</v>
      </c>
    </row>
    <row r="331" spans="2:6" x14ac:dyDescent="0.2">
      <c r="B331" t="s">
        <v>173</v>
      </c>
      <c r="C331">
        <v>45.46848063591036</v>
      </c>
      <c r="D331">
        <v>40.050235182759494</v>
      </c>
      <c r="E331">
        <v>10.114553863823419</v>
      </c>
      <c r="F331">
        <v>42.90976586123638</v>
      </c>
    </row>
    <row r="332" spans="2:6" x14ac:dyDescent="0.2">
      <c r="B332" t="s">
        <v>173</v>
      </c>
      <c r="C332">
        <v>20.342575519914089</v>
      </c>
      <c r="D332">
        <v>72.271497854408537</v>
      </c>
      <c r="E332">
        <v>52.73501165454303</v>
      </c>
      <c r="F332">
        <v>17.27553406705934</v>
      </c>
    </row>
    <row r="333" spans="2:6" x14ac:dyDescent="0.2">
      <c r="B333" t="s">
        <v>173</v>
      </c>
      <c r="C333">
        <v>9.754045397019464</v>
      </c>
      <c r="D333">
        <v>139.26791161877134</v>
      </c>
      <c r="E333">
        <v>37.648571294593928</v>
      </c>
      <c r="F333">
        <v>4.1580644430536893</v>
      </c>
    </row>
    <row r="334" spans="2:6" x14ac:dyDescent="0.2">
      <c r="B334" t="s">
        <v>173</v>
      </c>
      <c r="C334">
        <v>99.289298177023312</v>
      </c>
      <c r="D334">
        <v>12.425459631111837</v>
      </c>
      <c r="E334">
        <v>232.4375061437421</v>
      </c>
      <c r="F334">
        <v>2.6239122746883226</v>
      </c>
    </row>
    <row r="335" spans="2:6" x14ac:dyDescent="0.2">
      <c r="B335" t="s">
        <v>173</v>
      </c>
      <c r="C335">
        <v>177.84366198175707</v>
      </c>
      <c r="D335">
        <v>66.608246174689825</v>
      </c>
      <c r="E335">
        <v>29.901392499184599</v>
      </c>
      <c r="F335">
        <v>20.923146966499345</v>
      </c>
    </row>
    <row r="336" spans="2:6" x14ac:dyDescent="0.2">
      <c r="B336" t="s">
        <v>173</v>
      </c>
      <c r="C336">
        <v>64.529913296058453</v>
      </c>
      <c r="D336">
        <v>90.825770268531329</v>
      </c>
      <c r="E336">
        <v>129.00884996226389</v>
      </c>
      <c r="F336">
        <v>17.847736153731233</v>
      </c>
    </row>
    <row r="337" spans="2:6" x14ac:dyDescent="0.2">
      <c r="B337" t="s">
        <v>173</v>
      </c>
      <c r="C337">
        <v>41.08275529205622</v>
      </c>
      <c r="D337">
        <v>59.32526106117259</v>
      </c>
      <c r="E337">
        <v>25.729590604699503</v>
      </c>
      <c r="F337">
        <v>5.4294365186065487</v>
      </c>
    </row>
    <row r="338" spans="2:6" x14ac:dyDescent="0.2">
      <c r="B338" t="s">
        <v>173</v>
      </c>
      <c r="C338">
        <v>43.770347009330784</v>
      </c>
      <c r="D338">
        <v>26.534449111153403</v>
      </c>
      <c r="E338">
        <v>136.04149784029943</v>
      </c>
      <c r="F338">
        <v>1.9440516077896568</v>
      </c>
    </row>
    <row r="339" spans="2:6" x14ac:dyDescent="0.2">
      <c r="B339" t="s">
        <v>173</v>
      </c>
      <c r="C339">
        <v>65.216256964190706</v>
      </c>
      <c r="D339">
        <v>30.402931541362584</v>
      </c>
      <c r="E339">
        <v>31.978992730617929</v>
      </c>
      <c r="F339">
        <v>17.782701512923936</v>
      </c>
    </row>
    <row r="340" spans="2:6" x14ac:dyDescent="0.2">
      <c r="B340" t="s">
        <v>173</v>
      </c>
      <c r="C340">
        <v>12.360252234959745</v>
      </c>
      <c r="D340">
        <v>39.782896725734766</v>
      </c>
      <c r="E340">
        <v>5.7139841848719373</v>
      </c>
      <c r="F340">
        <v>2.2080010454440036</v>
      </c>
    </row>
    <row r="341" spans="2:6" x14ac:dyDescent="0.2">
      <c r="B341" t="s">
        <v>173</v>
      </c>
      <c r="C341">
        <v>13.987278788122932</v>
      </c>
      <c r="D341">
        <v>38.518574904570968</v>
      </c>
      <c r="E341">
        <v>20.160642392337323</v>
      </c>
      <c r="F341">
        <v>8.9580172187262974</v>
      </c>
    </row>
    <row r="342" spans="2:6" x14ac:dyDescent="0.2">
      <c r="B342" t="s">
        <v>173</v>
      </c>
      <c r="C342">
        <v>83.071004585595006</v>
      </c>
      <c r="D342">
        <v>12.677283518636122</v>
      </c>
      <c r="E342">
        <v>22.695805668143006</v>
      </c>
      <c r="F342">
        <v>31.030299782643496</v>
      </c>
    </row>
    <row r="343" spans="2:6" x14ac:dyDescent="0.2">
      <c r="B343" t="s">
        <v>173</v>
      </c>
      <c r="C343">
        <v>88.026880086307585</v>
      </c>
      <c r="D343">
        <v>19.167928877388508</v>
      </c>
      <c r="E343">
        <v>25.651955445735425</v>
      </c>
      <c r="F343">
        <v>23.896163484427525</v>
      </c>
    </row>
    <row r="344" spans="2:6" x14ac:dyDescent="0.2">
      <c r="B344" t="s">
        <v>173</v>
      </c>
      <c r="C344">
        <v>213.79895342239308</v>
      </c>
      <c r="D344">
        <v>31.029173732693334</v>
      </c>
      <c r="E344">
        <v>169.76218199604014</v>
      </c>
      <c r="F344">
        <v>1.6404294891287812</v>
      </c>
    </row>
    <row r="345" spans="2:6" x14ac:dyDescent="0.2">
      <c r="B345" t="s">
        <v>173</v>
      </c>
      <c r="C345">
        <v>153.20832666128766</v>
      </c>
      <c r="D345">
        <v>38.92437699770246</v>
      </c>
      <c r="E345">
        <v>79.18708804685933</v>
      </c>
      <c r="F345">
        <v>23.091258352526751</v>
      </c>
    </row>
    <row r="346" spans="2:6" x14ac:dyDescent="0.2">
      <c r="B346" t="s">
        <v>173</v>
      </c>
      <c r="C346">
        <v>46.893549434775331</v>
      </c>
      <c r="D346">
        <v>12.612625518852902</v>
      </c>
      <c r="E346">
        <v>56.665004276272711</v>
      </c>
      <c r="F346">
        <v>6.6091623942068907</v>
      </c>
    </row>
    <row r="347" spans="2:6" x14ac:dyDescent="0.2">
      <c r="B347" t="s">
        <v>173</v>
      </c>
      <c r="C347">
        <v>15.452357338264321</v>
      </c>
      <c r="D347">
        <v>30.233431791449799</v>
      </c>
      <c r="E347">
        <v>6.918762170694551</v>
      </c>
      <c r="F347">
        <v>17.846650840755728</v>
      </c>
    </row>
    <row r="348" spans="2:6" x14ac:dyDescent="0.2">
      <c r="B348" t="s">
        <v>173</v>
      </c>
      <c r="C348">
        <v>57.848781814951366</v>
      </c>
      <c r="D348">
        <v>19.584140704190972</v>
      </c>
      <c r="E348">
        <v>73.176344048857601</v>
      </c>
      <c r="F348">
        <v>30.623834311721765</v>
      </c>
    </row>
    <row r="349" spans="2:6" x14ac:dyDescent="0.2">
      <c r="B349" t="s">
        <v>173</v>
      </c>
      <c r="C349">
        <v>35.388862855826261</v>
      </c>
      <c r="D349">
        <v>52.490386016032325</v>
      </c>
      <c r="E349">
        <v>85.175591566069883</v>
      </c>
      <c r="F349">
        <v>2.4825268313127218</v>
      </c>
    </row>
    <row r="350" spans="2:6" x14ac:dyDescent="0.2">
      <c r="B350" t="s">
        <v>173</v>
      </c>
      <c r="C350">
        <v>54.588462718811435</v>
      </c>
      <c r="D350">
        <v>33.64874868117348</v>
      </c>
      <c r="E350">
        <v>2.8499145120593279</v>
      </c>
      <c r="F350">
        <v>20.135836480085544</v>
      </c>
    </row>
    <row r="351" spans="2:6" x14ac:dyDescent="0.2">
      <c r="B351" t="s">
        <v>173</v>
      </c>
      <c r="C351">
        <v>56.725344491712015</v>
      </c>
      <c r="D351">
        <v>23.769651867174161</v>
      </c>
      <c r="E351">
        <v>116.46943401338321</v>
      </c>
      <c r="F351">
        <v>31.952104100620971</v>
      </c>
    </row>
    <row r="352" spans="2:6" x14ac:dyDescent="0.2">
      <c r="B352" t="s">
        <v>173</v>
      </c>
      <c r="C352">
        <v>71.809964952326752</v>
      </c>
      <c r="D352">
        <v>25.53432246574355</v>
      </c>
      <c r="E352">
        <v>10.322425434507737</v>
      </c>
      <c r="F352">
        <v>46.022047221072285</v>
      </c>
    </row>
    <row r="353" spans="2:6" x14ac:dyDescent="0.2">
      <c r="B353" t="s">
        <v>173</v>
      </c>
      <c r="C353">
        <v>312.88231594237345</v>
      </c>
      <c r="D353">
        <v>25.953973064069924</v>
      </c>
      <c r="E353">
        <v>198.95695375478076</v>
      </c>
      <c r="F353">
        <v>12.265267295452411</v>
      </c>
    </row>
    <row r="354" spans="2:6" x14ac:dyDescent="0.2">
      <c r="B354" t="s">
        <v>173</v>
      </c>
      <c r="C354">
        <v>370.03261202138572</v>
      </c>
      <c r="D354">
        <v>17.306273903924129</v>
      </c>
      <c r="E354">
        <v>45.539936770903445</v>
      </c>
      <c r="F354">
        <v>20.22867492526612</v>
      </c>
    </row>
    <row r="355" spans="2:6" x14ac:dyDescent="0.2">
      <c r="B355" t="s">
        <v>173</v>
      </c>
      <c r="C355">
        <v>17.13138780533864</v>
      </c>
      <c r="D355">
        <v>62.657771203374665</v>
      </c>
      <c r="E355">
        <v>64.382719502901864</v>
      </c>
      <c r="F355">
        <v>10.784648280041196</v>
      </c>
    </row>
    <row r="356" spans="2:6" x14ac:dyDescent="0.2">
      <c r="B356" t="s">
        <v>173</v>
      </c>
      <c r="C356">
        <v>89.891207421444733</v>
      </c>
      <c r="D356">
        <v>15.382780892117573</v>
      </c>
      <c r="E356">
        <v>47.830579382190152</v>
      </c>
      <c r="F356">
        <v>82.129700815077072</v>
      </c>
    </row>
    <row r="357" spans="2:6" x14ac:dyDescent="0.2">
      <c r="B357" t="s">
        <v>173</v>
      </c>
      <c r="C357">
        <v>140.81225728257672</v>
      </c>
      <c r="D357">
        <v>19.757799247594981</v>
      </c>
      <c r="E357">
        <v>182.88114570022248</v>
      </c>
      <c r="F357">
        <v>5.8134745930612723</v>
      </c>
    </row>
    <row r="358" spans="2:6" x14ac:dyDescent="0.2">
      <c r="B358" t="s">
        <v>173</v>
      </c>
      <c r="C358">
        <v>147.67750814372829</v>
      </c>
      <c r="D358">
        <v>99.77367898530774</v>
      </c>
      <c r="E358">
        <v>49.27406233464086</v>
      </c>
      <c r="F358">
        <v>31.549653501991386</v>
      </c>
    </row>
    <row r="359" spans="2:6" x14ac:dyDescent="0.2">
      <c r="B359" t="s">
        <v>173</v>
      </c>
      <c r="C359">
        <v>57.517956983076608</v>
      </c>
      <c r="D359">
        <v>86.339935410507863</v>
      </c>
      <c r="E359">
        <v>21.145168407783483</v>
      </c>
      <c r="F359">
        <v>19.685534282819816</v>
      </c>
    </row>
    <row r="360" spans="2:6" x14ac:dyDescent="0.2">
      <c r="B360" t="s">
        <v>173</v>
      </c>
      <c r="C360">
        <v>205.76145166937962</v>
      </c>
      <c r="D360">
        <v>38.692665667864368</v>
      </c>
      <c r="E360">
        <v>31.550644022374097</v>
      </c>
      <c r="F360">
        <v>10.205036885633319</v>
      </c>
    </row>
    <row r="361" spans="2:6" x14ac:dyDescent="0.2">
      <c r="B361" t="s">
        <v>173</v>
      </c>
      <c r="C361">
        <v>28.767953622305086</v>
      </c>
      <c r="D361">
        <v>23.221416670076394</v>
      </c>
      <c r="E361">
        <v>55.670838847884731</v>
      </c>
      <c r="F361">
        <v>3.4080910754374596</v>
      </c>
    </row>
    <row r="362" spans="2:6" x14ac:dyDescent="0.2">
      <c r="B362" t="s">
        <v>173</v>
      </c>
      <c r="C362">
        <v>54.506823190774078</v>
      </c>
      <c r="D362">
        <v>5.6784727015036847</v>
      </c>
      <c r="E362">
        <v>50.899581670743196</v>
      </c>
      <c r="F362">
        <v>1.5940618599259366</v>
      </c>
    </row>
    <row r="363" spans="2:6" x14ac:dyDescent="0.2">
      <c r="B363" t="s">
        <v>173</v>
      </c>
      <c r="C363">
        <v>47.322012928979426</v>
      </c>
      <c r="D363">
        <v>32.817099832529678</v>
      </c>
      <c r="E363">
        <v>74.710949049796611</v>
      </c>
      <c r="F363">
        <v>71.232676474358797</v>
      </c>
    </row>
    <row r="364" spans="2:6" x14ac:dyDescent="0.2">
      <c r="B364" t="s">
        <v>173</v>
      </c>
      <c r="C364">
        <v>82.737256005410373</v>
      </c>
      <c r="D364">
        <v>34.959752504588437</v>
      </c>
      <c r="E364">
        <v>8.8346601158516496</v>
      </c>
      <c r="F364">
        <v>13.909199688727732</v>
      </c>
    </row>
    <row r="365" spans="2:6" x14ac:dyDescent="0.2">
      <c r="B365" t="s">
        <v>173</v>
      </c>
      <c r="C365">
        <v>60.773173947734321</v>
      </c>
      <c r="D365">
        <v>36.752601879146503</v>
      </c>
      <c r="E365">
        <v>142.40970695291227</v>
      </c>
      <c r="F365">
        <v>8.1940105447810865</v>
      </c>
    </row>
    <row r="366" spans="2:6" x14ac:dyDescent="0.2">
      <c r="B366" t="s">
        <v>173</v>
      </c>
      <c r="C366">
        <v>11.486360204213804</v>
      </c>
      <c r="D366">
        <v>67.789462597727152</v>
      </c>
      <c r="E366">
        <v>55.830783598045684</v>
      </c>
      <c r="F366">
        <v>7.6173308661209376</v>
      </c>
    </row>
    <row r="367" spans="2:6" x14ac:dyDescent="0.2">
      <c r="B367" t="s">
        <v>173</v>
      </c>
      <c r="C367">
        <v>284.73222106671375</v>
      </c>
      <c r="D367">
        <v>50.73587072401363</v>
      </c>
      <c r="E367">
        <v>225.21998893443231</v>
      </c>
      <c r="F367">
        <v>15.022924582439146</v>
      </c>
    </row>
    <row r="368" spans="2:6" x14ac:dyDescent="0.2">
      <c r="B368" t="s">
        <v>173</v>
      </c>
      <c r="C368">
        <v>116.40367733462307</v>
      </c>
      <c r="D368">
        <v>16.657685828516868</v>
      </c>
      <c r="E368">
        <v>33.589142950375795</v>
      </c>
      <c r="F368">
        <v>79.367377789356112</v>
      </c>
    </row>
    <row r="369" spans="2:6" x14ac:dyDescent="0.2">
      <c r="B369" t="s">
        <v>173</v>
      </c>
      <c r="C369">
        <v>65.145874419933961</v>
      </c>
      <c r="D369">
        <v>44.60844833894658</v>
      </c>
      <c r="E369">
        <v>9.1430002013267053</v>
      </c>
      <c r="F369">
        <v>15.586335445535383</v>
      </c>
    </row>
    <row r="370" spans="2:6" x14ac:dyDescent="0.2">
      <c r="B370" t="s">
        <v>173</v>
      </c>
      <c r="C370">
        <v>44.969254611445358</v>
      </c>
      <c r="D370">
        <v>85.378653413995721</v>
      </c>
      <c r="E370">
        <v>71.831300347581902</v>
      </c>
      <c r="F370">
        <v>32.055448784190901</v>
      </c>
    </row>
    <row r="371" spans="2:6" x14ac:dyDescent="0.2">
      <c r="B371" t="s">
        <v>173</v>
      </c>
      <c r="C371">
        <v>49.064353036291791</v>
      </c>
      <c r="D371">
        <v>30.79162803817546</v>
      </c>
      <c r="E371">
        <v>128.0478088249703</v>
      </c>
      <c r="F371">
        <v>52.488063251586752</v>
      </c>
    </row>
    <row r="372" spans="2:6" x14ac:dyDescent="0.2">
      <c r="B372" t="s">
        <v>173</v>
      </c>
      <c r="C372">
        <v>117.91823950276533</v>
      </c>
      <c r="D372">
        <v>89.807211201267222</v>
      </c>
      <c r="E372">
        <v>93.847736522429727</v>
      </c>
      <c r="F372">
        <v>2.944466351615624</v>
      </c>
    </row>
    <row r="373" spans="2:6" x14ac:dyDescent="0.2">
      <c r="B373" t="s">
        <v>173</v>
      </c>
      <c r="C373">
        <v>49.163645981242695</v>
      </c>
      <c r="D373">
        <v>40.387774850209311</v>
      </c>
      <c r="E373">
        <v>11.845945541605252</v>
      </c>
      <c r="F373">
        <v>10.491628477186197</v>
      </c>
    </row>
    <row r="374" spans="2:6" x14ac:dyDescent="0.2">
      <c r="B374" t="s">
        <v>173</v>
      </c>
      <c r="C374">
        <v>51.76116198735847</v>
      </c>
      <c r="D374">
        <v>65.438059093390635</v>
      </c>
      <c r="E374">
        <v>104.56031712935034</v>
      </c>
      <c r="F374">
        <v>105.80299351297221</v>
      </c>
    </row>
    <row r="375" spans="2:6" x14ac:dyDescent="0.2">
      <c r="B375" t="s">
        <v>173</v>
      </c>
      <c r="C375">
        <v>93.459312717908162</v>
      </c>
      <c r="D375">
        <v>42.231873150352996</v>
      </c>
      <c r="E375">
        <v>31.007339320754355</v>
      </c>
      <c r="F375">
        <v>20.37231741134498</v>
      </c>
    </row>
    <row r="376" spans="2:6" x14ac:dyDescent="0.2">
      <c r="B376" t="s">
        <v>173</v>
      </c>
      <c r="C376">
        <v>174.39389165510048</v>
      </c>
      <c r="D376">
        <v>13.85465785672009</v>
      </c>
      <c r="E376">
        <v>84.962512248677712</v>
      </c>
      <c r="F376">
        <v>11.183067900456031</v>
      </c>
    </row>
    <row r="377" spans="2:6" x14ac:dyDescent="0.2">
      <c r="B377" t="s">
        <v>173</v>
      </c>
      <c r="C377">
        <v>13.086570636802492</v>
      </c>
      <c r="D377">
        <v>29.702097043931964</v>
      </c>
      <c r="E377">
        <v>83.123656905350259</v>
      </c>
      <c r="F377">
        <v>3.4050688576275618</v>
      </c>
    </row>
    <row r="378" spans="2:6" x14ac:dyDescent="0.2">
      <c r="B378" t="s">
        <v>173</v>
      </c>
      <c r="C378">
        <v>44.119770031926301</v>
      </c>
      <c r="D378">
        <v>41.450410574864115</v>
      </c>
      <c r="E378">
        <v>92.970916364421313</v>
      </c>
      <c r="F378">
        <v>15.544751618522071</v>
      </c>
    </row>
    <row r="379" spans="2:6" x14ac:dyDescent="0.2">
      <c r="B379" t="s">
        <v>173</v>
      </c>
      <c r="C379">
        <v>54.712079238376262</v>
      </c>
      <c r="D379">
        <v>20.863719720262889</v>
      </c>
      <c r="E379">
        <v>164.22203283818737</v>
      </c>
      <c r="F379">
        <v>4.4845022038815898</v>
      </c>
    </row>
    <row r="380" spans="2:6" x14ac:dyDescent="0.2">
      <c r="B380" t="s">
        <v>173</v>
      </c>
      <c r="C380">
        <v>447.13658541801152</v>
      </c>
      <c r="D380">
        <v>54.991498295692502</v>
      </c>
      <c r="E380">
        <v>77.543373972437323</v>
      </c>
      <c r="F380">
        <v>3.4732855974657255</v>
      </c>
    </row>
    <row r="381" spans="2:6" x14ac:dyDescent="0.2">
      <c r="B381" t="s">
        <v>173</v>
      </c>
      <c r="C381">
        <v>28.14488995749425</v>
      </c>
      <c r="D381">
        <v>20.00555038951353</v>
      </c>
      <c r="E381">
        <v>72.676436598181823</v>
      </c>
      <c r="F381">
        <v>23.578118468648199</v>
      </c>
    </row>
    <row r="382" spans="2:6" x14ac:dyDescent="0.2">
      <c r="B382" t="s">
        <v>173</v>
      </c>
      <c r="C382">
        <v>61.17470585653686</v>
      </c>
      <c r="D382">
        <v>64.681692001591813</v>
      </c>
      <c r="E382">
        <v>25.351792505245839</v>
      </c>
      <c r="F382">
        <v>42.376695829255283</v>
      </c>
    </row>
    <row r="383" spans="2:6" x14ac:dyDescent="0.2">
      <c r="B383" t="s">
        <v>173</v>
      </c>
      <c r="C383">
        <v>60.336272550307648</v>
      </c>
      <c r="D383">
        <v>18.347273795054555</v>
      </c>
      <c r="E383">
        <v>109.9172151668331</v>
      </c>
      <c r="F383">
        <v>16.622959648714087</v>
      </c>
    </row>
    <row r="384" spans="2:6" x14ac:dyDescent="0.2">
      <c r="B384" t="s">
        <v>173</v>
      </c>
      <c r="C384">
        <v>101.28986983660526</v>
      </c>
      <c r="D384">
        <v>77.566982070198904</v>
      </c>
      <c r="E384">
        <v>18.369698858703501</v>
      </c>
      <c r="F384">
        <v>24.383311282271322</v>
      </c>
    </row>
    <row r="385" spans="2:6" x14ac:dyDescent="0.2">
      <c r="B385" t="s">
        <v>173</v>
      </c>
      <c r="C385">
        <v>30.452941357785463</v>
      </c>
      <c r="D385">
        <v>15.097168623659911</v>
      </c>
      <c r="E385">
        <v>131.70704285267473</v>
      </c>
      <c r="F385">
        <v>1.5527234957430522</v>
      </c>
    </row>
    <row r="386" spans="2:6" x14ac:dyDescent="0.2">
      <c r="B386" t="s">
        <v>173</v>
      </c>
      <c r="C386">
        <v>18.249599965972678</v>
      </c>
      <c r="D386">
        <v>49.348342949952411</v>
      </c>
      <c r="E386">
        <v>8.148413685383268</v>
      </c>
      <c r="F386">
        <v>18.340944983050584</v>
      </c>
    </row>
    <row r="387" spans="2:6" x14ac:dyDescent="0.2">
      <c r="B387" t="s">
        <v>173</v>
      </c>
      <c r="C387">
        <v>207.99976001319132</v>
      </c>
      <c r="D387">
        <v>69.463711858854452</v>
      </c>
      <c r="E387">
        <v>6.9809002739887518</v>
      </c>
      <c r="F387">
        <v>10.713479822628067</v>
      </c>
    </row>
    <row r="388" spans="2:6" x14ac:dyDescent="0.2">
      <c r="B388" t="s">
        <v>173</v>
      </c>
      <c r="C388">
        <v>81.857739630655061</v>
      </c>
      <c r="D388">
        <v>62.947305413310715</v>
      </c>
      <c r="E388">
        <v>19.363017384062903</v>
      </c>
      <c r="F388">
        <v>53.401741654153867</v>
      </c>
    </row>
    <row r="389" spans="2:6" x14ac:dyDescent="0.2">
      <c r="B389" t="s">
        <v>173</v>
      </c>
      <c r="C389">
        <v>138.59372380480755</v>
      </c>
      <c r="D389">
        <v>94.38781579292376</v>
      </c>
      <c r="E389">
        <v>28.624036246948741</v>
      </c>
      <c r="F389">
        <v>25.19313735906924</v>
      </c>
    </row>
    <row r="390" spans="2:6" x14ac:dyDescent="0.2">
      <c r="B390" t="s">
        <v>173</v>
      </c>
      <c r="C390">
        <v>278.9595526620754</v>
      </c>
      <c r="D390">
        <v>23.169111677111378</v>
      </c>
      <c r="E390">
        <v>29.652771182629145</v>
      </c>
      <c r="F390">
        <v>2.7432794168816095</v>
      </c>
    </row>
    <row r="391" spans="2:6" x14ac:dyDescent="0.2">
      <c r="B391" t="s">
        <v>173</v>
      </c>
      <c r="C391">
        <v>17.16881726722605</v>
      </c>
      <c r="D391">
        <v>25.831190384410149</v>
      </c>
      <c r="E391">
        <v>38.061130385269877</v>
      </c>
      <c r="F391">
        <v>16.049426303233396</v>
      </c>
    </row>
    <row r="392" spans="2:6" x14ac:dyDescent="0.2">
      <c r="B392" t="s">
        <v>173</v>
      </c>
      <c r="C392">
        <v>23.955073920588251</v>
      </c>
      <c r="D392">
        <v>18.27411381976377</v>
      </c>
      <c r="E392">
        <v>110.84498304162972</v>
      </c>
      <c r="F392">
        <v>9.4565461167554119</v>
      </c>
    </row>
    <row r="393" spans="2:6" x14ac:dyDescent="0.2">
      <c r="B393" t="s">
        <v>173</v>
      </c>
      <c r="C393">
        <v>11.965535687827296</v>
      </c>
      <c r="D393">
        <v>104.65687347727922</v>
      </c>
      <c r="E393">
        <v>33.145619649666827</v>
      </c>
      <c r="F393">
        <v>10.256586061159567</v>
      </c>
    </row>
    <row r="394" spans="2:6" x14ac:dyDescent="0.2">
      <c r="B394" t="s">
        <v>173</v>
      </c>
      <c r="C394">
        <v>70.906711919000244</v>
      </c>
      <c r="D394">
        <v>4.1293083437544889</v>
      </c>
      <c r="E394">
        <v>118.28834359912481</v>
      </c>
      <c r="F394">
        <v>19.404838611682408</v>
      </c>
    </row>
    <row r="395" spans="2:6" x14ac:dyDescent="0.2">
      <c r="B395" t="s">
        <v>173</v>
      </c>
      <c r="C395">
        <v>22.546066390139234</v>
      </c>
      <c r="D395">
        <v>116.0483194553975</v>
      </c>
      <c r="E395">
        <v>91.677887421225094</v>
      </c>
      <c r="F395">
        <v>5.4743329180674536</v>
      </c>
    </row>
    <row r="396" spans="2:6" x14ac:dyDescent="0.2">
      <c r="B396" t="s">
        <v>173</v>
      </c>
      <c r="C396">
        <v>14.02642832273497</v>
      </c>
      <c r="D396">
        <v>4.3702927836750254</v>
      </c>
      <c r="E396">
        <v>17.974663622436672</v>
      </c>
      <c r="F396">
        <v>1.8333768982352296</v>
      </c>
    </row>
    <row r="397" spans="2:6" x14ac:dyDescent="0.2">
      <c r="B397" t="s">
        <v>173</v>
      </c>
      <c r="C397">
        <v>58.263423415342551</v>
      </c>
      <c r="D397">
        <v>46.526759415088044</v>
      </c>
      <c r="E397">
        <v>26.748280738882517</v>
      </c>
      <c r="F397">
        <v>18.922246131149976</v>
      </c>
    </row>
    <row r="398" spans="2:6" x14ac:dyDescent="0.2">
      <c r="B398" t="s">
        <v>173</v>
      </c>
      <c r="C398">
        <v>45.514624093537513</v>
      </c>
      <c r="D398">
        <v>121.89492848804322</v>
      </c>
      <c r="E398">
        <v>124.76561561729311</v>
      </c>
      <c r="F398">
        <v>2.5414009420971198</v>
      </c>
    </row>
    <row r="399" spans="2:6" x14ac:dyDescent="0.2">
      <c r="B399" t="s">
        <v>173</v>
      </c>
      <c r="C399">
        <v>33.146108911689275</v>
      </c>
      <c r="D399">
        <v>55.795022393470362</v>
      </c>
      <c r="E399">
        <v>13.654190059710993</v>
      </c>
      <c r="F399">
        <v>1.2896304941657988</v>
      </c>
    </row>
    <row r="400" spans="2:6" x14ac:dyDescent="0.2">
      <c r="B400" t="s">
        <v>173</v>
      </c>
      <c r="C400">
        <v>22.988660316196292</v>
      </c>
      <c r="D400">
        <v>75.365097539598807</v>
      </c>
      <c r="E400">
        <v>61.877718376871776</v>
      </c>
      <c r="F400">
        <v>119.9800221724943</v>
      </c>
    </row>
    <row r="401" spans="2:6" x14ac:dyDescent="0.2">
      <c r="B401" t="s">
        <v>173</v>
      </c>
      <c r="C401">
        <v>191.63980091232145</v>
      </c>
      <c r="D401">
        <v>38.16448499916784</v>
      </c>
      <c r="E401">
        <v>46.754310614633155</v>
      </c>
      <c r="F401">
        <v>0.81763190766770322</v>
      </c>
    </row>
    <row r="402" spans="2:6" x14ac:dyDescent="0.2">
      <c r="B402" t="s">
        <v>173</v>
      </c>
      <c r="C402">
        <v>73.476385018243434</v>
      </c>
      <c r="D402">
        <v>69.843911653508144</v>
      </c>
      <c r="E402">
        <v>152.31360087859858</v>
      </c>
      <c r="F402">
        <v>70.227852200947211</v>
      </c>
    </row>
    <row r="403" spans="2:6" x14ac:dyDescent="0.2">
      <c r="B403" t="s">
        <v>173</v>
      </c>
      <c r="C403">
        <v>84.80619897417111</v>
      </c>
      <c r="D403">
        <v>37.720579529285963</v>
      </c>
      <c r="E403">
        <v>31.422353861513066</v>
      </c>
      <c r="F403">
        <v>29.624301899925364</v>
      </c>
    </row>
    <row r="404" spans="2:6" x14ac:dyDescent="0.2">
      <c r="B404" t="s">
        <v>173</v>
      </c>
      <c r="C404">
        <v>168.21304780495106</v>
      </c>
      <c r="D404">
        <v>43.958551716333218</v>
      </c>
      <c r="E404">
        <v>47.847039193739512</v>
      </c>
      <c r="F404">
        <v>29.893316528021103</v>
      </c>
    </row>
    <row r="405" spans="2:6" x14ac:dyDescent="0.2">
      <c r="B405" t="s">
        <v>173</v>
      </c>
      <c r="C405">
        <v>89.390122228592986</v>
      </c>
      <c r="D405">
        <v>50.067383937429568</v>
      </c>
      <c r="E405">
        <v>45.013660583440945</v>
      </c>
      <c r="F405">
        <v>28.756550770057572</v>
      </c>
    </row>
    <row r="406" spans="2:6" x14ac:dyDescent="0.2">
      <c r="B406" t="s">
        <v>173</v>
      </c>
      <c r="C406">
        <v>138.26045206754117</v>
      </c>
      <c r="D406">
        <v>52.118621988668053</v>
      </c>
      <c r="E406">
        <v>157.43329839201405</v>
      </c>
      <c r="F406">
        <v>7.2299297094859014</v>
      </c>
    </row>
    <row r="407" spans="2:6" x14ac:dyDescent="0.2">
      <c r="B407" t="s">
        <v>173</v>
      </c>
      <c r="C407">
        <v>187.12616586182639</v>
      </c>
      <c r="D407">
        <v>9.4577877283756528</v>
      </c>
      <c r="E407">
        <v>26.303523738710322</v>
      </c>
      <c r="F407">
        <v>10.718021592424289</v>
      </c>
    </row>
    <row r="408" spans="2:6" x14ac:dyDescent="0.2">
      <c r="B408" t="s">
        <v>173</v>
      </c>
      <c r="C408">
        <v>100.80588327317243</v>
      </c>
      <c r="D408">
        <v>51.698675759465488</v>
      </c>
      <c r="E408">
        <v>30.254205320277695</v>
      </c>
      <c r="F408">
        <v>5.4268964784453289</v>
      </c>
    </row>
    <row r="409" spans="2:6" x14ac:dyDescent="0.2">
      <c r="B409" t="s">
        <v>173</v>
      </c>
      <c r="C409">
        <v>72.801075745654131</v>
      </c>
      <c r="D409">
        <v>51.60474219613058</v>
      </c>
      <c r="E409">
        <v>5.9520317514567251</v>
      </c>
      <c r="F409">
        <v>18.774117686219356</v>
      </c>
    </row>
    <row r="410" spans="2:6" x14ac:dyDescent="0.2">
      <c r="B410" t="s">
        <v>173</v>
      </c>
      <c r="C410">
        <v>265.79631023795048</v>
      </c>
      <c r="D410">
        <v>54.783009615092752</v>
      </c>
      <c r="E410">
        <v>82.658006963763953</v>
      </c>
      <c r="F410">
        <v>35.251883562705814</v>
      </c>
    </row>
    <row r="411" spans="2:6" x14ac:dyDescent="0.2">
      <c r="B411" t="s">
        <v>173</v>
      </c>
      <c r="C411">
        <v>67.120009028979226</v>
      </c>
      <c r="D411">
        <v>18.618564277106582</v>
      </c>
      <c r="E411">
        <v>13.727450306667997</v>
      </c>
      <c r="F411">
        <v>8.9098500350121483</v>
      </c>
    </row>
    <row r="412" spans="2:6" x14ac:dyDescent="0.2">
      <c r="B412" t="s">
        <v>173</v>
      </c>
      <c r="C412">
        <v>47.143764235532217</v>
      </c>
      <c r="D412">
        <v>9.0513198773542598</v>
      </c>
      <c r="E412">
        <v>48.395426625115142</v>
      </c>
      <c r="F412">
        <v>15.841539757490267</v>
      </c>
    </row>
    <row r="413" spans="2:6" x14ac:dyDescent="0.2">
      <c r="B413" t="s">
        <v>173</v>
      </c>
      <c r="C413">
        <v>36.87681674814332</v>
      </c>
      <c r="D413">
        <v>10.940595558072809</v>
      </c>
      <c r="E413">
        <v>67.26369846995</v>
      </c>
      <c r="F413">
        <v>4.9671206838024915</v>
      </c>
    </row>
    <row r="414" spans="2:6" x14ac:dyDescent="0.2">
      <c r="B414" t="s">
        <v>173</v>
      </c>
      <c r="C414">
        <v>14.735391700655594</v>
      </c>
      <c r="D414">
        <v>48.293965979235942</v>
      </c>
      <c r="E414">
        <v>160.4465770839291</v>
      </c>
      <c r="F414">
        <v>11.403632504416279</v>
      </c>
    </row>
    <row r="415" spans="2:6" x14ac:dyDescent="0.2">
      <c r="B415" t="s">
        <v>173</v>
      </c>
      <c r="C415">
        <v>28.760982557620778</v>
      </c>
      <c r="D415">
        <v>78.423968892885654</v>
      </c>
      <c r="E415">
        <v>112.5761458133983</v>
      </c>
      <c r="F415">
        <v>4.1323751214222355</v>
      </c>
    </row>
    <row r="416" spans="2:6" x14ac:dyDescent="0.2">
      <c r="B416" t="s">
        <v>173</v>
      </c>
      <c r="C416">
        <v>80.838836185669876</v>
      </c>
      <c r="D416">
        <v>62.633162034491178</v>
      </c>
      <c r="E416">
        <v>9.9511838370309551</v>
      </c>
      <c r="F416">
        <v>0.37771527718295772</v>
      </c>
    </row>
    <row r="417" spans="2:6" x14ac:dyDescent="0.2">
      <c r="B417" t="s">
        <v>173</v>
      </c>
      <c r="C417">
        <v>5.4439997785986938</v>
      </c>
      <c r="D417">
        <v>63.508450401089242</v>
      </c>
      <c r="E417">
        <v>82.771518861370069</v>
      </c>
      <c r="F417">
        <v>19.736756219388724</v>
      </c>
    </row>
    <row r="418" spans="2:6" x14ac:dyDescent="0.2">
      <c r="B418" t="s">
        <v>173</v>
      </c>
      <c r="C418">
        <v>84.18442106511813</v>
      </c>
      <c r="D418">
        <v>17.592004494013434</v>
      </c>
      <c r="E418">
        <v>65.77364223392216</v>
      </c>
      <c r="F418">
        <v>3.1265714812774981</v>
      </c>
    </row>
    <row r="419" spans="2:6" x14ac:dyDescent="0.2">
      <c r="B419" t="s">
        <v>173</v>
      </c>
      <c r="C419">
        <v>59.056302128194829</v>
      </c>
      <c r="D419">
        <v>11.201489082900146</v>
      </c>
      <c r="E419">
        <v>99.615259347882855</v>
      </c>
      <c r="F419">
        <v>20.067153859416663</v>
      </c>
    </row>
    <row r="420" spans="2:6" x14ac:dyDescent="0.2">
      <c r="B420" t="s">
        <v>173</v>
      </c>
      <c r="C420">
        <v>32.025984322195406</v>
      </c>
      <c r="D420">
        <v>145.45086014998637</v>
      </c>
      <c r="E420">
        <v>42.971110154249395</v>
      </c>
      <c r="F420">
        <v>8.4642920198472922</v>
      </c>
    </row>
    <row r="421" spans="2:6" x14ac:dyDescent="0.2">
      <c r="B421" t="s">
        <v>173</v>
      </c>
      <c r="C421">
        <v>59.870032461530009</v>
      </c>
      <c r="D421">
        <v>25.471214486813011</v>
      </c>
      <c r="E421">
        <v>62.255318361381612</v>
      </c>
      <c r="F421">
        <v>3.6551243673563292</v>
      </c>
    </row>
    <row r="422" spans="2:6" x14ac:dyDescent="0.2">
      <c r="B422" t="s">
        <v>173</v>
      </c>
      <c r="C422">
        <v>129.32809950067579</v>
      </c>
      <c r="D422">
        <v>47.552593048661677</v>
      </c>
      <c r="E422">
        <v>60.54560161514425</v>
      </c>
      <c r="F422">
        <v>4.4805445653125737</v>
      </c>
    </row>
    <row r="423" spans="2:6" x14ac:dyDescent="0.2">
      <c r="B423" t="s">
        <v>173</v>
      </c>
      <c r="C423">
        <v>109.10344767419548</v>
      </c>
      <c r="D423">
        <v>36.268781034836366</v>
      </c>
      <c r="E423">
        <v>43.189529457188144</v>
      </c>
      <c r="F423">
        <v>6.5895510340704533</v>
      </c>
    </row>
    <row r="424" spans="2:6" x14ac:dyDescent="0.2">
      <c r="B424" t="s">
        <v>173</v>
      </c>
      <c r="C424">
        <v>25.791230575483922</v>
      </c>
      <c r="D424">
        <v>19.094767244885645</v>
      </c>
      <c r="E424">
        <v>81.263072242278355</v>
      </c>
      <c r="F424">
        <v>2.2623340433843993</v>
      </c>
    </row>
    <row r="425" spans="2:6" x14ac:dyDescent="0.2">
      <c r="B425" t="s">
        <v>173</v>
      </c>
      <c r="C425">
        <v>76.294042371397751</v>
      </c>
      <c r="D425">
        <v>65.552627070799574</v>
      </c>
      <c r="E425">
        <v>97.948456701911553</v>
      </c>
      <c r="F425">
        <v>3.4208778917025953</v>
      </c>
    </row>
    <row r="426" spans="2:6" x14ac:dyDescent="0.2">
      <c r="B426" t="s">
        <v>173</v>
      </c>
      <c r="C426">
        <v>61.959839124679576</v>
      </c>
      <c r="D426">
        <v>106.19392009692973</v>
      </c>
      <c r="E426">
        <v>86.18141266161868</v>
      </c>
      <c r="F426">
        <v>21.551571554641214</v>
      </c>
    </row>
    <row r="427" spans="2:6" x14ac:dyDescent="0.2">
      <c r="B427" t="s">
        <v>173</v>
      </c>
      <c r="C427">
        <v>32.390208874442408</v>
      </c>
      <c r="D427">
        <v>46.477971584709259</v>
      </c>
      <c r="E427">
        <v>22.529947505324714</v>
      </c>
      <c r="F427">
        <v>20.683072261376651</v>
      </c>
    </row>
    <row r="428" spans="2:6" x14ac:dyDescent="0.2">
      <c r="B428" t="s">
        <v>173</v>
      </c>
      <c r="C428">
        <v>92.166518859032408</v>
      </c>
      <c r="D428">
        <v>31.508469812170123</v>
      </c>
      <c r="E428">
        <v>154.40913915102902</v>
      </c>
      <c r="F428">
        <v>10.659837055811465</v>
      </c>
    </row>
    <row r="429" spans="2:6" x14ac:dyDescent="0.2">
      <c r="B429" t="s">
        <v>173</v>
      </c>
      <c r="C429">
        <v>126.39868737270844</v>
      </c>
      <c r="D429">
        <v>15.441767439459882</v>
      </c>
      <c r="E429">
        <v>51.834975385318295</v>
      </c>
      <c r="F429">
        <v>19.25771307375463</v>
      </c>
    </row>
    <row r="430" spans="2:6" x14ac:dyDescent="0.2">
      <c r="B430" t="s">
        <v>173</v>
      </c>
      <c r="C430">
        <v>219.84476465080957</v>
      </c>
      <c r="D430">
        <v>10.115477820070005</v>
      </c>
      <c r="E430">
        <v>43.294695304514626</v>
      </c>
      <c r="F430">
        <v>4.1242259586256083</v>
      </c>
    </row>
    <row r="431" spans="2:6" x14ac:dyDescent="0.2">
      <c r="B431" t="s">
        <v>173</v>
      </c>
      <c r="C431">
        <v>183.55295624517433</v>
      </c>
      <c r="D431">
        <v>8.2078742578751527</v>
      </c>
      <c r="E431">
        <v>4.9379456706270242</v>
      </c>
      <c r="F431">
        <v>7.2331884437168839</v>
      </c>
    </row>
    <row r="432" spans="2:6" x14ac:dyDescent="0.2">
      <c r="B432" t="s">
        <v>173</v>
      </c>
      <c r="C432">
        <v>21.702028973956907</v>
      </c>
      <c r="D432">
        <v>56.328795340808156</v>
      </c>
      <c r="E432">
        <v>164.40175983809186</v>
      </c>
      <c r="F432">
        <v>9.8188091702817175</v>
      </c>
    </row>
    <row r="433" spans="2:6" x14ac:dyDescent="0.2">
      <c r="B433" t="s">
        <v>173</v>
      </c>
      <c r="C433">
        <v>75.699387760724733</v>
      </c>
      <c r="D433">
        <v>18.443540285570329</v>
      </c>
      <c r="E433">
        <v>38.196255884807698</v>
      </c>
      <c r="F433">
        <v>26.99001908312384</v>
      </c>
    </row>
    <row r="434" spans="2:6" x14ac:dyDescent="0.2">
      <c r="B434" t="s">
        <v>173</v>
      </c>
      <c r="C434">
        <v>156.11940653905535</v>
      </c>
      <c r="D434">
        <v>51.967573348386281</v>
      </c>
      <c r="E434">
        <v>73.209443818629595</v>
      </c>
      <c r="F434">
        <v>1.9998492375210741</v>
      </c>
    </row>
    <row r="435" spans="2:6" x14ac:dyDescent="0.2">
      <c r="B435" t="s">
        <v>173</v>
      </c>
      <c r="C435">
        <v>84.536551475752361</v>
      </c>
      <c r="D435">
        <v>8.3175396101693355</v>
      </c>
      <c r="E435">
        <v>34.028023414927979</v>
      </c>
      <c r="F435">
        <v>2.816161559287103</v>
      </c>
    </row>
    <row r="436" spans="2:6" x14ac:dyDescent="0.2">
      <c r="B436" t="s">
        <v>173</v>
      </c>
      <c r="C436">
        <v>54.913695849974573</v>
      </c>
      <c r="D436">
        <v>53.532356215955097</v>
      </c>
      <c r="E436">
        <v>100.6320156592917</v>
      </c>
      <c r="F436">
        <v>32.344834616117936</v>
      </c>
    </row>
    <row r="437" spans="2:6" x14ac:dyDescent="0.2">
      <c r="B437" t="s">
        <v>173</v>
      </c>
      <c r="C437">
        <v>144.70120012534011</v>
      </c>
      <c r="D437">
        <v>40.571683284735734</v>
      </c>
      <c r="E437">
        <v>29.535194396926791</v>
      </c>
      <c r="F437">
        <v>3.0081297989570075</v>
      </c>
    </row>
    <row r="438" spans="2:6" x14ac:dyDescent="0.2">
      <c r="B438" t="s">
        <v>173</v>
      </c>
      <c r="C438">
        <v>78.390895504098921</v>
      </c>
      <c r="D438">
        <v>38.143359662157287</v>
      </c>
      <c r="E438">
        <v>22.691268181609878</v>
      </c>
      <c r="F438">
        <v>28.635208789408352</v>
      </c>
    </row>
    <row r="439" spans="2:6" x14ac:dyDescent="0.2">
      <c r="B439" t="s">
        <v>173</v>
      </c>
      <c r="C439">
        <v>104.57354655607728</v>
      </c>
      <c r="D439">
        <v>27.729703489624914</v>
      </c>
      <c r="E439">
        <v>30.440461675506128</v>
      </c>
      <c r="F439">
        <v>20.389949021595825</v>
      </c>
    </row>
    <row r="440" spans="2:6" x14ac:dyDescent="0.2">
      <c r="B440" t="s">
        <v>173</v>
      </c>
      <c r="C440">
        <v>23.384191003455136</v>
      </c>
      <c r="D440">
        <v>114.80997031590273</v>
      </c>
      <c r="E440">
        <v>145.26410608311028</v>
      </c>
      <c r="F440">
        <v>0.78098422103885135</v>
      </c>
    </row>
    <row r="441" spans="2:6" x14ac:dyDescent="0.2">
      <c r="B441" t="s">
        <v>173</v>
      </c>
      <c r="C441">
        <v>238.39107587804486</v>
      </c>
      <c r="D441">
        <v>16.333954669062315</v>
      </c>
      <c r="E441">
        <v>13.413502339748074</v>
      </c>
      <c r="F441">
        <v>1.3186467389183179</v>
      </c>
    </row>
    <row r="442" spans="2:6" x14ac:dyDescent="0.2">
      <c r="B442" t="s">
        <v>173</v>
      </c>
      <c r="C442">
        <v>21.572942304652244</v>
      </c>
      <c r="D442">
        <v>24.765642863999531</v>
      </c>
      <c r="E442">
        <v>70.854841102203196</v>
      </c>
      <c r="F442">
        <v>7.1504918763616701</v>
      </c>
    </row>
    <row r="443" spans="2:6" x14ac:dyDescent="0.2">
      <c r="B443" t="s">
        <v>173</v>
      </c>
      <c r="C443">
        <v>37.812689772546292</v>
      </c>
      <c r="D443">
        <v>63.855370173535952</v>
      </c>
      <c r="E443">
        <v>71.801388604584758</v>
      </c>
      <c r="F443">
        <v>43.325136806051887</v>
      </c>
    </row>
    <row r="444" spans="2:6" x14ac:dyDescent="0.2">
      <c r="B444" t="s">
        <v>173</v>
      </c>
      <c r="C444">
        <v>75.359197320487908</v>
      </c>
      <c r="D444">
        <v>46.927725524667601</v>
      </c>
      <c r="E444">
        <v>106.88602835580359</v>
      </c>
      <c r="F444">
        <v>7.149011016630709</v>
      </c>
    </row>
    <row r="445" spans="2:6" x14ac:dyDescent="0.2">
      <c r="B445" t="s">
        <v>173</v>
      </c>
      <c r="C445">
        <v>88.233227672203768</v>
      </c>
      <c r="D445">
        <v>21.040858282845306</v>
      </c>
      <c r="E445">
        <v>29.077528134244027</v>
      </c>
      <c r="F445">
        <v>45.007613521772498</v>
      </c>
    </row>
    <row r="446" spans="2:6" x14ac:dyDescent="0.2">
      <c r="B446" t="s">
        <v>173</v>
      </c>
      <c r="C446">
        <v>42.100100049584604</v>
      </c>
      <c r="D446">
        <v>58.305350654125569</v>
      </c>
      <c r="E446">
        <v>137.33604111157823</v>
      </c>
      <c r="F446">
        <v>3.8896154139022698</v>
      </c>
    </row>
    <row r="447" spans="2:6" x14ac:dyDescent="0.2">
      <c r="B447" t="s">
        <v>173</v>
      </c>
      <c r="C447">
        <v>22.515363197131208</v>
      </c>
      <c r="D447">
        <v>52.465464167808726</v>
      </c>
      <c r="E447">
        <v>24.045385785602072</v>
      </c>
      <c r="F447">
        <v>35.666861979190074</v>
      </c>
    </row>
    <row r="448" spans="2:6" x14ac:dyDescent="0.2">
      <c r="B448" t="s">
        <v>173</v>
      </c>
      <c r="C448">
        <v>212.20113822893444</v>
      </c>
      <c r="D448">
        <v>94.075505800066793</v>
      </c>
      <c r="E448">
        <v>23.231543281568143</v>
      </c>
      <c r="F448">
        <v>65.487911326689044</v>
      </c>
    </row>
    <row r="449" spans="2:6" x14ac:dyDescent="0.2">
      <c r="B449" t="s">
        <v>173</v>
      </c>
      <c r="C449">
        <v>143.76369698794539</v>
      </c>
      <c r="D449">
        <v>41.594448853979152</v>
      </c>
      <c r="E449">
        <v>216.20664333158041</v>
      </c>
      <c r="F449">
        <v>27.421252852150928</v>
      </c>
    </row>
    <row r="450" spans="2:6" x14ac:dyDescent="0.2">
      <c r="B450" t="s">
        <v>173</v>
      </c>
      <c r="C450">
        <v>27.750089440708713</v>
      </c>
      <c r="D450">
        <v>24.143085725125857</v>
      </c>
      <c r="E450">
        <v>25.827931171300765</v>
      </c>
      <c r="F450">
        <v>13.843151253932518</v>
      </c>
    </row>
    <row r="451" spans="2:6" x14ac:dyDescent="0.2">
      <c r="B451" t="s">
        <v>173</v>
      </c>
      <c r="C451">
        <v>34.945236041167576</v>
      </c>
      <c r="D451">
        <v>31.050714802878783</v>
      </c>
      <c r="E451">
        <v>25.077021114270664</v>
      </c>
      <c r="F451">
        <v>39.397304505183058</v>
      </c>
    </row>
    <row r="452" spans="2:6" x14ac:dyDescent="0.2">
      <c r="B452" t="s">
        <v>173</v>
      </c>
      <c r="C452">
        <v>116.73397928598288</v>
      </c>
      <c r="D452">
        <v>17.586438364923605</v>
      </c>
      <c r="E452">
        <v>11.477323519391193</v>
      </c>
      <c r="F452">
        <v>0.80040600495485448</v>
      </c>
    </row>
    <row r="453" spans="2:6" x14ac:dyDescent="0.2">
      <c r="B453" t="s">
        <v>173</v>
      </c>
      <c r="C453">
        <v>47.118134721922338</v>
      </c>
      <c r="D453">
        <v>33.458837732947586</v>
      </c>
      <c r="E453">
        <v>201.67737574865311</v>
      </c>
      <c r="F453">
        <v>18.826341705756448</v>
      </c>
    </row>
    <row r="454" spans="2:6" x14ac:dyDescent="0.2">
      <c r="B454" t="s">
        <v>173</v>
      </c>
      <c r="C454">
        <v>15.263451685640693</v>
      </c>
      <c r="D454">
        <v>51.652576983968771</v>
      </c>
      <c r="E454">
        <v>152.04420299706868</v>
      </c>
      <c r="F454">
        <v>2.9446947525687239</v>
      </c>
    </row>
    <row r="455" spans="2:6" x14ac:dyDescent="0.2">
      <c r="B455" t="s">
        <v>173</v>
      </c>
      <c r="C455">
        <v>22.772239820272741</v>
      </c>
      <c r="D455">
        <v>18.401364396910875</v>
      </c>
      <c r="E455">
        <v>3.7483288509411765</v>
      </c>
      <c r="F455">
        <v>11.134666942279125</v>
      </c>
    </row>
    <row r="456" spans="2:6" x14ac:dyDescent="0.2">
      <c r="B456" t="s">
        <v>173</v>
      </c>
      <c r="C456">
        <v>67.216871281756198</v>
      </c>
      <c r="D456">
        <v>14.281738896984924</v>
      </c>
      <c r="E456">
        <v>37.746212328453979</v>
      </c>
      <c r="F456">
        <v>39.35297294447205</v>
      </c>
    </row>
    <row r="457" spans="2:6" x14ac:dyDescent="0.2">
      <c r="B457" t="s">
        <v>173</v>
      </c>
      <c r="C457">
        <v>1.2446456346614811</v>
      </c>
      <c r="D457">
        <v>3.999117676809214</v>
      </c>
      <c r="E457">
        <v>103.99245192375938</v>
      </c>
      <c r="F457">
        <v>10.530981987275538</v>
      </c>
    </row>
    <row r="458" spans="2:6" x14ac:dyDescent="0.2">
      <c r="B458" t="s">
        <v>173</v>
      </c>
      <c r="C458">
        <v>27.444256976617055</v>
      </c>
      <c r="D458">
        <v>49.127065052310662</v>
      </c>
      <c r="E458">
        <v>63.299252572694193</v>
      </c>
      <c r="F458">
        <v>17.920826816980735</v>
      </c>
    </row>
    <row r="459" spans="2:6" x14ac:dyDescent="0.2">
      <c r="B459" t="s">
        <v>173</v>
      </c>
      <c r="C459">
        <v>119.22392209699129</v>
      </c>
      <c r="D459">
        <v>18.817763910681528</v>
      </c>
      <c r="E459">
        <v>25.650902864509472</v>
      </c>
      <c r="F459">
        <v>22.554842771535213</v>
      </c>
    </row>
    <row r="460" spans="2:6" x14ac:dyDescent="0.2">
      <c r="B460" t="s">
        <v>173</v>
      </c>
      <c r="C460">
        <v>77.597894559155719</v>
      </c>
      <c r="D460">
        <v>16.248847374851128</v>
      </c>
      <c r="E460">
        <v>84.365885187995758</v>
      </c>
      <c r="F460">
        <v>105.57388363892366</v>
      </c>
    </row>
    <row r="461" spans="2:6" x14ac:dyDescent="0.2">
      <c r="B461" t="s">
        <v>173</v>
      </c>
      <c r="C461">
        <v>28.405182455509628</v>
      </c>
      <c r="D461">
        <v>9.4815136922682228</v>
      </c>
      <c r="E461">
        <v>153.8998239757185</v>
      </c>
      <c r="F461">
        <v>4.5549228556198358</v>
      </c>
    </row>
    <row r="462" spans="2:6" x14ac:dyDescent="0.2">
      <c r="B462" t="s">
        <v>173</v>
      </c>
      <c r="C462">
        <v>8.4029443763593505</v>
      </c>
      <c r="D462">
        <v>30.951121922571279</v>
      </c>
      <c r="E462">
        <v>129.20337164517426</v>
      </c>
      <c r="F462">
        <v>5.981599065456642</v>
      </c>
    </row>
    <row r="463" spans="2:6" x14ac:dyDescent="0.2">
      <c r="B463" t="s">
        <v>173</v>
      </c>
      <c r="C463">
        <v>119.97830790427095</v>
      </c>
      <c r="D463">
        <v>19.470279146286643</v>
      </c>
      <c r="E463">
        <v>78.782136693673593</v>
      </c>
      <c r="F463">
        <v>4.6559508340037876</v>
      </c>
    </row>
    <row r="464" spans="2:6" x14ac:dyDescent="0.2">
      <c r="B464" t="s">
        <v>173</v>
      </c>
      <c r="C464">
        <v>178.38892835599736</v>
      </c>
      <c r="D464">
        <v>38.598264186914641</v>
      </c>
      <c r="E464">
        <v>46.91841007032297</v>
      </c>
      <c r="F464">
        <v>6.9430964077084028</v>
      </c>
    </row>
    <row r="465" spans="2:6" x14ac:dyDescent="0.2">
      <c r="B465" t="s">
        <v>173</v>
      </c>
      <c r="C465">
        <v>67.659604478082571</v>
      </c>
      <c r="D465">
        <v>0.76487036610757841</v>
      </c>
      <c r="E465">
        <v>168.55681265795329</v>
      </c>
      <c r="F465">
        <v>52.80729681737111</v>
      </c>
    </row>
    <row r="466" spans="2:6" x14ac:dyDescent="0.2">
      <c r="B466" t="s">
        <v>173</v>
      </c>
      <c r="C466">
        <v>12.092101308746566</v>
      </c>
      <c r="D466">
        <v>57.41660944179938</v>
      </c>
      <c r="E466">
        <v>81.684678069980166</v>
      </c>
      <c r="F466">
        <v>9.1575145113933445</v>
      </c>
    </row>
    <row r="467" spans="2:6" x14ac:dyDescent="0.2">
      <c r="B467" t="s">
        <v>173</v>
      </c>
      <c r="C467">
        <v>49.901519792129768</v>
      </c>
      <c r="D467">
        <v>60.336733561830989</v>
      </c>
      <c r="E467">
        <v>84.166275543174592</v>
      </c>
      <c r="F467">
        <v>3.0240357386228744</v>
      </c>
    </row>
    <row r="468" spans="2:6" x14ac:dyDescent="0.2">
      <c r="B468" t="s">
        <v>173</v>
      </c>
      <c r="C468">
        <v>154.43603455466794</v>
      </c>
      <c r="D468">
        <v>31.592228170239338</v>
      </c>
      <c r="E468">
        <v>95.319822817490987</v>
      </c>
      <c r="F468">
        <v>9.0077746106541596</v>
      </c>
    </row>
    <row r="469" spans="2:6" x14ac:dyDescent="0.2">
      <c r="B469" t="s">
        <v>173</v>
      </c>
      <c r="C469">
        <v>42.149025197170495</v>
      </c>
      <c r="D469">
        <v>62.334841970702293</v>
      </c>
      <c r="E469">
        <v>189.14727744756416</v>
      </c>
      <c r="F469">
        <v>5.8903626641926365</v>
      </c>
    </row>
    <row r="470" spans="2:6" x14ac:dyDescent="0.2">
      <c r="B470" t="s">
        <v>173</v>
      </c>
      <c r="C470">
        <v>50.314955595275499</v>
      </c>
      <c r="D470">
        <v>25.26359986033744</v>
      </c>
      <c r="E470">
        <v>92.014206419756263</v>
      </c>
      <c r="F470">
        <v>14.954849252581951</v>
      </c>
    </row>
    <row r="471" spans="2:6" x14ac:dyDescent="0.2">
      <c r="B471" t="s">
        <v>173</v>
      </c>
      <c r="C471">
        <v>29.713557661252008</v>
      </c>
      <c r="D471">
        <v>57.427019387008301</v>
      </c>
      <c r="E471">
        <v>45.5979806923973</v>
      </c>
      <c r="F471">
        <v>15.396609807830444</v>
      </c>
    </row>
    <row r="472" spans="2:6" x14ac:dyDescent="0.2">
      <c r="B472" t="s">
        <v>173</v>
      </c>
      <c r="C472">
        <v>17.559629776468256</v>
      </c>
      <c r="D472">
        <v>10.721119281844627</v>
      </c>
      <c r="E472">
        <v>129.27320103739416</v>
      </c>
      <c r="F472">
        <v>3.6808512922181773</v>
      </c>
    </row>
    <row r="473" spans="2:6" x14ac:dyDescent="0.2">
      <c r="B473" t="s">
        <v>173</v>
      </c>
      <c r="C473">
        <v>14.485618498853896</v>
      </c>
      <c r="D473">
        <v>6.6992912024575917</v>
      </c>
      <c r="E473">
        <v>106.39987815993069</v>
      </c>
      <c r="F473">
        <v>1.5148892514923809</v>
      </c>
    </row>
    <row r="474" spans="2:6" x14ac:dyDescent="0.2">
      <c r="B474" t="s">
        <v>173</v>
      </c>
      <c r="C474">
        <v>49.040898622694989</v>
      </c>
      <c r="D474">
        <v>32.785915949446299</v>
      </c>
      <c r="E474">
        <v>102.32688189051031</v>
      </c>
      <c r="F474">
        <v>15.588994829290598</v>
      </c>
    </row>
    <row r="475" spans="2:6" x14ac:dyDescent="0.2">
      <c r="B475" t="s">
        <v>173</v>
      </c>
      <c r="C475">
        <v>23.890825330887854</v>
      </c>
      <c r="D475">
        <v>36.10914877422389</v>
      </c>
      <c r="E475">
        <v>88.626521784699165</v>
      </c>
      <c r="F475">
        <v>1.0643466536081423</v>
      </c>
    </row>
    <row r="476" spans="2:6" x14ac:dyDescent="0.2">
      <c r="B476" t="s">
        <v>173</v>
      </c>
      <c r="C476">
        <v>49.544022054274855</v>
      </c>
      <c r="D476">
        <v>17.079688653683192</v>
      </c>
      <c r="E476">
        <v>139.87654753132006</v>
      </c>
      <c r="F476">
        <v>14.896805535447186</v>
      </c>
    </row>
    <row r="477" spans="2:6" x14ac:dyDescent="0.2">
      <c r="B477" t="s">
        <v>173</v>
      </c>
      <c r="C477">
        <v>35.222077197494372</v>
      </c>
      <c r="D477">
        <v>91.426036295374814</v>
      </c>
      <c r="E477">
        <v>221.4543817739457</v>
      </c>
      <c r="F477">
        <v>59.117973940113174</v>
      </c>
    </row>
    <row r="478" spans="2:6" x14ac:dyDescent="0.2">
      <c r="B478" t="s">
        <v>173</v>
      </c>
      <c r="C478">
        <v>8.2615482138856891</v>
      </c>
      <c r="D478">
        <v>91.891973976375752</v>
      </c>
      <c r="E478">
        <v>1.4923717410421991</v>
      </c>
      <c r="F478">
        <v>46.212925216726973</v>
      </c>
    </row>
    <row r="479" spans="2:6" x14ac:dyDescent="0.2">
      <c r="B479" t="s">
        <v>173</v>
      </c>
      <c r="C479">
        <v>153.67058813807571</v>
      </c>
      <c r="D479">
        <v>18.378851221463965</v>
      </c>
      <c r="E479">
        <v>37.392266049759115</v>
      </c>
      <c r="F479">
        <v>19.740303908266441</v>
      </c>
    </row>
    <row r="480" spans="2:6" x14ac:dyDescent="0.2">
      <c r="B480" t="s">
        <v>173</v>
      </c>
      <c r="C480">
        <v>178.31220741721106</v>
      </c>
      <c r="D480">
        <v>48.904817396636105</v>
      </c>
      <c r="E480">
        <v>124.77531897130537</v>
      </c>
      <c r="F480">
        <v>12.461433829753361</v>
      </c>
    </row>
    <row r="481" spans="2:6" x14ac:dyDescent="0.2">
      <c r="B481" t="s">
        <v>173</v>
      </c>
      <c r="C481">
        <v>255.5801818783271</v>
      </c>
      <c r="D481">
        <v>19.50420435007603</v>
      </c>
      <c r="E481">
        <v>26.569806141724062</v>
      </c>
      <c r="F481">
        <v>26.174762974953687</v>
      </c>
    </row>
    <row r="482" spans="2:6" x14ac:dyDescent="0.2">
      <c r="B482" t="s">
        <v>173</v>
      </c>
      <c r="C482">
        <v>420.05047429753483</v>
      </c>
      <c r="D482">
        <v>23.838099821542063</v>
      </c>
      <c r="E482">
        <v>55.56858147669422</v>
      </c>
      <c r="F482">
        <v>2.0753777538643199</v>
      </c>
    </row>
    <row r="483" spans="2:6" x14ac:dyDescent="0.2">
      <c r="B483" t="s">
        <v>173</v>
      </c>
      <c r="C483">
        <v>126.93197718045923</v>
      </c>
      <c r="D483">
        <v>33.754597112821699</v>
      </c>
      <c r="E483">
        <v>79.559340597447928</v>
      </c>
      <c r="F483">
        <v>25.844894237807438</v>
      </c>
    </row>
    <row r="484" spans="2:6" x14ac:dyDescent="0.2">
      <c r="B484" t="s">
        <v>173</v>
      </c>
      <c r="C484">
        <v>293.13557188283977</v>
      </c>
      <c r="D484">
        <v>24.759176424509366</v>
      </c>
      <c r="E484">
        <v>48.168961337933354</v>
      </c>
      <c r="F484">
        <v>8.9814727169295026</v>
      </c>
    </row>
    <row r="485" spans="2:6" x14ac:dyDescent="0.2">
      <c r="B485" t="s">
        <v>173</v>
      </c>
      <c r="C485">
        <v>14.069519349937405</v>
      </c>
      <c r="D485">
        <v>19.391129833940155</v>
      </c>
      <c r="E485">
        <v>73.44690671923577</v>
      </c>
      <c r="F485">
        <v>39.487933038896273</v>
      </c>
    </row>
    <row r="486" spans="2:6" x14ac:dyDescent="0.2">
      <c r="B486" t="s">
        <v>173</v>
      </c>
      <c r="C486">
        <v>39.488217299234236</v>
      </c>
      <c r="D486">
        <v>41.630435868424605</v>
      </c>
      <c r="E486">
        <v>117.21134444774941</v>
      </c>
      <c r="F486">
        <v>22.970923636733346</v>
      </c>
    </row>
    <row r="487" spans="2:6" x14ac:dyDescent="0.2">
      <c r="B487" t="s">
        <v>173</v>
      </c>
      <c r="C487">
        <v>99.336408606931698</v>
      </c>
      <c r="D487">
        <v>28.073465888971693</v>
      </c>
      <c r="E487">
        <v>64.493476971881805</v>
      </c>
      <c r="F487">
        <v>33.693972021563823</v>
      </c>
    </row>
    <row r="488" spans="2:6" x14ac:dyDescent="0.2">
      <c r="B488" t="s">
        <v>173</v>
      </c>
      <c r="C488">
        <v>22.604430367916148</v>
      </c>
      <c r="D488">
        <v>61.745304422731955</v>
      </c>
      <c r="E488">
        <v>85.021510744459221</v>
      </c>
      <c r="F488">
        <v>6.3369884358339021</v>
      </c>
    </row>
    <row r="489" spans="2:6" x14ac:dyDescent="0.2">
      <c r="B489" t="s">
        <v>173</v>
      </c>
      <c r="C489">
        <v>32.542680787387511</v>
      </c>
      <c r="D489">
        <v>28.34240873089216</v>
      </c>
      <c r="E489">
        <v>45.363397753170773</v>
      </c>
      <c r="F489">
        <v>18.60668823818952</v>
      </c>
    </row>
    <row r="490" spans="2:6" x14ac:dyDescent="0.2">
      <c r="B490" t="s">
        <v>173</v>
      </c>
      <c r="C490">
        <v>19.291707900689261</v>
      </c>
      <c r="D490">
        <v>38.339648716183845</v>
      </c>
      <c r="E490">
        <v>88.350424724471338</v>
      </c>
      <c r="F490">
        <v>9.6760240523070138</v>
      </c>
    </row>
    <row r="491" spans="2:6" x14ac:dyDescent="0.2">
      <c r="B491" t="s">
        <v>173</v>
      </c>
      <c r="C491">
        <v>99.337958824911496</v>
      </c>
      <c r="D491">
        <v>94.176937777969385</v>
      </c>
      <c r="E491">
        <v>61.964373931034984</v>
      </c>
      <c r="F491">
        <v>5.937616574100204</v>
      </c>
    </row>
    <row r="492" spans="2:6" x14ac:dyDescent="0.2">
      <c r="B492" t="s">
        <v>173</v>
      </c>
      <c r="C492">
        <v>121.80826476245707</v>
      </c>
      <c r="D492">
        <v>19.158785282438789</v>
      </c>
      <c r="E492">
        <v>134.00988563052533</v>
      </c>
      <c r="F492">
        <v>54.311948117727212</v>
      </c>
    </row>
    <row r="493" spans="2:6" x14ac:dyDescent="0.2">
      <c r="B493" t="s">
        <v>173</v>
      </c>
      <c r="C493">
        <v>52.18441290136294</v>
      </c>
      <c r="D493">
        <v>6.7338365127785211</v>
      </c>
      <c r="E493">
        <v>24.794886265497784</v>
      </c>
      <c r="F493">
        <v>11.54152347219528</v>
      </c>
    </row>
    <row r="494" spans="2:6" x14ac:dyDescent="0.2">
      <c r="B494" t="s">
        <v>173</v>
      </c>
      <c r="C494">
        <v>15.383638290417496</v>
      </c>
      <c r="D494">
        <v>61.906093982812955</v>
      </c>
      <c r="E494">
        <v>44.333120671644259</v>
      </c>
      <c r="F494">
        <v>0.67157179059187477</v>
      </c>
    </row>
    <row r="495" spans="2:6" x14ac:dyDescent="0.2">
      <c r="B495" t="s">
        <v>173</v>
      </c>
      <c r="C495">
        <v>46.613948029738033</v>
      </c>
      <c r="D495">
        <v>157.52272361527758</v>
      </c>
      <c r="E495">
        <v>28.128553448118009</v>
      </c>
      <c r="F495">
        <v>17.977961576776835</v>
      </c>
    </row>
    <row r="496" spans="2:6" x14ac:dyDescent="0.2">
      <c r="B496" t="s">
        <v>173</v>
      </c>
      <c r="C496">
        <v>22.203311716157121</v>
      </c>
      <c r="D496">
        <v>5.4723177873287021</v>
      </c>
      <c r="E496">
        <v>8.8370511505743359</v>
      </c>
      <c r="F496">
        <v>15.630834070929467</v>
      </c>
    </row>
    <row r="497" spans="2:6" x14ac:dyDescent="0.2">
      <c r="B497" t="s">
        <v>173</v>
      </c>
      <c r="C497">
        <v>46.789311505994341</v>
      </c>
      <c r="D497">
        <v>18.029237072024387</v>
      </c>
      <c r="E497">
        <v>13.427749270319357</v>
      </c>
      <c r="F497">
        <v>17.011788124656846</v>
      </c>
    </row>
    <row r="498" spans="2:6" x14ac:dyDescent="0.2">
      <c r="B498" t="s">
        <v>173</v>
      </c>
      <c r="C498">
        <v>125.92671679048203</v>
      </c>
      <c r="D498">
        <v>15.444026048385274</v>
      </c>
      <c r="E498">
        <v>242.89061477326695</v>
      </c>
      <c r="F498">
        <v>10.746233547946666</v>
      </c>
    </row>
    <row r="499" spans="2:6" x14ac:dyDescent="0.2">
      <c r="B499" t="s">
        <v>173</v>
      </c>
      <c r="C499">
        <v>123.53526715147434</v>
      </c>
      <c r="D499">
        <v>12.842820965855555</v>
      </c>
      <c r="E499">
        <v>248.10409366497692</v>
      </c>
      <c r="F499">
        <v>16.136789431532449</v>
      </c>
    </row>
    <row r="500" spans="2:6" x14ac:dyDescent="0.2">
      <c r="B500" t="s">
        <v>173</v>
      </c>
      <c r="C500">
        <v>68.123581864056092</v>
      </c>
      <c r="D500">
        <v>89.088421186116634</v>
      </c>
      <c r="E500">
        <v>79.149687861452151</v>
      </c>
      <c r="F500">
        <v>4.6440050270447273</v>
      </c>
    </row>
    <row r="501" spans="2:6" x14ac:dyDescent="0.2">
      <c r="B501" t="s">
        <v>173</v>
      </c>
      <c r="C501">
        <v>17.811074854141502</v>
      </c>
      <c r="D501">
        <v>13.932342569739639</v>
      </c>
      <c r="E501">
        <v>117.9990271558256</v>
      </c>
      <c r="F501">
        <v>1.9896136957873409</v>
      </c>
    </row>
    <row r="502" spans="2:6" x14ac:dyDescent="0.2">
      <c r="B502" t="s">
        <v>173</v>
      </c>
      <c r="C502">
        <v>52.025825107521406</v>
      </c>
      <c r="D502">
        <v>27.11843367897627</v>
      </c>
      <c r="E502">
        <v>26.807073193323323</v>
      </c>
      <c r="F502">
        <v>1.227203343858573</v>
      </c>
    </row>
    <row r="503" spans="2:6" x14ac:dyDescent="0.2">
      <c r="B503" t="s">
        <v>173</v>
      </c>
      <c r="C503">
        <v>54.98509169057747</v>
      </c>
      <c r="D503">
        <v>48.754309259553828</v>
      </c>
      <c r="E503">
        <v>25.780890669074147</v>
      </c>
      <c r="F503">
        <v>18.730327541863844</v>
      </c>
    </row>
    <row r="504" spans="2:6" x14ac:dyDescent="0.2">
      <c r="B504" t="s">
        <v>173</v>
      </c>
      <c r="C504">
        <v>38.133142529512178</v>
      </c>
      <c r="D504">
        <v>58.564830355408027</v>
      </c>
      <c r="E504">
        <v>162.92357222739804</v>
      </c>
      <c r="F504">
        <v>80.563595761835401</v>
      </c>
    </row>
    <row r="505" spans="2:6" x14ac:dyDescent="0.2">
      <c r="B505" t="s">
        <v>173</v>
      </c>
      <c r="C505">
        <v>76.280282914843468</v>
      </c>
      <c r="D505">
        <v>32.229665577808113</v>
      </c>
      <c r="E505">
        <v>19.991171854402392</v>
      </c>
      <c r="F505">
        <v>5.5980253841883112</v>
      </c>
    </row>
    <row r="506" spans="2:6" x14ac:dyDescent="0.2">
      <c r="B506" t="s">
        <v>173</v>
      </c>
      <c r="C506">
        <v>86.05230171552472</v>
      </c>
      <c r="D506">
        <v>37.239298703726327</v>
      </c>
      <c r="E506">
        <v>40.794124204774484</v>
      </c>
      <c r="F506">
        <v>6.1751901852764917</v>
      </c>
    </row>
    <row r="507" spans="2:6" x14ac:dyDescent="0.2">
      <c r="B507" t="s">
        <v>173</v>
      </c>
      <c r="C507">
        <v>70.559812254795958</v>
      </c>
      <c r="D507">
        <v>17.254873289785479</v>
      </c>
      <c r="E507">
        <v>20.312460104367286</v>
      </c>
      <c r="F507">
        <v>53.344098691250167</v>
      </c>
    </row>
    <row r="508" spans="2:6" x14ac:dyDescent="0.2">
      <c r="B508" t="s">
        <v>173</v>
      </c>
      <c r="C508">
        <v>49.80188270991119</v>
      </c>
      <c r="D508">
        <v>35.973391330098821</v>
      </c>
      <c r="E508">
        <v>62.518986382714374</v>
      </c>
      <c r="F508">
        <v>6.8030773733748049</v>
      </c>
    </row>
    <row r="509" spans="2:6" x14ac:dyDescent="0.2">
      <c r="B509" t="s">
        <v>173</v>
      </c>
      <c r="C509">
        <v>36.961591327051423</v>
      </c>
      <c r="D509">
        <v>5.124521858387487</v>
      </c>
      <c r="E509">
        <v>69.919585388167718</v>
      </c>
      <c r="F509">
        <v>1.0538613426997827</v>
      </c>
    </row>
    <row r="510" spans="2:6" x14ac:dyDescent="0.2">
      <c r="B510" t="s">
        <v>173</v>
      </c>
      <c r="C510">
        <v>213.13845392198763</v>
      </c>
      <c r="D510">
        <v>43.004562725233804</v>
      </c>
      <c r="E510">
        <v>45.561742847565377</v>
      </c>
      <c r="F510">
        <v>77.345421537224354</v>
      </c>
    </row>
    <row r="511" spans="2:6" x14ac:dyDescent="0.2">
      <c r="B511" t="s">
        <v>173</v>
      </c>
      <c r="C511">
        <v>481.66062201490286</v>
      </c>
      <c r="D511">
        <v>43.115292330978065</v>
      </c>
      <c r="E511">
        <v>131.97413145127868</v>
      </c>
      <c r="F511">
        <v>0.99513347293245324</v>
      </c>
    </row>
    <row r="512" spans="2:6" x14ac:dyDescent="0.2">
      <c r="B512" t="s">
        <v>173</v>
      </c>
      <c r="C512">
        <v>66.30777002993463</v>
      </c>
      <c r="D512">
        <v>27.38395575559095</v>
      </c>
      <c r="E512">
        <v>127.84506947106146</v>
      </c>
      <c r="F512">
        <v>9.1284103031815107</v>
      </c>
    </row>
    <row r="513" spans="2:6" x14ac:dyDescent="0.2">
      <c r="B513" t="s">
        <v>173</v>
      </c>
      <c r="C513">
        <v>84.491696908085885</v>
      </c>
      <c r="D513">
        <v>59.167226354598732</v>
      </c>
      <c r="E513">
        <v>8.2204399857586523</v>
      </c>
      <c r="F513">
        <v>65.434833764045692</v>
      </c>
    </row>
    <row r="514" spans="2:6" x14ac:dyDescent="0.2">
      <c r="B514" t="s">
        <v>173</v>
      </c>
      <c r="C514">
        <v>57.860717382891238</v>
      </c>
      <c r="D514">
        <v>18.513030401782835</v>
      </c>
      <c r="E514">
        <v>42.845994931541448</v>
      </c>
      <c r="F514">
        <v>34.823613875841261</v>
      </c>
    </row>
    <row r="515" spans="2:6" x14ac:dyDescent="0.2">
      <c r="B515" t="s">
        <v>173</v>
      </c>
      <c r="C515">
        <v>156.79240721683382</v>
      </c>
      <c r="D515">
        <v>17.546551170572876</v>
      </c>
      <c r="E515">
        <v>30.306932739860201</v>
      </c>
      <c r="F515">
        <v>7.5396873027564055</v>
      </c>
    </row>
    <row r="516" spans="2:6" x14ac:dyDescent="0.2">
      <c r="B516" t="s">
        <v>173</v>
      </c>
      <c r="C516">
        <v>191.23214960372414</v>
      </c>
      <c r="D516">
        <v>61.190831899570298</v>
      </c>
      <c r="E516">
        <v>16.961971795982482</v>
      </c>
      <c r="F516">
        <v>22.58381152496618</v>
      </c>
    </row>
    <row r="517" spans="2:6" x14ac:dyDescent="0.2">
      <c r="B517" t="s">
        <v>173</v>
      </c>
      <c r="C517">
        <v>58.736549328372071</v>
      </c>
      <c r="D517">
        <v>20.171454417198209</v>
      </c>
      <c r="E517">
        <v>16.164085053747453</v>
      </c>
      <c r="F517">
        <v>17.677545573176332</v>
      </c>
    </row>
    <row r="518" spans="2:6" x14ac:dyDescent="0.2">
      <c r="B518" t="s">
        <v>173</v>
      </c>
      <c r="C518">
        <v>9.6763396281173844</v>
      </c>
      <c r="D518">
        <v>86.117863202295055</v>
      </c>
      <c r="E518">
        <v>73.72237396011505</v>
      </c>
      <c r="F518">
        <v>45.505682197749451</v>
      </c>
    </row>
    <row r="519" spans="2:6" x14ac:dyDescent="0.2">
      <c r="B519" t="s">
        <v>173</v>
      </c>
      <c r="C519">
        <v>68.508834743802041</v>
      </c>
      <c r="D519">
        <v>17.687077879601102</v>
      </c>
      <c r="E519">
        <v>80.023671016297911</v>
      </c>
      <c r="F519">
        <v>7.5566897694867521</v>
      </c>
    </row>
    <row r="520" spans="2:6" x14ac:dyDescent="0.2">
      <c r="B520" t="s">
        <v>173</v>
      </c>
      <c r="C520">
        <v>22.207413257489851</v>
      </c>
      <c r="D520">
        <v>9.0391685317572144</v>
      </c>
      <c r="E520">
        <v>74.745929812795367</v>
      </c>
      <c r="F520">
        <v>5.0774372622205135</v>
      </c>
    </row>
    <row r="521" spans="2:6" x14ac:dyDescent="0.2">
      <c r="B521" t="s">
        <v>173</v>
      </c>
      <c r="C521">
        <v>17.314348004514219</v>
      </c>
      <c r="D521">
        <v>34.992545617708963</v>
      </c>
      <c r="E521">
        <v>166.85034794197747</v>
      </c>
      <c r="F521">
        <v>11.756909379538868</v>
      </c>
    </row>
    <row r="522" spans="2:6" x14ac:dyDescent="0.2">
      <c r="B522" t="s">
        <v>173</v>
      </c>
      <c r="C522">
        <v>36.770960392360415</v>
      </c>
      <c r="D522">
        <v>38.825044311003325</v>
      </c>
      <c r="E522">
        <v>8.6475493028838439</v>
      </c>
      <c r="F522">
        <v>2.7458206376339849</v>
      </c>
    </row>
    <row r="523" spans="2:6" x14ac:dyDescent="0.2">
      <c r="B523" t="s">
        <v>173</v>
      </c>
      <c r="C523">
        <v>192.41180294587011</v>
      </c>
      <c r="D523">
        <v>94.914354388910013</v>
      </c>
      <c r="E523">
        <v>81.9839634618709</v>
      </c>
      <c r="F523">
        <v>2.971443456014299</v>
      </c>
    </row>
    <row r="524" spans="2:6" x14ac:dyDescent="0.2">
      <c r="B524" t="s">
        <v>173</v>
      </c>
      <c r="C524">
        <v>25.075476733826303</v>
      </c>
      <c r="D524">
        <v>19.806845745419764</v>
      </c>
      <c r="E524">
        <v>16.542070223004529</v>
      </c>
      <c r="F524">
        <v>8.5659430360664288</v>
      </c>
    </row>
    <row r="525" spans="2:6" x14ac:dyDescent="0.2">
      <c r="B525" t="s">
        <v>173</v>
      </c>
      <c r="C525">
        <v>63.84665086162407</v>
      </c>
      <c r="D525">
        <v>29.911711732866358</v>
      </c>
      <c r="E525">
        <v>56.581672965962937</v>
      </c>
      <c r="F525">
        <v>42.830347668312271</v>
      </c>
    </row>
    <row r="526" spans="2:6" x14ac:dyDescent="0.2">
      <c r="B526" t="s">
        <v>173</v>
      </c>
      <c r="C526">
        <v>65.518408770814304</v>
      </c>
      <c r="D526">
        <v>49.624349016879535</v>
      </c>
      <c r="E526">
        <v>21.484368859252452</v>
      </c>
      <c r="F526">
        <v>24.478630173938839</v>
      </c>
    </row>
    <row r="527" spans="2:6" x14ac:dyDescent="0.2">
      <c r="B527" t="s">
        <v>173</v>
      </c>
      <c r="C527">
        <v>16.657153391015733</v>
      </c>
      <c r="D527">
        <v>71.605057892704195</v>
      </c>
      <c r="E527">
        <v>60.470075096497844</v>
      </c>
      <c r="F527">
        <v>6.8780501232288458</v>
      </c>
    </row>
    <row r="528" spans="2:6" x14ac:dyDescent="0.2">
      <c r="B528" t="s">
        <v>173</v>
      </c>
      <c r="C528">
        <v>167.68254062391645</v>
      </c>
      <c r="D528">
        <v>34.329411498545433</v>
      </c>
      <c r="E528">
        <v>13.698776118887963</v>
      </c>
      <c r="F528">
        <v>31.547249720844263</v>
      </c>
    </row>
    <row r="529" spans="2:6" x14ac:dyDescent="0.2">
      <c r="B529" t="s">
        <v>173</v>
      </c>
      <c r="C529">
        <v>20.739852254794329</v>
      </c>
      <c r="D529">
        <v>18.041206616674685</v>
      </c>
      <c r="E529">
        <v>53.548410350218411</v>
      </c>
      <c r="F529">
        <v>2.5183762601187709</v>
      </c>
    </row>
    <row r="530" spans="2:6" x14ac:dyDescent="0.2">
      <c r="B530" t="s">
        <v>173</v>
      </c>
      <c r="C530">
        <v>31.928017808502208</v>
      </c>
      <c r="D530">
        <v>51.353981892994419</v>
      </c>
      <c r="E530">
        <v>24.678881673789189</v>
      </c>
      <c r="F530">
        <v>15.383095058926656</v>
      </c>
    </row>
    <row r="531" spans="2:6" x14ac:dyDescent="0.2">
      <c r="B531" t="s">
        <v>173</v>
      </c>
      <c r="C531">
        <v>18.448844798473125</v>
      </c>
      <c r="D531">
        <v>57.895051152582418</v>
      </c>
      <c r="E531">
        <v>111.30879331473346</v>
      </c>
      <c r="F531">
        <v>29.279561013577421</v>
      </c>
    </row>
    <row r="532" spans="2:6" x14ac:dyDescent="0.2">
      <c r="B532" t="s">
        <v>173</v>
      </c>
      <c r="C532">
        <v>73.252584683357981</v>
      </c>
      <c r="D532">
        <v>18.728546025391385</v>
      </c>
      <c r="E532">
        <v>79.702955293796052</v>
      </c>
      <c r="F532">
        <v>15.360976394503012</v>
      </c>
    </row>
    <row r="533" spans="2:6" x14ac:dyDescent="0.2">
      <c r="B533" t="s">
        <v>173</v>
      </c>
      <c r="C533">
        <v>195.53097928005627</v>
      </c>
      <c r="D533">
        <v>6.5126202735813372</v>
      </c>
      <c r="E533">
        <v>11.816111658801665</v>
      </c>
      <c r="F533">
        <v>22.954264206206403</v>
      </c>
    </row>
    <row r="534" spans="2:6" x14ac:dyDescent="0.2">
      <c r="B534" t="s">
        <v>173</v>
      </c>
      <c r="C534">
        <v>142.33435147765852</v>
      </c>
      <c r="D534">
        <v>12.145137332495903</v>
      </c>
      <c r="E534">
        <v>4.7853122802930415</v>
      </c>
      <c r="F534">
        <v>20.369415310178653</v>
      </c>
    </row>
    <row r="535" spans="2:6" x14ac:dyDescent="0.2">
      <c r="B535" t="s">
        <v>173</v>
      </c>
      <c r="C535">
        <v>77.899165141296578</v>
      </c>
      <c r="D535">
        <v>21.842706829300788</v>
      </c>
      <c r="E535">
        <v>55.591540378190267</v>
      </c>
      <c r="F535">
        <v>3.2659599875274239</v>
      </c>
    </row>
    <row r="536" spans="2:6" x14ac:dyDescent="0.2">
      <c r="B536" t="s">
        <v>173</v>
      </c>
      <c r="C536">
        <v>59.080790302057217</v>
      </c>
      <c r="D536">
        <v>28.669174494436199</v>
      </c>
      <c r="E536">
        <v>133.17353003337487</v>
      </c>
      <c r="F536">
        <v>17.523381357640076</v>
      </c>
    </row>
    <row r="537" spans="2:6" x14ac:dyDescent="0.2">
      <c r="B537" t="s">
        <v>173</v>
      </c>
      <c r="C537">
        <v>28.516840314098062</v>
      </c>
      <c r="D537">
        <v>52.938538066295671</v>
      </c>
      <c r="E537">
        <v>4.3015721882581026</v>
      </c>
      <c r="F537">
        <v>18.56337559743406</v>
      </c>
    </row>
    <row r="538" spans="2:6" x14ac:dyDescent="0.2">
      <c r="B538" t="s">
        <v>173</v>
      </c>
      <c r="C538">
        <v>50.079048200022548</v>
      </c>
      <c r="D538">
        <v>22.317193458986431</v>
      </c>
      <c r="E538">
        <v>160.74820257103318</v>
      </c>
      <c r="F538">
        <v>13.065574893010776</v>
      </c>
    </row>
    <row r="539" spans="2:6" x14ac:dyDescent="0.2">
      <c r="B539" t="s">
        <v>173</v>
      </c>
      <c r="C539">
        <v>122.78061631124079</v>
      </c>
      <c r="D539">
        <v>21.560740895800713</v>
      </c>
      <c r="E539">
        <v>17.025576775074736</v>
      </c>
      <c r="F539">
        <v>17.173221660701806</v>
      </c>
    </row>
    <row r="540" spans="2:6" x14ac:dyDescent="0.2">
      <c r="B540" t="s">
        <v>173</v>
      </c>
      <c r="C540">
        <v>12.086802020201075</v>
      </c>
      <c r="D540">
        <v>9.5820172475755996</v>
      </c>
      <c r="E540">
        <v>32.610374761092324</v>
      </c>
      <c r="F540">
        <v>10.130437951331523</v>
      </c>
    </row>
    <row r="541" spans="2:6" x14ac:dyDescent="0.2">
      <c r="B541" t="s">
        <v>173</v>
      </c>
      <c r="C541">
        <v>37.798468007493348</v>
      </c>
      <c r="D541">
        <v>131.48718563292491</v>
      </c>
      <c r="E541">
        <v>132.0795985574552</v>
      </c>
      <c r="F541">
        <v>35.539224955482808</v>
      </c>
    </row>
    <row r="542" spans="2:6" x14ac:dyDescent="0.2">
      <c r="B542" t="s">
        <v>173</v>
      </c>
      <c r="C542">
        <v>3.8173344977766202</v>
      </c>
      <c r="D542">
        <v>15.301763263549223</v>
      </c>
      <c r="E542">
        <v>41.421110663124523</v>
      </c>
      <c r="F542">
        <v>1.8262384045166726</v>
      </c>
    </row>
    <row r="543" spans="2:6" x14ac:dyDescent="0.2">
      <c r="B543" t="s">
        <v>173</v>
      </c>
      <c r="C543">
        <v>175.49880173667137</v>
      </c>
      <c r="D543">
        <v>98.974049245127858</v>
      </c>
      <c r="E543">
        <v>81.469119252352172</v>
      </c>
      <c r="F543">
        <v>49.667067318982447</v>
      </c>
    </row>
    <row r="544" spans="2:6" x14ac:dyDescent="0.2">
      <c r="B544" t="s">
        <v>173</v>
      </c>
      <c r="C544">
        <v>322.33830709607082</v>
      </c>
      <c r="D544">
        <v>26.780350633397163</v>
      </c>
      <c r="E544">
        <v>34.311501911375963</v>
      </c>
      <c r="F544">
        <v>7.3563998691272801</v>
      </c>
    </row>
    <row r="545" spans="2:6" x14ac:dyDescent="0.2">
      <c r="B545" t="s">
        <v>173</v>
      </c>
      <c r="C545">
        <v>87.416186008817348</v>
      </c>
      <c r="D545">
        <v>41.222380683435446</v>
      </c>
      <c r="E545">
        <v>62.833029854394901</v>
      </c>
      <c r="F545">
        <v>0.53191745850461469</v>
      </c>
    </row>
    <row r="546" spans="2:6" x14ac:dyDescent="0.2">
      <c r="B546" t="s">
        <v>173</v>
      </c>
      <c r="C546">
        <v>41.424988093685236</v>
      </c>
      <c r="D546">
        <v>3.4605749454997961</v>
      </c>
      <c r="E546">
        <v>15.672084891520003</v>
      </c>
      <c r="F546">
        <v>5.6317095774622601</v>
      </c>
    </row>
    <row r="547" spans="2:6" x14ac:dyDescent="0.2">
      <c r="B547" t="s">
        <v>173</v>
      </c>
      <c r="C547">
        <v>140.39167958739844</v>
      </c>
      <c r="D547">
        <v>39.563080427815201</v>
      </c>
      <c r="E547">
        <v>70.467165684465186</v>
      </c>
      <c r="F547">
        <v>2.7870987092558988</v>
      </c>
    </row>
    <row r="548" spans="2:6" x14ac:dyDescent="0.2">
      <c r="B548" t="s">
        <v>173</v>
      </c>
      <c r="C548">
        <v>79.315994720635359</v>
      </c>
      <c r="D548">
        <v>106.9554067347559</v>
      </c>
      <c r="E548">
        <v>89.587702377124998</v>
      </c>
      <c r="F548">
        <v>24.097372429785651</v>
      </c>
    </row>
    <row r="549" spans="2:6" x14ac:dyDescent="0.2">
      <c r="B549" t="s">
        <v>173</v>
      </c>
      <c r="C549">
        <v>59.053557428229702</v>
      </c>
      <c r="D549">
        <v>16.881520664604572</v>
      </c>
      <c r="E549">
        <v>164.79140308432082</v>
      </c>
      <c r="F549">
        <v>33.832802309051878</v>
      </c>
    </row>
    <row r="550" spans="2:6" x14ac:dyDescent="0.2">
      <c r="B550" t="s">
        <v>173</v>
      </c>
      <c r="C550">
        <v>86.621522804550267</v>
      </c>
      <c r="D550">
        <v>49.635085177786131</v>
      </c>
      <c r="E550">
        <v>69.53366287188723</v>
      </c>
      <c r="F550">
        <v>15.820982070875942</v>
      </c>
    </row>
    <row r="551" spans="2:6" x14ac:dyDescent="0.2">
      <c r="B551" t="s">
        <v>173</v>
      </c>
      <c r="C551">
        <v>117.18950025617423</v>
      </c>
      <c r="D551">
        <v>18.831990369886267</v>
      </c>
      <c r="E551">
        <v>52.390614086117239</v>
      </c>
      <c r="F551">
        <v>12.839391851606592</v>
      </c>
    </row>
    <row r="552" spans="2:6" x14ac:dyDescent="0.2">
      <c r="B552" t="s">
        <v>173</v>
      </c>
      <c r="C552">
        <v>142.40100627962707</v>
      </c>
      <c r="D552">
        <v>11.319932152721186</v>
      </c>
      <c r="E552">
        <v>65.127427247111257</v>
      </c>
      <c r="F552">
        <v>7.3398489200766619</v>
      </c>
    </row>
    <row r="553" spans="2:6" x14ac:dyDescent="0.2">
      <c r="B553" t="s">
        <v>173</v>
      </c>
      <c r="C553">
        <v>62.797034458706641</v>
      </c>
      <c r="D553">
        <v>79.811072965853683</v>
      </c>
      <c r="E553">
        <v>19.563261742299449</v>
      </c>
      <c r="F553">
        <v>14.742140104468888</v>
      </c>
    </row>
    <row r="554" spans="2:6" x14ac:dyDescent="0.2">
      <c r="B554" t="s">
        <v>173</v>
      </c>
      <c r="C554">
        <v>18.210220671166194</v>
      </c>
      <c r="D554">
        <v>24.327401754078696</v>
      </c>
      <c r="E554">
        <v>48.289970984758874</v>
      </c>
      <c r="F554">
        <v>3.5174514312576193</v>
      </c>
    </row>
    <row r="555" spans="2:6" x14ac:dyDescent="0.2">
      <c r="B555" t="s">
        <v>173</v>
      </c>
      <c r="C555">
        <v>70.36558424523929</v>
      </c>
      <c r="D555">
        <v>112.65533387813956</v>
      </c>
      <c r="E555">
        <v>69.44235178978056</v>
      </c>
      <c r="F555">
        <v>38.981657882497501</v>
      </c>
    </row>
    <row r="556" spans="2:6" x14ac:dyDescent="0.2">
      <c r="B556" t="s">
        <v>173</v>
      </c>
      <c r="C556">
        <v>19.345813961527234</v>
      </c>
      <c r="D556">
        <v>53.102674680509011</v>
      </c>
      <c r="E556">
        <v>55.686851049047362</v>
      </c>
      <c r="F556">
        <v>11.772095917170915</v>
      </c>
    </row>
    <row r="557" spans="2:6" x14ac:dyDescent="0.2">
      <c r="B557" t="s">
        <v>173</v>
      </c>
      <c r="C557">
        <v>92.178575235174463</v>
      </c>
      <c r="D557">
        <v>34.9781667167912</v>
      </c>
      <c r="E557">
        <v>49.107755976493948</v>
      </c>
      <c r="F557">
        <v>24.929064317330301</v>
      </c>
    </row>
    <row r="558" spans="2:6" x14ac:dyDescent="0.2">
      <c r="B558" t="s">
        <v>173</v>
      </c>
      <c r="C558">
        <v>57.910903880107185</v>
      </c>
      <c r="D558">
        <v>91.364938725367267</v>
      </c>
      <c r="E558">
        <v>70.532022148835694</v>
      </c>
      <c r="F558">
        <v>32.692371484823582</v>
      </c>
    </row>
    <row r="559" spans="2:6" x14ac:dyDescent="0.2">
      <c r="B559" t="s">
        <v>173</v>
      </c>
      <c r="C559">
        <v>48.812291988114936</v>
      </c>
      <c r="D559">
        <v>89.701931021314294</v>
      </c>
      <c r="E559">
        <v>52.750113899111874</v>
      </c>
      <c r="F559">
        <v>14.286193995678495</v>
      </c>
    </row>
    <row r="560" spans="2:6" x14ac:dyDescent="0.2">
      <c r="B560" t="s">
        <v>173</v>
      </c>
      <c r="C560">
        <v>90.766831903818684</v>
      </c>
      <c r="D560">
        <v>95.060601337566808</v>
      </c>
      <c r="E560">
        <v>17.995387587230415</v>
      </c>
      <c r="F560">
        <v>17.256877777329748</v>
      </c>
    </row>
    <row r="561" spans="2:6" x14ac:dyDescent="0.2">
      <c r="B561" t="s">
        <v>173</v>
      </c>
      <c r="C561">
        <v>6.0041093722914409</v>
      </c>
      <c r="D561">
        <v>42.970879031010462</v>
      </c>
      <c r="E561">
        <v>46.770914581166004</v>
      </c>
      <c r="F561">
        <v>8.5758221405963582</v>
      </c>
    </row>
    <row r="562" spans="2:6" x14ac:dyDescent="0.2">
      <c r="B562" t="s">
        <v>173</v>
      </c>
      <c r="C562">
        <v>3.925011412029066</v>
      </c>
      <c r="D562">
        <v>31.696542085450172</v>
      </c>
      <c r="E562">
        <v>23.692089159931136</v>
      </c>
      <c r="F562">
        <v>9.912488033212858</v>
      </c>
    </row>
    <row r="563" spans="2:6" x14ac:dyDescent="0.2">
      <c r="B563" t="s">
        <v>173</v>
      </c>
      <c r="C563">
        <v>27.409791684681064</v>
      </c>
      <c r="D563">
        <v>13.452685164919732</v>
      </c>
      <c r="E563">
        <v>129.01459634428824</v>
      </c>
      <c r="F563">
        <v>9.1271738210513149</v>
      </c>
    </row>
    <row r="564" spans="2:6" x14ac:dyDescent="0.2">
      <c r="B564" t="s">
        <v>173</v>
      </c>
      <c r="C564">
        <v>98.876308743899614</v>
      </c>
      <c r="D564">
        <v>10.549532818095399</v>
      </c>
      <c r="E564">
        <v>2.7187783175090376</v>
      </c>
      <c r="F564">
        <v>16.895770780429274</v>
      </c>
    </row>
    <row r="565" spans="2:6" x14ac:dyDescent="0.2">
      <c r="B565" t="s">
        <v>173</v>
      </c>
      <c r="C565">
        <v>123.52325834536006</v>
      </c>
      <c r="D565">
        <v>8.964647105763401</v>
      </c>
      <c r="E565">
        <v>89.016334076951111</v>
      </c>
      <c r="F565">
        <v>13.824376440958417</v>
      </c>
    </row>
    <row r="566" spans="2:6" x14ac:dyDescent="0.2">
      <c r="B566" t="s">
        <v>173</v>
      </c>
      <c r="C566">
        <v>212.35712216067137</v>
      </c>
      <c r="D566">
        <v>10.356684102280109</v>
      </c>
      <c r="E566">
        <v>80.47806031736252</v>
      </c>
      <c r="F566">
        <v>4.0665543056871343</v>
      </c>
    </row>
    <row r="567" spans="2:6" x14ac:dyDescent="0.2">
      <c r="B567" t="s">
        <v>173</v>
      </c>
      <c r="C567">
        <v>2.7382012755685663</v>
      </c>
      <c r="D567">
        <v>101.12029458437829</v>
      </c>
      <c r="E567">
        <v>121.64176981190856</v>
      </c>
      <c r="F567">
        <v>2.2977283121082976</v>
      </c>
    </row>
    <row r="568" spans="2:6" x14ac:dyDescent="0.2">
      <c r="B568" t="s">
        <v>173</v>
      </c>
      <c r="C568">
        <v>65.123304920395654</v>
      </c>
      <c r="D568">
        <v>59.819501220204799</v>
      </c>
      <c r="E568">
        <v>21.294499486029807</v>
      </c>
      <c r="F568">
        <v>37.40588152797892</v>
      </c>
    </row>
    <row r="569" spans="2:6" x14ac:dyDescent="0.2">
      <c r="B569" t="s">
        <v>173</v>
      </c>
      <c r="C569">
        <v>87.108435699110728</v>
      </c>
      <c r="D569">
        <v>25.770542966746877</v>
      </c>
      <c r="E569">
        <v>118.86925665270236</v>
      </c>
      <c r="F569">
        <v>10.823353952950342</v>
      </c>
    </row>
    <row r="570" spans="2:6" x14ac:dyDescent="0.2">
      <c r="B570" t="s">
        <v>173</v>
      </c>
      <c r="C570">
        <v>123.05275551022636</v>
      </c>
      <c r="D570">
        <v>8.099588213775073</v>
      </c>
      <c r="E570">
        <v>89.355923418911701</v>
      </c>
      <c r="F570">
        <v>154.58844469432293</v>
      </c>
    </row>
    <row r="571" spans="2:6" x14ac:dyDescent="0.2">
      <c r="B571" t="s">
        <v>173</v>
      </c>
      <c r="C571">
        <v>15.634677897955743</v>
      </c>
      <c r="D571">
        <v>11.640568191803583</v>
      </c>
      <c r="E571">
        <v>1.4338821682220224</v>
      </c>
      <c r="F571">
        <v>8.974700837057604</v>
      </c>
    </row>
    <row r="572" spans="2:6" x14ac:dyDescent="0.2">
      <c r="B572" t="s">
        <v>173</v>
      </c>
      <c r="C572">
        <v>71.906334313913518</v>
      </c>
      <c r="D572">
        <v>16.627688573174829</v>
      </c>
      <c r="E572">
        <v>39.075171427703118</v>
      </c>
      <c r="F572">
        <v>11.12048710595684</v>
      </c>
    </row>
    <row r="573" spans="2:6" x14ac:dyDescent="0.2">
      <c r="B573" t="s">
        <v>173</v>
      </c>
      <c r="C573">
        <v>87.820873944746893</v>
      </c>
      <c r="D573">
        <v>97.69007533007219</v>
      </c>
      <c r="E573">
        <v>107.46553109038263</v>
      </c>
      <c r="F573">
        <v>23.820766714622806</v>
      </c>
    </row>
    <row r="574" spans="2:6" x14ac:dyDescent="0.2">
      <c r="B574" t="s">
        <v>173</v>
      </c>
      <c r="C574">
        <v>154.49152569474785</v>
      </c>
      <c r="D574">
        <v>54.980980406252463</v>
      </c>
      <c r="E574">
        <v>64.272269062187007</v>
      </c>
      <c r="F574">
        <v>3.0328807677880256</v>
      </c>
    </row>
    <row r="575" spans="2:6" x14ac:dyDescent="0.2">
      <c r="B575" t="s">
        <v>173</v>
      </c>
      <c r="C575">
        <v>22.680414864285279</v>
      </c>
      <c r="D575">
        <v>31.732953415037187</v>
      </c>
      <c r="E575">
        <v>122.29571313573352</v>
      </c>
      <c r="F575">
        <v>12.141898376995414</v>
      </c>
    </row>
    <row r="576" spans="2:6" x14ac:dyDescent="0.2">
      <c r="B576" t="s">
        <v>173</v>
      </c>
      <c r="C576">
        <v>262.98954387172603</v>
      </c>
      <c r="D576">
        <v>35.714300342239355</v>
      </c>
      <c r="E576">
        <v>102.44859586652616</v>
      </c>
      <c r="F576">
        <v>28.196731718935567</v>
      </c>
    </row>
    <row r="577" spans="2:6" x14ac:dyDescent="0.2">
      <c r="B577" t="s">
        <v>173</v>
      </c>
      <c r="C577">
        <v>15.186279876193515</v>
      </c>
      <c r="D577">
        <v>8.9253211746845356</v>
      </c>
      <c r="E577">
        <v>61.757813107614176</v>
      </c>
      <c r="F577">
        <v>54.382369233318457</v>
      </c>
    </row>
    <row r="578" spans="2:6" x14ac:dyDescent="0.2">
      <c r="B578" t="s">
        <v>173</v>
      </c>
      <c r="C578">
        <v>106.9237323331285</v>
      </c>
      <c r="D578">
        <v>32.403748275253498</v>
      </c>
      <c r="E578">
        <v>140.5853155890656</v>
      </c>
      <c r="F578">
        <v>67.592357292441932</v>
      </c>
    </row>
    <row r="579" spans="2:6" x14ac:dyDescent="0.2">
      <c r="B579" t="s">
        <v>173</v>
      </c>
      <c r="C579">
        <v>15.486718117846291</v>
      </c>
      <c r="D579">
        <v>47.654167162207493</v>
      </c>
      <c r="E579">
        <v>103.81723864149484</v>
      </c>
      <c r="F579">
        <v>23.799514416791368</v>
      </c>
    </row>
    <row r="580" spans="2:6" x14ac:dyDescent="0.2">
      <c r="B580" t="s">
        <v>173</v>
      </c>
      <c r="C580">
        <v>90.158749534151056</v>
      </c>
      <c r="D580">
        <v>27.989918088407251</v>
      </c>
      <c r="E580">
        <v>66.476475275609417</v>
      </c>
      <c r="F580">
        <v>16.763314974839972</v>
      </c>
    </row>
    <row r="581" spans="2:6" x14ac:dyDescent="0.2">
      <c r="B581" t="s">
        <v>173</v>
      </c>
      <c r="C581">
        <v>51.771535241377158</v>
      </c>
      <c r="D581">
        <v>52.290081088845795</v>
      </c>
      <c r="E581">
        <v>71.257446897248059</v>
      </c>
      <c r="F581">
        <v>4.7376354170249186</v>
      </c>
    </row>
    <row r="582" spans="2:6" x14ac:dyDescent="0.2">
      <c r="B582" t="s">
        <v>173</v>
      </c>
      <c r="C582">
        <v>180.81807793976586</v>
      </c>
      <c r="D582">
        <v>84.58616874855737</v>
      </c>
      <c r="E582">
        <v>26.943270588730002</v>
      </c>
      <c r="F582">
        <v>20.088251481599286</v>
      </c>
    </row>
    <row r="583" spans="2:6" x14ac:dyDescent="0.2">
      <c r="B583" t="s">
        <v>173</v>
      </c>
      <c r="C583">
        <v>85.679498761567245</v>
      </c>
      <c r="D583">
        <v>10.454307323266283</v>
      </c>
      <c r="E583">
        <v>69.824004696526501</v>
      </c>
      <c r="F583">
        <v>35.741091593230358</v>
      </c>
    </row>
    <row r="584" spans="2:6" x14ac:dyDescent="0.2">
      <c r="B584" t="s">
        <v>173</v>
      </c>
      <c r="C584">
        <v>146.29265712133079</v>
      </c>
      <c r="D584">
        <v>64.596583327183936</v>
      </c>
      <c r="E584">
        <v>41.726528169207178</v>
      </c>
      <c r="F584">
        <v>34.485889087309808</v>
      </c>
    </row>
    <row r="585" spans="2:6" x14ac:dyDescent="0.2">
      <c r="B585" t="s">
        <v>173</v>
      </c>
      <c r="C585">
        <v>128.93309415326419</v>
      </c>
      <c r="D585">
        <v>39.56992830513429</v>
      </c>
      <c r="E585">
        <v>1.3728056955475281</v>
      </c>
      <c r="F585">
        <v>2.6207393895266087</v>
      </c>
    </row>
    <row r="586" spans="2:6" x14ac:dyDescent="0.2">
      <c r="B586" t="s">
        <v>173</v>
      </c>
      <c r="C586">
        <v>28.901594929074321</v>
      </c>
      <c r="D586">
        <v>35.477227500641021</v>
      </c>
      <c r="E586">
        <v>47.239186933149924</v>
      </c>
      <c r="F586">
        <v>7.3406183400059817</v>
      </c>
    </row>
    <row r="587" spans="2:6" x14ac:dyDescent="0.2">
      <c r="B587" t="s">
        <v>173</v>
      </c>
      <c r="C587">
        <v>79.017824911260547</v>
      </c>
      <c r="D587">
        <v>15.907851968150641</v>
      </c>
      <c r="E587">
        <v>20.206473241706508</v>
      </c>
      <c r="F587">
        <v>59.638619081770202</v>
      </c>
    </row>
    <row r="588" spans="2:6" x14ac:dyDescent="0.2">
      <c r="B588" t="s">
        <v>173</v>
      </c>
      <c r="C588">
        <v>153.26846732850194</v>
      </c>
      <c r="D588">
        <v>32.983186204591767</v>
      </c>
      <c r="E588">
        <v>60.450892267824919</v>
      </c>
      <c r="F588">
        <v>13.087865962013765</v>
      </c>
    </row>
    <row r="589" spans="2:6" x14ac:dyDescent="0.2">
      <c r="B589" t="s">
        <v>173</v>
      </c>
      <c r="C589">
        <v>51.050307910041866</v>
      </c>
      <c r="D589">
        <v>11.328597014523003</v>
      </c>
      <c r="E589">
        <v>45.420707364356268</v>
      </c>
      <c r="F589">
        <v>5.9322781333297421</v>
      </c>
    </row>
    <row r="590" spans="2:6" x14ac:dyDescent="0.2">
      <c r="B590" t="s">
        <v>173</v>
      </c>
      <c r="C590">
        <v>100.03004279088979</v>
      </c>
      <c r="D590">
        <v>78.447382884956042</v>
      </c>
      <c r="E590">
        <v>47.300688718359424</v>
      </c>
      <c r="F590">
        <v>14.834129005440396</v>
      </c>
    </row>
    <row r="591" spans="2:6" x14ac:dyDescent="0.2">
      <c r="B591" t="s">
        <v>173</v>
      </c>
      <c r="C591">
        <v>43.90344240460503</v>
      </c>
      <c r="D591">
        <v>35.74915646160202</v>
      </c>
      <c r="E591">
        <v>116.61293146638231</v>
      </c>
      <c r="F591">
        <v>24.922171866572427</v>
      </c>
    </row>
    <row r="592" spans="2:6" x14ac:dyDescent="0.2">
      <c r="B592" t="s">
        <v>173</v>
      </c>
      <c r="C592">
        <v>109.44362979317293</v>
      </c>
      <c r="D592">
        <v>102.29642961589489</v>
      </c>
      <c r="E592">
        <v>31.503896280672613</v>
      </c>
      <c r="F592">
        <v>17.732205253347317</v>
      </c>
    </row>
    <row r="593" spans="2:6" x14ac:dyDescent="0.2">
      <c r="B593" t="s">
        <v>173</v>
      </c>
      <c r="C593">
        <v>212.58073350933063</v>
      </c>
      <c r="D593">
        <v>50.292262307962524</v>
      </c>
      <c r="E593">
        <v>62.514522766210746</v>
      </c>
      <c r="F593">
        <v>36.61528823528306</v>
      </c>
    </row>
    <row r="594" spans="2:6" x14ac:dyDescent="0.2">
      <c r="B594" t="s">
        <v>173</v>
      </c>
      <c r="C594">
        <v>5.7451936852069876</v>
      </c>
      <c r="D594">
        <v>45.876061089475037</v>
      </c>
      <c r="E594">
        <v>56.719754932736485</v>
      </c>
      <c r="F594">
        <v>32.721174827585209</v>
      </c>
    </row>
    <row r="595" spans="2:6" x14ac:dyDescent="0.2">
      <c r="B595" t="s">
        <v>173</v>
      </c>
      <c r="C595">
        <v>99.969222825068314</v>
      </c>
      <c r="D595">
        <v>132.65284810993793</v>
      </c>
      <c r="E595">
        <v>92.520849695518436</v>
      </c>
      <c r="F595">
        <v>20.488386844873673</v>
      </c>
    </row>
    <row r="596" spans="2:6" x14ac:dyDescent="0.2">
      <c r="B596" t="s">
        <v>173</v>
      </c>
      <c r="C596">
        <v>60.480461607564472</v>
      </c>
      <c r="D596">
        <v>49.770729341744371</v>
      </c>
      <c r="E596">
        <v>75.369731920721065</v>
      </c>
      <c r="F596">
        <v>9.7471456897187352</v>
      </c>
    </row>
    <row r="597" spans="2:6" x14ac:dyDescent="0.2">
      <c r="B597" t="s">
        <v>173</v>
      </c>
      <c r="C597">
        <v>78.387702051588079</v>
      </c>
      <c r="D597">
        <v>24.704411538642166</v>
      </c>
      <c r="E597">
        <v>21.255497152769561</v>
      </c>
      <c r="F597">
        <v>19.208695663239553</v>
      </c>
    </row>
    <row r="598" spans="2:6" x14ac:dyDescent="0.2">
      <c r="B598" t="s">
        <v>173</v>
      </c>
      <c r="C598">
        <v>23.22280647910404</v>
      </c>
      <c r="D598">
        <v>38.123352128397592</v>
      </c>
      <c r="E598">
        <v>65.487293979331781</v>
      </c>
      <c r="F598">
        <v>8.9391060682016885</v>
      </c>
    </row>
    <row r="599" spans="2:6" x14ac:dyDescent="0.2">
      <c r="B599" t="s">
        <v>173</v>
      </c>
      <c r="C599">
        <v>59.882267296745887</v>
      </c>
      <c r="D599">
        <v>107.25337762173108</v>
      </c>
      <c r="E599">
        <v>31.267853406807617</v>
      </c>
      <c r="F599">
        <v>62.761672302255342</v>
      </c>
    </row>
    <row r="600" spans="2:6" x14ac:dyDescent="0.2">
      <c r="B600" t="s">
        <v>173</v>
      </c>
      <c r="C600">
        <v>76.491346044889212</v>
      </c>
      <c r="D600">
        <v>48.83079875471082</v>
      </c>
      <c r="E600">
        <v>19.088923208362228</v>
      </c>
      <c r="F600">
        <v>17.950948311053498</v>
      </c>
    </row>
    <row r="601" spans="2:6" x14ac:dyDescent="0.2">
      <c r="B601" t="s">
        <v>173</v>
      </c>
      <c r="C601">
        <v>26.244810762503587</v>
      </c>
      <c r="D601">
        <v>41.370070687764034</v>
      </c>
      <c r="E601">
        <v>14.305539981230739</v>
      </c>
      <c r="F601">
        <v>24.20508693064923</v>
      </c>
    </row>
    <row r="602" spans="2:6" x14ac:dyDescent="0.2">
      <c r="B602" t="s">
        <v>173</v>
      </c>
      <c r="C602">
        <v>34.382938451152953</v>
      </c>
      <c r="D602">
        <v>57.541814466087317</v>
      </c>
      <c r="E602">
        <v>19.523576055603673</v>
      </c>
      <c r="F602">
        <v>4.4923314505718182</v>
      </c>
    </row>
    <row r="603" spans="2:6" x14ac:dyDescent="0.2">
      <c r="B603" t="s">
        <v>173</v>
      </c>
      <c r="C603">
        <v>6.3315308244339281</v>
      </c>
      <c r="D603">
        <v>29.311833597018847</v>
      </c>
      <c r="E603">
        <v>15.531478744653443</v>
      </c>
      <c r="F603">
        <v>4.3680072293642382</v>
      </c>
    </row>
    <row r="604" spans="2:6" x14ac:dyDescent="0.2">
      <c r="B604" t="s">
        <v>173</v>
      </c>
      <c r="C604">
        <v>89.570298459727013</v>
      </c>
      <c r="D604">
        <v>166.03211191909648</v>
      </c>
      <c r="E604">
        <v>27.048084067250411</v>
      </c>
      <c r="F604">
        <v>24.129948606580825</v>
      </c>
    </row>
    <row r="605" spans="2:6" x14ac:dyDescent="0.2">
      <c r="B605" t="s">
        <v>173</v>
      </c>
      <c r="C605">
        <v>44.038430239529816</v>
      </c>
      <c r="D605">
        <v>20.636981041857251</v>
      </c>
      <c r="E605">
        <v>50.457681180241202</v>
      </c>
      <c r="F605">
        <v>25.823924474110228</v>
      </c>
    </row>
    <row r="606" spans="2:6" x14ac:dyDescent="0.2">
      <c r="B606" t="s">
        <v>173</v>
      </c>
      <c r="C606">
        <v>88.515956707997233</v>
      </c>
      <c r="D606">
        <v>13.237126472769283</v>
      </c>
      <c r="E606">
        <v>12.042714162824099</v>
      </c>
      <c r="F606">
        <v>24.847238083603244</v>
      </c>
    </row>
    <row r="607" spans="2:6" x14ac:dyDescent="0.2">
      <c r="B607" t="s">
        <v>173</v>
      </c>
      <c r="C607">
        <v>104.74083011906757</v>
      </c>
      <c r="D607">
        <v>20.813127835217664</v>
      </c>
      <c r="E607">
        <v>6.6213126829302036</v>
      </c>
      <c r="F607">
        <v>65.231389822889014</v>
      </c>
    </row>
    <row r="608" spans="2:6" x14ac:dyDescent="0.2">
      <c r="B608" t="s">
        <v>173</v>
      </c>
      <c r="C608">
        <v>10.619168335620548</v>
      </c>
      <c r="D608">
        <v>47.676657739367847</v>
      </c>
      <c r="E608">
        <v>141.73500910630099</v>
      </c>
      <c r="F608">
        <v>2.6898816829980348</v>
      </c>
    </row>
    <row r="609" spans="2:6" x14ac:dyDescent="0.2">
      <c r="B609" t="s">
        <v>173</v>
      </c>
      <c r="C609">
        <v>96.384471367395676</v>
      </c>
      <c r="D609">
        <v>22.309562710404659</v>
      </c>
      <c r="E609">
        <v>10.919786487161732</v>
      </c>
      <c r="F609">
        <v>2.4743329509980097</v>
      </c>
    </row>
    <row r="610" spans="2:6" x14ac:dyDescent="0.2">
      <c r="B610" t="s">
        <v>173</v>
      </c>
      <c r="C610">
        <v>57.788368549530183</v>
      </c>
      <c r="D610">
        <v>0.25715600449002113</v>
      </c>
      <c r="E610">
        <v>39.915891221855667</v>
      </c>
      <c r="F610">
        <v>8.9177029089785904</v>
      </c>
    </row>
    <row r="611" spans="2:6" x14ac:dyDescent="0.2">
      <c r="B611" t="s">
        <v>173</v>
      </c>
      <c r="C611">
        <v>105.0345064172042</v>
      </c>
      <c r="D611">
        <v>21.251205931159667</v>
      </c>
      <c r="E611">
        <v>16.612180513920762</v>
      </c>
      <c r="F611">
        <v>18.955870981283645</v>
      </c>
    </row>
    <row r="612" spans="2:6" x14ac:dyDescent="0.2">
      <c r="B612" t="s">
        <v>173</v>
      </c>
      <c r="C612">
        <v>27.658573807294889</v>
      </c>
      <c r="D612">
        <v>43.245697969808155</v>
      </c>
      <c r="E612">
        <v>69.312457836518533</v>
      </c>
      <c r="F612">
        <v>12.289607007359777</v>
      </c>
    </row>
    <row r="613" spans="2:6" x14ac:dyDescent="0.2">
      <c r="B613" t="s">
        <v>173</v>
      </c>
      <c r="C613">
        <v>54.232453566176787</v>
      </c>
      <c r="D613">
        <v>49.319246816183309</v>
      </c>
      <c r="E613">
        <v>17.950535436552112</v>
      </c>
      <c r="F613">
        <v>1.9549868469335365</v>
      </c>
    </row>
    <row r="614" spans="2:6" x14ac:dyDescent="0.2">
      <c r="B614" t="s">
        <v>173</v>
      </c>
      <c r="C614">
        <v>133.98555315437991</v>
      </c>
      <c r="D614">
        <v>34.1293511579997</v>
      </c>
      <c r="E614">
        <v>78.995808182654883</v>
      </c>
      <c r="F614">
        <v>2.3821458578575871</v>
      </c>
    </row>
    <row r="615" spans="2:6" x14ac:dyDescent="0.2">
      <c r="B615" t="s">
        <v>173</v>
      </c>
      <c r="C615">
        <v>55.010959509814953</v>
      </c>
      <c r="D615">
        <v>64.080496323770646</v>
      </c>
      <c r="E615">
        <v>58.180798138628319</v>
      </c>
      <c r="F615">
        <v>14.37843838005162</v>
      </c>
    </row>
    <row r="616" spans="2:6" x14ac:dyDescent="0.2">
      <c r="B616" t="s">
        <v>173</v>
      </c>
      <c r="C616">
        <v>57.256462569459359</v>
      </c>
      <c r="D616">
        <v>75.240918486863293</v>
      </c>
      <c r="E616">
        <v>42.860082958866272</v>
      </c>
      <c r="F616">
        <v>5.0540762080346582</v>
      </c>
    </row>
    <row r="617" spans="2:6" x14ac:dyDescent="0.2">
      <c r="B617" t="s">
        <v>173</v>
      </c>
      <c r="C617">
        <v>54.746209256382762</v>
      </c>
      <c r="D617">
        <v>93.151795145835891</v>
      </c>
      <c r="E617">
        <v>64.61856887591631</v>
      </c>
      <c r="F617">
        <v>2.9132700748749176</v>
      </c>
    </row>
    <row r="618" spans="2:6" x14ac:dyDescent="0.2">
      <c r="B618" t="s">
        <v>173</v>
      </c>
      <c r="C618">
        <v>17.719275447374478</v>
      </c>
      <c r="D618">
        <v>30.993732134712353</v>
      </c>
      <c r="E618">
        <v>113.35229552453394</v>
      </c>
      <c r="F618">
        <v>79.195588804744261</v>
      </c>
    </row>
    <row r="619" spans="2:6" x14ac:dyDescent="0.2">
      <c r="B619" t="s">
        <v>173</v>
      </c>
      <c r="C619">
        <v>109.07543885233945</v>
      </c>
      <c r="D619">
        <v>26.574127823485817</v>
      </c>
      <c r="E619">
        <v>48.901880509777193</v>
      </c>
      <c r="F619">
        <v>58.047761448561431</v>
      </c>
    </row>
    <row r="620" spans="2:6" x14ac:dyDescent="0.2">
      <c r="B620" t="s">
        <v>173</v>
      </c>
      <c r="C620">
        <v>29.726970826258633</v>
      </c>
      <c r="D620">
        <v>42.777970142887504</v>
      </c>
      <c r="E620">
        <v>94.361903269854153</v>
      </c>
      <c r="F620">
        <v>12.802971119971403</v>
      </c>
    </row>
    <row r="621" spans="2:6" x14ac:dyDescent="0.2">
      <c r="B621" t="s">
        <v>173</v>
      </c>
      <c r="C621">
        <v>50.459828261388537</v>
      </c>
      <c r="D621">
        <v>38.28204571848039</v>
      </c>
      <c r="E621">
        <v>27.658758013715662</v>
      </c>
      <c r="F621">
        <v>34.380209201861462</v>
      </c>
    </row>
    <row r="622" spans="2:6" x14ac:dyDescent="0.2">
      <c r="B622" t="s">
        <v>173</v>
      </c>
      <c r="C622">
        <v>8.1384202138071817</v>
      </c>
      <c r="D622">
        <v>92.09265126052226</v>
      </c>
      <c r="E622">
        <v>59.561946592884325</v>
      </c>
      <c r="F622">
        <v>6.7579422929772193</v>
      </c>
    </row>
    <row r="623" spans="2:6" x14ac:dyDescent="0.2">
      <c r="B623" t="s">
        <v>173</v>
      </c>
      <c r="C623">
        <v>50.242198017049581</v>
      </c>
      <c r="D623">
        <v>124.51504589877749</v>
      </c>
      <c r="E623">
        <v>45.221210884777342</v>
      </c>
      <c r="F623">
        <v>12.912131889204261</v>
      </c>
    </row>
    <row r="624" spans="2:6" x14ac:dyDescent="0.2">
      <c r="B624" t="s">
        <v>173</v>
      </c>
      <c r="C624">
        <v>99.770960958186919</v>
      </c>
      <c r="D624">
        <v>25.607239309146358</v>
      </c>
      <c r="E624">
        <v>22.769160628060991</v>
      </c>
      <c r="F624">
        <v>6.2173730109602445</v>
      </c>
    </row>
    <row r="625" spans="2:6" x14ac:dyDescent="0.2">
      <c r="B625" t="s">
        <v>173</v>
      </c>
      <c r="C625">
        <v>84.927062337145927</v>
      </c>
      <c r="D625">
        <v>25.477573999493753</v>
      </c>
      <c r="E625">
        <v>259.1528288925312</v>
      </c>
      <c r="F625">
        <v>25.600789231307459</v>
      </c>
    </row>
    <row r="626" spans="2:6" x14ac:dyDescent="0.2">
      <c r="B626" t="s">
        <v>173</v>
      </c>
      <c r="C626">
        <v>97.951440933260159</v>
      </c>
      <c r="D626">
        <v>11.505245224810455</v>
      </c>
      <c r="E626">
        <v>51.435261433301584</v>
      </c>
      <c r="F626">
        <v>2.4651092262776508</v>
      </c>
    </row>
    <row r="627" spans="2:6" x14ac:dyDescent="0.2">
      <c r="B627" t="s">
        <v>173</v>
      </c>
      <c r="C627">
        <v>31.669792013710776</v>
      </c>
      <c r="D627">
        <v>46.350071985599058</v>
      </c>
      <c r="E627">
        <v>14.179922370031925</v>
      </c>
      <c r="F627">
        <v>2.7508674762108143</v>
      </c>
    </row>
    <row r="628" spans="2:6" x14ac:dyDescent="0.2">
      <c r="B628" t="s">
        <v>173</v>
      </c>
      <c r="C628">
        <v>43.384064366966975</v>
      </c>
      <c r="D628">
        <v>29.687790714946757</v>
      </c>
      <c r="E628">
        <v>170.54561360194606</v>
      </c>
      <c r="F628">
        <v>9.1121668631351582</v>
      </c>
    </row>
    <row r="629" spans="2:6" x14ac:dyDescent="0.2">
      <c r="B629" t="s">
        <v>173</v>
      </c>
      <c r="C629">
        <v>56.565015290254557</v>
      </c>
      <c r="D629">
        <v>65.454052130503257</v>
      </c>
      <c r="E629">
        <v>75.73077956639149</v>
      </c>
      <c r="F629">
        <v>20.785219827291357</v>
      </c>
    </row>
    <row r="630" spans="2:6" x14ac:dyDescent="0.2">
      <c r="B630" t="s">
        <v>173</v>
      </c>
      <c r="C630">
        <v>93.605590282315063</v>
      </c>
      <c r="D630">
        <v>58.026215653993376</v>
      </c>
      <c r="E630">
        <v>45.699658190066664</v>
      </c>
      <c r="F630">
        <v>16.517936244703172</v>
      </c>
    </row>
    <row r="631" spans="2:6" x14ac:dyDescent="0.2">
      <c r="B631" t="s">
        <v>173</v>
      </c>
      <c r="C631">
        <v>161.055941187109</v>
      </c>
      <c r="D631">
        <v>9.8281763318237605</v>
      </c>
      <c r="E631">
        <v>152.62135587439798</v>
      </c>
      <c r="F631">
        <v>57.182769404625503</v>
      </c>
    </row>
    <row r="632" spans="2:6" x14ac:dyDescent="0.2">
      <c r="B632" t="s">
        <v>173</v>
      </c>
      <c r="C632">
        <v>23.034201181447141</v>
      </c>
      <c r="D632">
        <v>47.337521247816412</v>
      </c>
      <c r="E632">
        <v>63.749149600705628</v>
      </c>
      <c r="F632">
        <v>10.572080008976336</v>
      </c>
    </row>
    <row r="633" spans="2:6" x14ac:dyDescent="0.2">
      <c r="B633" t="s">
        <v>173</v>
      </c>
      <c r="C633">
        <v>232.62902630969486</v>
      </c>
      <c r="D633">
        <v>32.266871450910557</v>
      </c>
      <c r="E633">
        <v>5.0789560576699451</v>
      </c>
      <c r="F633">
        <v>11.059306681059141</v>
      </c>
    </row>
    <row r="634" spans="2:6" x14ac:dyDescent="0.2">
      <c r="B634" t="s">
        <v>173</v>
      </c>
      <c r="C634">
        <v>5.0458008983675144</v>
      </c>
      <c r="D634">
        <v>37.419895464950706</v>
      </c>
      <c r="E634">
        <v>178.5982103040634</v>
      </c>
      <c r="F634">
        <v>47.344763031681055</v>
      </c>
    </row>
    <row r="635" spans="2:6" x14ac:dyDescent="0.2">
      <c r="B635" t="s">
        <v>173</v>
      </c>
      <c r="C635">
        <v>109.41820356557847</v>
      </c>
      <c r="D635">
        <v>35.771557935859178</v>
      </c>
      <c r="E635">
        <v>26.272660170892145</v>
      </c>
      <c r="F635">
        <v>0.48510583557665843</v>
      </c>
    </row>
    <row r="636" spans="2:6" x14ac:dyDescent="0.2">
      <c r="B636" t="s">
        <v>173</v>
      </c>
      <c r="C636">
        <v>165.56751466156703</v>
      </c>
      <c r="D636">
        <v>30.478230761319953</v>
      </c>
      <c r="E636">
        <v>77.20878074416764</v>
      </c>
      <c r="F636">
        <v>35.088901671066864</v>
      </c>
    </row>
    <row r="637" spans="2:6" x14ac:dyDescent="0.2">
      <c r="B637" t="s">
        <v>173</v>
      </c>
      <c r="C637">
        <v>210.13856728545008</v>
      </c>
      <c r="D637">
        <v>154.69268552284936</v>
      </c>
      <c r="E637">
        <v>153.83895940288537</v>
      </c>
      <c r="F637">
        <v>10.179035459645879</v>
      </c>
    </row>
    <row r="638" spans="2:6" x14ac:dyDescent="0.2">
      <c r="B638" t="s">
        <v>173</v>
      </c>
      <c r="C638">
        <v>150.82010176474358</v>
      </c>
      <c r="D638">
        <v>92.606171862350365</v>
      </c>
      <c r="E638">
        <v>32.714054988963831</v>
      </c>
      <c r="F638">
        <v>4.551694502214243</v>
      </c>
    </row>
    <row r="639" spans="2:6" x14ac:dyDescent="0.2">
      <c r="B639" t="s">
        <v>173</v>
      </c>
      <c r="C639">
        <v>29.824181179903807</v>
      </c>
      <c r="D639">
        <v>16.461287001564074</v>
      </c>
      <c r="E639">
        <v>16.130298505822658</v>
      </c>
      <c r="F639">
        <v>5.5019004365569657</v>
      </c>
    </row>
    <row r="640" spans="2:6" x14ac:dyDescent="0.2">
      <c r="B640" t="s">
        <v>173</v>
      </c>
      <c r="C640">
        <v>59.19691549486717</v>
      </c>
      <c r="D640">
        <v>24.417925216331117</v>
      </c>
      <c r="E640">
        <v>497.78950683661321</v>
      </c>
      <c r="F640">
        <v>9.6242269183161469</v>
      </c>
    </row>
    <row r="641" spans="2:6" x14ac:dyDescent="0.2">
      <c r="B641" t="s">
        <v>173</v>
      </c>
      <c r="C641">
        <v>21.010470218904622</v>
      </c>
      <c r="D641">
        <v>5.941465802026066</v>
      </c>
      <c r="E641">
        <v>80.183987098965844</v>
      </c>
      <c r="F641">
        <v>9.8918181519958779</v>
      </c>
    </row>
    <row r="642" spans="2:6" x14ac:dyDescent="0.2">
      <c r="B642" t="s">
        <v>173</v>
      </c>
      <c r="C642">
        <v>127.12152878511429</v>
      </c>
      <c r="D642">
        <v>18.976857411822351</v>
      </c>
      <c r="E642">
        <v>26.625019019110038</v>
      </c>
      <c r="F642">
        <v>13.17653858101265</v>
      </c>
    </row>
    <row r="643" spans="2:6" x14ac:dyDescent="0.2">
      <c r="B643" t="s">
        <v>173</v>
      </c>
      <c r="C643">
        <v>53.06994995268473</v>
      </c>
      <c r="D643">
        <v>25.259757429742145</v>
      </c>
      <c r="E643">
        <v>412.75759048198427</v>
      </c>
      <c r="F643">
        <v>34.653616526299757</v>
      </c>
    </row>
    <row r="644" spans="2:6" x14ac:dyDescent="0.2">
      <c r="B644" t="s">
        <v>173</v>
      </c>
      <c r="C644">
        <v>78.71505336674764</v>
      </c>
      <c r="D644">
        <v>12.810233839728786</v>
      </c>
      <c r="E644">
        <v>48.342685165643992</v>
      </c>
      <c r="F644">
        <v>26.334581736098272</v>
      </c>
    </row>
    <row r="645" spans="2:6" x14ac:dyDescent="0.2">
      <c r="B645" t="s">
        <v>173</v>
      </c>
      <c r="C645">
        <v>200.13976786344494</v>
      </c>
      <c r="D645">
        <v>68.81715883288426</v>
      </c>
      <c r="E645">
        <v>56.876605650524048</v>
      </c>
      <c r="F645">
        <v>3.2562439259092599</v>
      </c>
    </row>
    <row r="646" spans="2:6" x14ac:dyDescent="0.2">
      <c r="B646" t="s">
        <v>173</v>
      </c>
      <c r="C646">
        <v>38.62346202933908</v>
      </c>
      <c r="D646">
        <v>81.098112891454633</v>
      </c>
      <c r="E646">
        <v>112.93179399745223</v>
      </c>
      <c r="F646">
        <v>54.657579547602637</v>
      </c>
    </row>
    <row r="647" spans="2:6" x14ac:dyDescent="0.2">
      <c r="B647" t="s">
        <v>173</v>
      </c>
      <c r="C647">
        <v>39.459945496182748</v>
      </c>
      <c r="D647">
        <v>43.759723568244574</v>
      </c>
      <c r="E647">
        <v>146.44006518892101</v>
      </c>
      <c r="F647">
        <v>9.0234199298201183</v>
      </c>
    </row>
    <row r="648" spans="2:6" x14ac:dyDescent="0.2">
      <c r="B648" t="s">
        <v>173</v>
      </c>
      <c r="C648">
        <v>255.18274207975179</v>
      </c>
      <c r="D648">
        <v>19.8099661954667</v>
      </c>
      <c r="E648">
        <v>16.776473616239667</v>
      </c>
      <c r="F648">
        <v>13.470075772342355</v>
      </c>
    </row>
    <row r="649" spans="2:6" x14ac:dyDescent="0.2">
      <c r="B649" t="s">
        <v>173</v>
      </c>
      <c r="C649">
        <v>17.92562841577988</v>
      </c>
      <c r="D649">
        <v>67.741523353263361</v>
      </c>
      <c r="E649">
        <v>34.287284847439068</v>
      </c>
      <c r="F649">
        <v>15.761801510919369</v>
      </c>
    </row>
    <row r="650" spans="2:6" x14ac:dyDescent="0.2">
      <c r="B650" t="s">
        <v>173</v>
      </c>
      <c r="C650">
        <v>37.040387842699026</v>
      </c>
      <c r="D650">
        <v>32.652441534773281</v>
      </c>
      <c r="E650">
        <v>18.700618877654374</v>
      </c>
      <c r="F650">
        <v>11.382256655542321</v>
      </c>
    </row>
    <row r="651" spans="2:6" x14ac:dyDescent="0.2">
      <c r="B651" t="s">
        <v>173</v>
      </c>
      <c r="C651">
        <v>26.377229105729572</v>
      </c>
      <c r="D651">
        <v>78.79836778416113</v>
      </c>
      <c r="E651">
        <v>161.82204743152712</v>
      </c>
      <c r="F651">
        <v>69.136498901010611</v>
      </c>
    </row>
    <row r="652" spans="2:6" x14ac:dyDescent="0.2">
      <c r="B652" t="s">
        <v>173</v>
      </c>
      <c r="C652">
        <v>33.521150932792857</v>
      </c>
      <c r="D652">
        <v>22.800750672027903</v>
      </c>
      <c r="E652">
        <v>421.4852612533017</v>
      </c>
      <c r="F652">
        <v>13.674177349755695</v>
      </c>
    </row>
    <row r="653" spans="2:6" x14ac:dyDescent="0.2">
      <c r="B653" t="s">
        <v>173</v>
      </c>
      <c r="C653">
        <v>145.30459900510681</v>
      </c>
      <c r="D653">
        <v>12.360864527941397</v>
      </c>
      <c r="E653">
        <v>29.621124647768312</v>
      </c>
      <c r="F653">
        <v>32.134736656153791</v>
      </c>
    </row>
    <row r="654" spans="2:6" x14ac:dyDescent="0.2">
      <c r="B654" t="s">
        <v>173</v>
      </c>
      <c r="C654">
        <v>22.031329630434588</v>
      </c>
      <c r="D654">
        <v>23.947014055528108</v>
      </c>
      <c r="E654">
        <v>55.105553024265994</v>
      </c>
      <c r="F654">
        <v>3.9084287631867625</v>
      </c>
    </row>
    <row r="655" spans="2:6" x14ac:dyDescent="0.2">
      <c r="B655" t="s">
        <v>173</v>
      </c>
      <c r="C655">
        <v>20.879539293363916</v>
      </c>
      <c r="D655">
        <v>61.047247607356667</v>
      </c>
      <c r="E655">
        <v>44.37942573206427</v>
      </c>
      <c r="F655">
        <v>49.355120366503286</v>
      </c>
    </row>
    <row r="656" spans="2:6" x14ac:dyDescent="0.2">
      <c r="B656" t="s">
        <v>173</v>
      </c>
      <c r="C656">
        <v>55.978736627758941</v>
      </c>
      <c r="D656">
        <v>10.975579978060118</v>
      </c>
      <c r="E656">
        <v>19.664676816371458</v>
      </c>
      <c r="F656">
        <v>11.924988101425557</v>
      </c>
    </row>
    <row r="657" spans="2:6" x14ac:dyDescent="0.2">
      <c r="B657" t="s">
        <v>173</v>
      </c>
      <c r="C657">
        <v>53.217086480256071</v>
      </c>
      <c r="D657">
        <v>65.609731463808316</v>
      </c>
      <c r="E657">
        <v>31.13648975885522</v>
      </c>
      <c r="F657">
        <v>8.2528005088227978</v>
      </c>
    </row>
    <row r="658" spans="2:6" x14ac:dyDescent="0.2">
      <c r="B658" t="s">
        <v>173</v>
      </c>
      <c r="C658">
        <v>72.750178068510223</v>
      </c>
      <c r="D658">
        <v>35.766345730919213</v>
      </c>
      <c r="E658">
        <v>79.758086798395468</v>
      </c>
      <c r="F658">
        <v>34.234162707532249</v>
      </c>
    </row>
    <row r="659" spans="2:6" x14ac:dyDescent="0.2">
      <c r="B659" t="s">
        <v>173</v>
      </c>
      <c r="C659">
        <v>20.258362177753909</v>
      </c>
      <c r="D659">
        <v>64.652049053146328</v>
      </c>
      <c r="E659">
        <v>64.815146670554654</v>
      </c>
      <c r="F659">
        <v>34.936961838941357</v>
      </c>
    </row>
    <row r="660" spans="2:6" x14ac:dyDescent="0.2">
      <c r="B660" t="s">
        <v>173</v>
      </c>
      <c r="C660">
        <v>54.171239495259449</v>
      </c>
      <c r="D660">
        <v>7.6459094843263635</v>
      </c>
      <c r="E660">
        <v>400.2340072166341</v>
      </c>
      <c r="F660">
        <v>2.5906720699425989</v>
      </c>
    </row>
    <row r="661" spans="2:6" x14ac:dyDescent="0.2">
      <c r="B661" t="s">
        <v>173</v>
      </c>
      <c r="C661">
        <v>55.176889254793494</v>
      </c>
      <c r="D661">
        <v>70.092225360719084</v>
      </c>
      <c r="E661">
        <v>46.138937486729894</v>
      </c>
      <c r="F661">
        <v>8.3075326904049049</v>
      </c>
    </row>
    <row r="662" spans="2:6" x14ac:dyDescent="0.2">
      <c r="B662" t="s">
        <v>173</v>
      </c>
      <c r="C662">
        <v>86.034531619578019</v>
      </c>
      <c r="D662">
        <v>52.827878449582798</v>
      </c>
      <c r="E662">
        <v>92.311476377291527</v>
      </c>
      <c r="F662">
        <v>2.9907671424889699</v>
      </c>
    </row>
    <row r="663" spans="2:6" x14ac:dyDescent="0.2">
      <c r="B663" t="s">
        <v>173</v>
      </c>
      <c r="C663">
        <v>127.75611735937355</v>
      </c>
      <c r="D663">
        <v>26.781269136647925</v>
      </c>
      <c r="E663">
        <v>126.25348566315206</v>
      </c>
      <c r="F663">
        <v>42.531595590108907</v>
      </c>
    </row>
    <row r="664" spans="2:6" x14ac:dyDescent="0.2">
      <c r="B664" t="s">
        <v>173</v>
      </c>
      <c r="C664">
        <v>297.84268928490246</v>
      </c>
      <c r="D664">
        <v>3.8564502586212921</v>
      </c>
      <c r="E664">
        <v>26.4414442299149</v>
      </c>
      <c r="F664">
        <v>53.636866744102974</v>
      </c>
    </row>
    <row r="665" spans="2:6" x14ac:dyDescent="0.2">
      <c r="B665" t="s">
        <v>173</v>
      </c>
      <c r="C665">
        <v>193.13842686358197</v>
      </c>
      <c r="D665">
        <v>29.987173159754136</v>
      </c>
      <c r="E665">
        <v>29.875003676224392</v>
      </c>
      <c r="F665">
        <v>3.7300463499544634</v>
      </c>
    </row>
    <row r="666" spans="2:6" x14ac:dyDescent="0.2">
      <c r="B666" t="s">
        <v>173</v>
      </c>
      <c r="C666">
        <v>213.70975689394126</v>
      </c>
      <c r="D666">
        <v>88.401533891563261</v>
      </c>
      <c r="E666">
        <v>36.831027835977999</v>
      </c>
      <c r="F666">
        <v>7.1196417447389049</v>
      </c>
    </row>
    <row r="667" spans="2:6" x14ac:dyDescent="0.2">
      <c r="B667" t="s">
        <v>173</v>
      </c>
      <c r="C667">
        <v>54.221245768876024</v>
      </c>
      <c r="D667">
        <v>29.736976823702385</v>
      </c>
      <c r="E667">
        <v>306.09699016040275</v>
      </c>
      <c r="F667">
        <v>46.610616177239493</v>
      </c>
    </row>
    <row r="668" spans="2:6" x14ac:dyDescent="0.2">
      <c r="B668" t="s">
        <v>173</v>
      </c>
      <c r="C668">
        <v>204.41376610088969</v>
      </c>
      <c r="D668">
        <v>61.352841481938782</v>
      </c>
      <c r="E668">
        <v>81.960561119151365</v>
      </c>
      <c r="F668">
        <v>17.171389714037844</v>
      </c>
    </row>
    <row r="669" spans="2:6" x14ac:dyDescent="0.2">
      <c r="B669" t="s">
        <v>173</v>
      </c>
      <c r="C669">
        <v>41.371924515683126</v>
      </c>
      <c r="D669">
        <v>40.280211951036989</v>
      </c>
      <c r="E669">
        <v>47.208160680634862</v>
      </c>
      <c r="F669">
        <v>8.7289114897771825</v>
      </c>
    </row>
    <row r="670" spans="2:6" x14ac:dyDescent="0.2">
      <c r="B670" t="s">
        <v>173</v>
      </c>
      <c r="C670">
        <v>85.152668704791679</v>
      </c>
      <c r="D670">
        <v>42.229667666843909</v>
      </c>
      <c r="E670">
        <v>221.41419791882055</v>
      </c>
      <c r="F670">
        <v>58.976578303753811</v>
      </c>
    </row>
    <row r="671" spans="2:6" x14ac:dyDescent="0.2">
      <c r="B671" t="s">
        <v>173</v>
      </c>
      <c r="C671">
        <v>44.410101692066661</v>
      </c>
      <c r="D671">
        <v>10.264636339310572</v>
      </c>
      <c r="E671">
        <v>253.03160542203167</v>
      </c>
      <c r="F671">
        <v>35.446254553158454</v>
      </c>
    </row>
    <row r="672" spans="2:6" x14ac:dyDescent="0.2">
      <c r="B672" t="s">
        <v>173</v>
      </c>
      <c r="C672">
        <v>153.01672900493841</v>
      </c>
      <c r="D672">
        <v>51.457204839619202</v>
      </c>
      <c r="E672">
        <v>19.373003455537042</v>
      </c>
      <c r="F672">
        <v>15.143650562308665</v>
      </c>
    </row>
    <row r="673" spans="2:6" x14ac:dyDescent="0.2">
      <c r="B673" t="s">
        <v>173</v>
      </c>
      <c r="C673">
        <v>52.526449729671597</v>
      </c>
      <c r="D673">
        <v>46.459824037013099</v>
      </c>
      <c r="E673">
        <v>61.908755375698185</v>
      </c>
      <c r="F673">
        <v>10.270635515531666</v>
      </c>
    </row>
    <row r="674" spans="2:6" x14ac:dyDescent="0.2">
      <c r="B674" t="s">
        <v>173</v>
      </c>
      <c r="C674">
        <v>52.865204427653218</v>
      </c>
      <c r="D674">
        <v>11.850190222091625</v>
      </c>
      <c r="E674">
        <v>4.3999782538031438</v>
      </c>
      <c r="F674">
        <v>17.364309570431686</v>
      </c>
    </row>
    <row r="675" spans="2:6" x14ac:dyDescent="0.2">
      <c r="B675" t="s">
        <v>173</v>
      </c>
      <c r="C675">
        <v>10.507556422077801</v>
      </c>
      <c r="D675">
        <v>36.488477361011689</v>
      </c>
      <c r="E675">
        <v>73.183008477317898</v>
      </c>
      <c r="F675">
        <v>9.1501838646824822</v>
      </c>
    </row>
    <row r="676" spans="2:6" x14ac:dyDescent="0.2">
      <c r="B676" t="s">
        <v>173</v>
      </c>
      <c r="C676">
        <v>52.244158147941761</v>
      </c>
      <c r="D676">
        <v>44.833577913150556</v>
      </c>
      <c r="E676">
        <v>9.9229866728771956</v>
      </c>
      <c r="F676">
        <v>4.4765050861700608</v>
      </c>
    </row>
    <row r="677" spans="2:6" x14ac:dyDescent="0.2">
      <c r="B677" t="s">
        <v>173</v>
      </c>
      <c r="C677">
        <v>265.83706529510255</v>
      </c>
      <c r="D677">
        <v>28.395066812690999</v>
      </c>
      <c r="E677">
        <v>79.548767675745054</v>
      </c>
      <c r="F677">
        <v>12.839467438141675</v>
      </c>
    </row>
    <row r="678" spans="2:6" x14ac:dyDescent="0.2">
      <c r="B678" t="s">
        <v>173</v>
      </c>
      <c r="C678">
        <v>79.331964508964845</v>
      </c>
      <c r="D678">
        <v>27.447021748195233</v>
      </c>
      <c r="E678">
        <v>33.211351714505767</v>
      </c>
      <c r="F678">
        <v>2.666393063327571</v>
      </c>
    </row>
    <row r="679" spans="2:6" x14ac:dyDescent="0.2">
      <c r="B679" t="s">
        <v>173</v>
      </c>
      <c r="C679">
        <v>82.568444223879311</v>
      </c>
      <c r="D679">
        <v>45.712626700019186</v>
      </c>
      <c r="E679">
        <v>35.69079496200515</v>
      </c>
      <c r="F679">
        <v>25.758951880713759</v>
      </c>
    </row>
    <row r="680" spans="2:6" x14ac:dyDescent="0.2">
      <c r="B680" t="s">
        <v>173</v>
      </c>
      <c r="C680">
        <v>72.481489115686898</v>
      </c>
      <c r="D680">
        <v>49.460955444046796</v>
      </c>
      <c r="E680">
        <v>21.709694763669294</v>
      </c>
      <c r="F680">
        <v>19.602439663511092</v>
      </c>
    </row>
    <row r="681" spans="2:6" x14ac:dyDescent="0.2">
      <c r="B681" t="s">
        <v>173</v>
      </c>
      <c r="C681">
        <v>3.5044082754373767</v>
      </c>
      <c r="D681">
        <v>47.369318801711621</v>
      </c>
      <c r="E681">
        <v>31.914006449753444</v>
      </c>
      <c r="F681">
        <v>16.47706875682033</v>
      </c>
    </row>
    <row r="682" spans="2:6" x14ac:dyDescent="0.2">
      <c r="B682" t="s">
        <v>173</v>
      </c>
      <c r="C682">
        <v>95.114263705043953</v>
      </c>
      <c r="D682">
        <v>22.471327138138598</v>
      </c>
      <c r="E682">
        <v>8.8941220415567521</v>
      </c>
      <c r="F682">
        <v>14.071484787838727</v>
      </c>
    </row>
    <row r="683" spans="2:6" x14ac:dyDescent="0.2">
      <c r="B683" t="s">
        <v>173</v>
      </c>
      <c r="C683">
        <v>74.017237671738812</v>
      </c>
      <c r="D683">
        <v>26.064952087908882</v>
      </c>
      <c r="E683">
        <v>13.23866618674403</v>
      </c>
      <c r="F683">
        <v>13.575223396379785</v>
      </c>
    </row>
    <row r="684" spans="2:6" x14ac:dyDescent="0.2">
      <c r="B684" t="s">
        <v>173</v>
      </c>
      <c r="C684">
        <v>86.259463827965988</v>
      </c>
      <c r="D684">
        <v>40.246780767566605</v>
      </c>
      <c r="E684">
        <v>180.02200734541893</v>
      </c>
      <c r="F684">
        <v>24.317010086914877</v>
      </c>
    </row>
    <row r="685" spans="2:6" x14ac:dyDescent="0.2">
      <c r="B685" t="s">
        <v>173</v>
      </c>
      <c r="C685">
        <v>174.48287015095772</v>
      </c>
      <c r="D685">
        <v>51.902827204702767</v>
      </c>
      <c r="E685">
        <v>102.81921327713195</v>
      </c>
      <c r="F685">
        <v>38.899883422864661</v>
      </c>
    </row>
    <row r="686" spans="2:6" x14ac:dyDescent="0.2">
      <c r="B686" t="s">
        <v>173</v>
      </c>
      <c r="C686">
        <v>113.92568381003261</v>
      </c>
      <c r="D686">
        <v>92.838670812439261</v>
      </c>
      <c r="E686">
        <v>50.266370433781681</v>
      </c>
      <c r="F686">
        <v>3.7439473835257431</v>
      </c>
    </row>
    <row r="687" spans="2:6" x14ac:dyDescent="0.2">
      <c r="B687" t="s">
        <v>173</v>
      </c>
      <c r="C687">
        <v>49.105846077013744</v>
      </c>
      <c r="D687">
        <v>24.854826103142006</v>
      </c>
      <c r="E687">
        <v>104.52604791089358</v>
      </c>
      <c r="F687">
        <v>99.884927400006802</v>
      </c>
    </row>
    <row r="688" spans="2:6" x14ac:dyDescent="0.2">
      <c r="B688" t="s">
        <v>173</v>
      </c>
      <c r="C688">
        <v>136.34894866497305</v>
      </c>
      <c r="D688">
        <v>16.454187949627276</v>
      </c>
      <c r="E688">
        <v>61.266112937911771</v>
      </c>
      <c r="F688">
        <v>3.3721647521185716</v>
      </c>
    </row>
    <row r="689" spans="2:6" x14ac:dyDescent="0.2">
      <c r="B689" t="s">
        <v>173</v>
      </c>
      <c r="C689">
        <v>159.94770895543522</v>
      </c>
      <c r="D689">
        <v>104.10428140412216</v>
      </c>
      <c r="E689">
        <v>58.437016111284294</v>
      </c>
      <c r="F689">
        <v>6.0164643586138311</v>
      </c>
    </row>
    <row r="690" spans="2:6" x14ac:dyDescent="0.2">
      <c r="B690" t="s">
        <v>173</v>
      </c>
      <c r="C690">
        <v>171.53768247295034</v>
      </c>
      <c r="D690">
        <v>43.274615179945563</v>
      </c>
      <c r="E690">
        <v>40.219558302181845</v>
      </c>
      <c r="F690">
        <v>8.3389820466569518</v>
      </c>
    </row>
    <row r="691" spans="2:6" x14ac:dyDescent="0.2">
      <c r="B691" t="s">
        <v>173</v>
      </c>
      <c r="C691">
        <v>64.354793774172649</v>
      </c>
      <c r="D691">
        <v>16.823753928835256</v>
      </c>
      <c r="E691">
        <v>8.0926098469638763</v>
      </c>
      <c r="F691">
        <v>11.733153728405298</v>
      </c>
    </row>
    <row r="692" spans="2:6" x14ac:dyDescent="0.2">
      <c r="B692" t="s">
        <v>173</v>
      </c>
      <c r="C692">
        <v>105.14545920849356</v>
      </c>
      <c r="D692">
        <v>11.338180429430388</v>
      </c>
      <c r="E692">
        <v>58.093926424974839</v>
      </c>
      <c r="F692">
        <v>4.0377178351992669</v>
      </c>
    </row>
    <row r="693" spans="2:6" x14ac:dyDescent="0.2">
      <c r="B693" t="s">
        <v>173</v>
      </c>
      <c r="C693">
        <v>131.82931165023686</v>
      </c>
      <c r="D693">
        <v>10.008624602841191</v>
      </c>
      <c r="E693">
        <v>96.955116603519329</v>
      </c>
      <c r="F693">
        <v>12.488749305612004</v>
      </c>
    </row>
    <row r="694" spans="2:6" x14ac:dyDescent="0.2">
      <c r="B694" t="s">
        <v>173</v>
      </c>
      <c r="C694">
        <v>149.66502184732727</v>
      </c>
      <c r="D694">
        <v>5.2612602960463768</v>
      </c>
      <c r="E694">
        <v>38.58745631015703</v>
      </c>
      <c r="F694">
        <v>0.78590459573983384</v>
      </c>
    </row>
    <row r="695" spans="2:6" x14ac:dyDescent="0.2">
      <c r="B695" t="s">
        <v>173</v>
      </c>
      <c r="C695">
        <v>129.98236556412974</v>
      </c>
      <c r="D695">
        <v>26.544376018046844</v>
      </c>
      <c r="E695">
        <v>16.06786841962926</v>
      </c>
      <c r="F695">
        <v>1.9294886007873036</v>
      </c>
    </row>
    <row r="696" spans="2:6" x14ac:dyDescent="0.2">
      <c r="B696" t="s">
        <v>173</v>
      </c>
      <c r="C696">
        <v>48.557876226988377</v>
      </c>
      <c r="D696">
        <v>48.161843718132772</v>
      </c>
      <c r="E696">
        <v>73.879437900624268</v>
      </c>
      <c r="F696">
        <v>2.1136621812225513</v>
      </c>
    </row>
    <row r="697" spans="2:6" x14ac:dyDescent="0.2">
      <c r="B697" t="s">
        <v>173</v>
      </c>
      <c r="C697">
        <v>77.235145054135785</v>
      </c>
      <c r="D697">
        <v>50.207404171311566</v>
      </c>
      <c r="E697">
        <v>71.045194792376748</v>
      </c>
      <c r="F697">
        <v>13.502991151441137</v>
      </c>
    </row>
    <row r="698" spans="2:6" x14ac:dyDescent="0.2">
      <c r="B698" t="s">
        <v>173</v>
      </c>
      <c r="C698">
        <v>29.860423271045562</v>
      </c>
      <c r="D698">
        <v>32.128118322493791</v>
      </c>
      <c r="E698">
        <v>32.103789755011462</v>
      </c>
      <c r="F698">
        <v>16.240441410987096</v>
      </c>
    </row>
    <row r="699" spans="2:6" x14ac:dyDescent="0.2">
      <c r="B699" t="s">
        <v>173</v>
      </c>
      <c r="C699">
        <v>19.91752546132529</v>
      </c>
      <c r="D699">
        <v>65.576528781022546</v>
      </c>
      <c r="E699">
        <v>170.73229569200896</v>
      </c>
      <c r="F699">
        <v>2.788005219512689</v>
      </c>
    </row>
    <row r="700" spans="2:6" x14ac:dyDescent="0.2">
      <c r="B700" t="s">
        <v>173</v>
      </c>
      <c r="C700">
        <v>217.16401159879399</v>
      </c>
      <c r="D700">
        <v>40.278736970913009</v>
      </c>
      <c r="E700">
        <v>36.311116263755423</v>
      </c>
      <c r="F700">
        <v>3.3437432063844241</v>
      </c>
    </row>
    <row r="701" spans="2:6" x14ac:dyDescent="0.2">
      <c r="B701" t="s">
        <v>173</v>
      </c>
      <c r="C701">
        <v>71.91927905456113</v>
      </c>
      <c r="D701">
        <v>47.947086003042457</v>
      </c>
      <c r="E701">
        <v>93.337429517095927</v>
      </c>
      <c r="F701">
        <v>46.286051155361349</v>
      </c>
    </row>
    <row r="702" spans="2:6" x14ac:dyDescent="0.2">
      <c r="B702" t="s">
        <v>173</v>
      </c>
      <c r="C702">
        <v>158.31494469857714</v>
      </c>
      <c r="D702">
        <v>28.333630033037188</v>
      </c>
      <c r="E702">
        <v>168.58352353205291</v>
      </c>
      <c r="F702">
        <v>9.7425483385608178</v>
      </c>
    </row>
    <row r="703" spans="2:6" x14ac:dyDescent="0.2">
      <c r="B703" t="s">
        <v>173</v>
      </c>
      <c r="C703">
        <v>30.386551791664221</v>
      </c>
      <c r="D703">
        <v>81.749641147344306</v>
      </c>
      <c r="E703">
        <v>64.102364663271132</v>
      </c>
      <c r="F703">
        <v>13.739649868668714</v>
      </c>
    </row>
    <row r="704" spans="2:6" x14ac:dyDescent="0.2">
      <c r="B704" t="s">
        <v>173</v>
      </c>
      <c r="C704">
        <v>256.30190901930109</v>
      </c>
      <c r="D704">
        <v>32.43690434569082</v>
      </c>
      <c r="E704">
        <v>109.32264050249408</v>
      </c>
      <c r="F704">
        <v>10.451831475896832</v>
      </c>
    </row>
    <row r="705" spans="2:6" x14ac:dyDescent="0.2">
      <c r="B705" t="s">
        <v>173</v>
      </c>
      <c r="C705">
        <v>119.32807422899083</v>
      </c>
      <c r="D705">
        <v>34.672424557766455</v>
      </c>
      <c r="E705">
        <v>58.105694205689716</v>
      </c>
      <c r="F705">
        <v>9.4158847936744081</v>
      </c>
    </row>
    <row r="706" spans="2:6" x14ac:dyDescent="0.2">
      <c r="B706" t="s">
        <v>173</v>
      </c>
      <c r="C706">
        <v>20.634663142888733</v>
      </c>
      <c r="D706">
        <v>6.9604073858552189</v>
      </c>
      <c r="E706">
        <v>106.0070601079621</v>
      </c>
      <c r="F706">
        <v>3.19968648365343</v>
      </c>
    </row>
    <row r="707" spans="2:6" x14ac:dyDescent="0.2">
      <c r="B707" t="s">
        <v>173</v>
      </c>
      <c r="C707">
        <v>95.720357998400488</v>
      </c>
      <c r="D707">
        <v>13.565140709603918</v>
      </c>
      <c r="E707">
        <v>80.434653430679802</v>
      </c>
      <c r="F707">
        <v>31.083663074248037</v>
      </c>
    </row>
    <row r="708" spans="2:6" x14ac:dyDescent="0.2">
      <c r="B708" t="s">
        <v>173</v>
      </c>
      <c r="C708">
        <v>38.862338943821996</v>
      </c>
      <c r="D708">
        <v>10.478610735396247</v>
      </c>
      <c r="E708">
        <v>32.575411465287473</v>
      </c>
      <c r="F708">
        <v>19.408648555201751</v>
      </c>
    </row>
    <row r="709" spans="2:6" x14ac:dyDescent="0.2">
      <c r="B709" t="s">
        <v>173</v>
      </c>
      <c r="C709">
        <v>54.02640713039866</v>
      </c>
      <c r="D709">
        <v>36.313507409957566</v>
      </c>
      <c r="E709">
        <v>42.280484696178263</v>
      </c>
      <c r="F709">
        <v>2.2973847504327978</v>
      </c>
    </row>
    <row r="710" spans="2:6" x14ac:dyDescent="0.2">
      <c r="B710" t="s">
        <v>173</v>
      </c>
      <c r="C710">
        <v>315.1096714695006</v>
      </c>
      <c r="D710">
        <v>51.023017105814397</v>
      </c>
      <c r="E710">
        <v>55.289724511103188</v>
      </c>
      <c r="F710">
        <v>0.978578584428627</v>
      </c>
    </row>
    <row r="711" spans="2:6" x14ac:dyDescent="0.2">
      <c r="B711" t="s">
        <v>173</v>
      </c>
      <c r="C711">
        <v>54.951807218710208</v>
      </c>
      <c r="D711">
        <v>45.07266040972911</v>
      </c>
      <c r="E711">
        <v>106.45685217138069</v>
      </c>
      <c r="F711">
        <v>50.541999103850372</v>
      </c>
    </row>
    <row r="712" spans="2:6" x14ac:dyDescent="0.2">
      <c r="B712" t="s">
        <v>173</v>
      </c>
      <c r="C712">
        <v>7.0020454005563231</v>
      </c>
      <c r="D712">
        <v>60.005450843553795</v>
      </c>
      <c r="E712">
        <v>11.916388636915435</v>
      </c>
      <c r="F712">
        <v>5.6537235674372042</v>
      </c>
    </row>
    <row r="713" spans="2:6" x14ac:dyDescent="0.2">
      <c r="B713" t="s">
        <v>173</v>
      </c>
      <c r="C713">
        <v>120.63409780262953</v>
      </c>
      <c r="D713">
        <v>59.897638220157098</v>
      </c>
      <c r="E713">
        <v>11.637905579232092</v>
      </c>
      <c r="F713">
        <v>21.234834069800883</v>
      </c>
    </row>
    <row r="714" spans="2:6" x14ac:dyDescent="0.2">
      <c r="B714" t="s">
        <v>173</v>
      </c>
      <c r="C714">
        <v>47.173211410230714</v>
      </c>
      <c r="D714">
        <v>55.086227111721534</v>
      </c>
      <c r="E714">
        <v>69.900482138404456</v>
      </c>
      <c r="F714">
        <v>9.8219776679049176</v>
      </c>
    </row>
    <row r="715" spans="2:6" x14ac:dyDescent="0.2">
      <c r="B715" t="s">
        <v>173</v>
      </c>
      <c r="C715">
        <v>14.415097684470215</v>
      </c>
      <c r="D715">
        <v>74.467931764799488</v>
      </c>
      <c r="E715">
        <v>22.311406200739604</v>
      </c>
      <c r="F715">
        <v>18.740079952306701</v>
      </c>
    </row>
    <row r="716" spans="2:6" x14ac:dyDescent="0.2">
      <c r="B716" t="s">
        <v>173</v>
      </c>
      <c r="C716">
        <v>184.15707123841909</v>
      </c>
      <c r="D716">
        <v>99.402342934849486</v>
      </c>
      <c r="E716">
        <v>40.265207650961308</v>
      </c>
      <c r="F716">
        <v>31.845889924498223</v>
      </c>
    </row>
    <row r="717" spans="2:6" x14ac:dyDescent="0.2">
      <c r="B717" t="s">
        <v>173</v>
      </c>
      <c r="C717">
        <v>101.26585899021498</v>
      </c>
      <c r="D717">
        <v>23.89082243973461</v>
      </c>
      <c r="E717">
        <v>113.28741526492729</v>
      </c>
      <c r="F717">
        <v>5.768768806190451</v>
      </c>
    </row>
    <row r="718" spans="2:6" x14ac:dyDescent="0.2">
      <c r="B718" t="s">
        <v>173</v>
      </c>
      <c r="C718">
        <v>173.54288906270838</v>
      </c>
      <c r="D718">
        <v>50.724153323928775</v>
      </c>
      <c r="E718">
        <v>23.745229055829757</v>
      </c>
      <c r="F718">
        <v>10.017476085589138</v>
      </c>
    </row>
    <row r="719" spans="2:6" x14ac:dyDescent="0.2">
      <c r="B719" t="s">
        <v>173</v>
      </c>
      <c r="C719">
        <v>43.042386566743716</v>
      </c>
      <c r="D719">
        <v>28.976646298454028</v>
      </c>
      <c r="E719">
        <v>43.459445304128629</v>
      </c>
      <c r="F719">
        <v>4.1774505772397958</v>
      </c>
    </row>
    <row r="720" spans="2:6" x14ac:dyDescent="0.2">
      <c r="B720" t="s">
        <v>173</v>
      </c>
      <c r="C720">
        <v>86.145262533704425</v>
      </c>
      <c r="D720">
        <v>24.98694219634536</v>
      </c>
      <c r="E720">
        <v>307.58251582319559</v>
      </c>
      <c r="F720">
        <v>2.7813847577711002</v>
      </c>
    </row>
    <row r="721" spans="2:6" x14ac:dyDescent="0.2">
      <c r="B721" t="s">
        <v>173</v>
      </c>
      <c r="C721">
        <v>132.95503933844682</v>
      </c>
      <c r="D721">
        <v>45.78374489013143</v>
      </c>
      <c r="E721">
        <v>35.495332745790691</v>
      </c>
      <c r="F721">
        <v>13.373539070766988</v>
      </c>
    </row>
    <row r="722" spans="2:6" x14ac:dyDescent="0.2">
      <c r="B722" t="s">
        <v>173</v>
      </c>
      <c r="C722">
        <v>101.08851161095055</v>
      </c>
      <c r="D722">
        <v>56.978672034738466</v>
      </c>
      <c r="E722">
        <v>79.394144359344565</v>
      </c>
      <c r="F722">
        <v>97.027848761717962</v>
      </c>
    </row>
    <row r="723" spans="2:6" x14ac:dyDescent="0.2">
      <c r="B723" t="s">
        <v>173</v>
      </c>
      <c r="C723">
        <v>148.79085506707867</v>
      </c>
      <c r="D723">
        <v>67.677466021550359</v>
      </c>
      <c r="E723">
        <v>105.74699810417663</v>
      </c>
      <c r="F723">
        <v>33.887682159768019</v>
      </c>
    </row>
    <row r="724" spans="2:6" x14ac:dyDescent="0.2">
      <c r="B724" t="s">
        <v>173</v>
      </c>
      <c r="C724">
        <v>54.866384841606802</v>
      </c>
      <c r="D724">
        <v>7.3960395303632138</v>
      </c>
      <c r="E724">
        <v>208.66142913934451</v>
      </c>
      <c r="F724">
        <v>2.701074503053384</v>
      </c>
    </row>
    <row r="725" spans="2:6" x14ac:dyDescent="0.2">
      <c r="B725" t="s">
        <v>173</v>
      </c>
      <c r="C725">
        <v>53.987257825011035</v>
      </c>
      <c r="D725">
        <v>27.034294623729689</v>
      </c>
      <c r="E725">
        <v>36.106258417137042</v>
      </c>
      <c r="F725">
        <v>8.2066289117135653</v>
      </c>
    </row>
    <row r="726" spans="2:6" x14ac:dyDescent="0.2">
      <c r="B726" t="s">
        <v>173</v>
      </c>
      <c r="C726">
        <v>83.48650653762634</v>
      </c>
      <c r="D726">
        <v>61.671432645954361</v>
      </c>
      <c r="E726">
        <v>61.492237027197206</v>
      </c>
      <c r="F726">
        <v>3.914545804573379</v>
      </c>
    </row>
    <row r="727" spans="2:6" x14ac:dyDescent="0.2">
      <c r="B727" t="s">
        <v>173</v>
      </c>
      <c r="C727">
        <v>143.62811186484035</v>
      </c>
      <c r="D727">
        <v>109.96214843522777</v>
      </c>
      <c r="E727">
        <v>40.627185683778883</v>
      </c>
      <c r="F727">
        <v>1.2972766615044655</v>
      </c>
    </row>
    <row r="728" spans="2:6" x14ac:dyDescent="0.2">
      <c r="B728" t="s">
        <v>173</v>
      </c>
      <c r="C728">
        <v>9.3473718093736924</v>
      </c>
      <c r="D728">
        <v>96.504437788703711</v>
      </c>
      <c r="E728">
        <v>13.720015268238969</v>
      </c>
      <c r="F728">
        <v>34.865713784576087</v>
      </c>
    </row>
    <row r="729" spans="2:6" x14ac:dyDescent="0.2">
      <c r="B729" t="s">
        <v>173</v>
      </c>
      <c r="C729">
        <v>21.723214753068579</v>
      </c>
      <c r="D729">
        <v>6.151739248440018</v>
      </c>
      <c r="E729">
        <v>33.129800083951253</v>
      </c>
      <c r="F729">
        <v>16.504328617407168</v>
      </c>
    </row>
    <row r="730" spans="2:6" x14ac:dyDescent="0.2">
      <c r="B730" t="s">
        <v>173</v>
      </c>
      <c r="C730">
        <v>108.33643243244288</v>
      </c>
      <c r="D730">
        <v>29.015753386928957</v>
      </c>
      <c r="E730">
        <v>61.125080206804761</v>
      </c>
      <c r="F730">
        <v>8.7810148767407554</v>
      </c>
    </row>
    <row r="731" spans="2:6" x14ac:dyDescent="0.2">
      <c r="B731" t="s">
        <v>173</v>
      </c>
      <c r="C731">
        <v>60.202400319083495</v>
      </c>
      <c r="D731">
        <v>66.927716769883432</v>
      </c>
      <c r="E731">
        <v>32.583104846131768</v>
      </c>
      <c r="F731">
        <v>10.105914755699963</v>
      </c>
    </row>
    <row r="732" spans="2:6" x14ac:dyDescent="0.2">
      <c r="B732" t="s">
        <v>173</v>
      </c>
      <c r="C732">
        <v>58.446794490446756</v>
      </c>
      <c r="D732">
        <v>46.154678251464709</v>
      </c>
      <c r="E732">
        <v>183.05811810116688</v>
      </c>
      <c r="F732">
        <v>72.149812542385376</v>
      </c>
    </row>
    <row r="733" spans="2:6" x14ac:dyDescent="0.2">
      <c r="B733" t="s">
        <v>173</v>
      </c>
      <c r="C733">
        <v>1.7802471747465793</v>
      </c>
      <c r="D733">
        <v>56.393461474452572</v>
      </c>
      <c r="E733">
        <v>50.304915164698521</v>
      </c>
      <c r="F733">
        <v>3.4318084479746922</v>
      </c>
    </row>
    <row r="734" spans="2:6" x14ac:dyDescent="0.2">
      <c r="B734" t="s">
        <v>173</v>
      </c>
      <c r="C734">
        <v>48.093068517542783</v>
      </c>
      <c r="D734">
        <v>24.604349333355895</v>
      </c>
      <c r="E734">
        <v>43.811145751865993</v>
      </c>
      <c r="F734">
        <v>42.747808982171364</v>
      </c>
    </row>
    <row r="735" spans="2:6" x14ac:dyDescent="0.2">
      <c r="B735" t="s">
        <v>173</v>
      </c>
      <c r="C735">
        <v>71.229268865943979</v>
      </c>
      <c r="D735">
        <v>41.971819705552541</v>
      </c>
      <c r="E735">
        <v>22.520096528458364</v>
      </c>
      <c r="F735">
        <v>32.905954900499665</v>
      </c>
    </row>
    <row r="736" spans="2:6" x14ac:dyDescent="0.2">
      <c r="B736" t="s">
        <v>173</v>
      </c>
      <c r="C736">
        <v>90.052481653835969</v>
      </c>
      <c r="D736">
        <v>36.813332326340209</v>
      </c>
      <c r="E736">
        <v>31.346604725125292</v>
      </c>
      <c r="F736">
        <v>3.3079032059192812</v>
      </c>
    </row>
    <row r="737" spans="2:6" x14ac:dyDescent="0.2">
      <c r="B737" t="s">
        <v>173</v>
      </c>
      <c r="C737">
        <v>147.59700462238703</v>
      </c>
      <c r="D737">
        <v>13.169437230924146</v>
      </c>
      <c r="E737">
        <v>47.346630812306827</v>
      </c>
      <c r="F737">
        <v>40.835788829234794</v>
      </c>
    </row>
    <row r="738" spans="2:6" x14ac:dyDescent="0.2">
      <c r="B738" t="s">
        <v>173</v>
      </c>
      <c r="C738">
        <v>24.09717667592825</v>
      </c>
      <c r="D738">
        <v>51.709662455115001</v>
      </c>
      <c r="E738">
        <v>35.273633210282867</v>
      </c>
      <c r="F738">
        <v>62.822249087018378</v>
      </c>
    </row>
    <row r="739" spans="2:6" x14ac:dyDescent="0.2">
      <c r="B739" t="s">
        <v>173</v>
      </c>
      <c r="C739">
        <v>181.5900295790772</v>
      </c>
      <c r="D739">
        <v>37.723335977958293</v>
      </c>
      <c r="E739">
        <v>46.117776333861372</v>
      </c>
      <c r="F739">
        <v>5.2712950133693468</v>
      </c>
    </row>
    <row r="740" spans="2:6" x14ac:dyDescent="0.2">
      <c r="B740" t="s">
        <v>173</v>
      </c>
      <c r="C740">
        <v>27.12450297725243</v>
      </c>
      <c r="D740">
        <v>68.05503303370071</v>
      </c>
      <c r="E740">
        <v>103.65106211673515</v>
      </c>
      <c r="F740">
        <v>24.255215362356388</v>
      </c>
    </row>
    <row r="741" spans="2:6" x14ac:dyDescent="0.2">
      <c r="B741" t="s">
        <v>173</v>
      </c>
      <c r="C741">
        <v>24.612346296623489</v>
      </c>
      <c r="D741">
        <v>10.167798480566734</v>
      </c>
      <c r="E741">
        <v>30.375961470216584</v>
      </c>
      <c r="F741">
        <v>20.904966471735904</v>
      </c>
    </row>
    <row r="742" spans="2:6" x14ac:dyDescent="0.2">
      <c r="B742" t="s">
        <v>173</v>
      </c>
      <c r="C742">
        <v>31.501782885553688</v>
      </c>
      <c r="D742">
        <v>11.834240768940507</v>
      </c>
      <c r="E742">
        <v>21.485240291294772</v>
      </c>
      <c r="F742">
        <v>20.808442162997565</v>
      </c>
    </row>
    <row r="743" spans="2:6" x14ac:dyDescent="0.2">
      <c r="B743" t="s">
        <v>173</v>
      </c>
      <c r="C743">
        <v>325.54155896253116</v>
      </c>
      <c r="D743">
        <v>10.735415681650979</v>
      </c>
      <c r="E743">
        <v>99.996017011135251</v>
      </c>
      <c r="F743">
        <v>11.331586970934012</v>
      </c>
    </row>
    <row r="744" spans="2:6" x14ac:dyDescent="0.2">
      <c r="B744" t="s">
        <v>173</v>
      </c>
      <c r="C744">
        <v>161.83019082184842</v>
      </c>
      <c r="D744">
        <v>29.345909015110585</v>
      </c>
      <c r="E744">
        <v>106.29947555044777</v>
      </c>
      <c r="F744">
        <v>109.20803026526374</v>
      </c>
    </row>
    <row r="745" spans="2:6" x14ac:dyDescent="0.2">
      <c r="B745" t="s">
        <v>173</v>
      </c>
      <c r="C745">
        <v>13.620400907321173</v>
      </c>
      <c r="D745">
        <v>10.06504663161024</v>
      </c>
      <c r="E745">
        <v>18.64623864998763</v>
      </c>
      <c r="F745">
        <v>9.9568861175877856</v>
      </c>
    </row>
    <row r="746" spans="2:6" x14ac:dyDescent="0.2">
      <c r="B746" t="s">
        <v>173</v>
      </c>
      <c r="C746">
        <v>69.742428312203117</v>
      </c>
      <c r="D746">
        <v>35.110681240746871</v>
      </c>
      <c r="E746">
        <v>34.080962356259711</v>
      </c>
      <c r="F746">
        <v>2.6578454635436373</v>
      </c>
    </row>
    <row r="747" spans="2:6" x14ac:dyDescent="0.2">
      <c r="B747" t="s">
        <v>173</v>
      </c>
      <c r="C747">
        <v>18.775204738742936</v>
      </c>
      <c r="D747">
        <v>31.160989074018239</v>
      </c>
      <c r="E747">
        <v>116.71000215764832</v>
      </c>
      <c r="F747">
        <v>31.949952930453449</v>
      </c>
    </row>
    <row r="748" spans="2:6" x14ac:dyDescent="0.2">
      <c r="B748" t="s">
        <v>173</v>
      </c>
      <c r="C748">
        <v>83.24941745924869</v>
      </c>
      <c r="D748">
        <v>19.515056449541948</v>
      </c>
      <c r="E748">
        <v>56.567283588965346</v>
      </c>
      <c r="F748">
        <v>0.99443809402006167</v>
      </c>
    </row>
    <row r="749" spans="2:6" x14ac:dyDescent="0.2">
      <c r="B749" t="s">
        <v>173</v>
      </c>
      <c r="C749">
        <v>211.8010494804152</v>
      </c>
      <c r="D749">
        <v>83.919078459875109</v>
      </c>
      <c r="E749">
        <v>40.355791561205422</v>
      </c>
      <c r="F749">
        <v>13.899356815615874</v>
      </c>
    </row>
    <row r="750" spans="2:6" x14ac:dyDescent="0.2">
      <c r="B750" t="s">
        <v>173</v>
      </c>
      <c r="C750">
        <v>6.9652814625456179</v>
      </c>
      <c r="D750">
        <v>34.14020703453199</v>
      </c>
      <c r="E750">
        <v>32.603269571367235</v>
      </c>
      <c r="F750">
        <v>8.4861760482586845</v>
      </c>
    </row>
    <row r="751" spans="2:6" x14ac:dyDescent="0.2">
      <c r="B751" t="s">
        <v>173</v>
      </c>
      <c r="C751">
        <v>63.765578386837518</v>
      </c>
      <c r="D751">
        <v>11.738684801974403</v>
      </c>
      <c r="E751">
        <v>337.6961463741178</v>
      </c>
      <c r="F751">
        <v>18.957616731472712</v>
      </c>
    </row>
    <row r="752" spans="2:6" x14ac:dyDescent="0.2">
      <c r="B752" t="s">
        <v>173</v>
      </c>
      <c r="C752">
        <v>53.844200735180749</v>
      </c>
      <c r="D752">
        <v>49.538860547831014</v>
      </c>
      <c r="E752">
        <v>92.164743300156431</v>
      </c>
      <c r="F752">
        <v>13.806269490996243</v>
      </c>
    </row>
    <row r="753" spans="2:6" x14ac:dyDescent="0.2">
      <c r="B753" t="s">
        <v>173</v>
      </c>
      <c r="C753">
        <v>40.906807563011931</v>
      </c>
      <c r="D753">
        <v>14.219037224289199</v>
      </c>
      <c r="E753">
        <v>36.210466406521086</v>
      </c>
      <c r="F753">
        <v>9.4667426812378892</v>
      </c>
    </row>
    <row r="754" spans="2:6" x14ac:dyDescent="0.2">
      <c r="B754" t="s">
        <v>173</v>
      </c>
      <c r="C754">
        <v>127.83078152801835</v>
      </c>
      <c r="D754">
        <v>26.303473563170307</v>
      </c>
      <c r="E754">
        <v>137.53431656505794</v>
      </c>
      <c r="F754">
        <v>2.7797720819511156</v>
      </c>
    </row>
    <row r="755" spans="2:6" x14ac:dyDescent="0.2">
      <c r="B755" t="s">
        <v>173</v>
      </c>
      <c r="C755">
        <v>24.961833943284852</v>
      </c>
      <c r="D755">
        <v>18.678607589419421</v>
      </c>
      <c r="E755">
        <v>67.833915682473716</v>
      </c>
      <c r="F755">
        <v>3.6085912116927616</v>
      </c>
    </row>
    <row r="756" spans="2:6" x14ac:dyDescent="0.2">
      <c r="B756" t="s">
        <v>173</v>
      </c>
      <c r="C756">
        <v>4.4967434521420389</v>
      </c>
      <c r="D756">
        <v>21.690959004085748</v>
      </c>
      <c r="E756">
        <v>111.19124578538064</v>
      </c>
      <c r="F756">
        <v>14.488870318633996</v>
      </c>
    </row>
    <row r="757" spans="2:6" x14ac:dyDescent="0.2">
      <c r="B757" t="s">
        <v>173</v>
      </c>
      <c r="C757">
        <v>138.86236638440732</v>
      </c>
      <c r="D757">
        <v>81.612863672903941</v>
      </c>
      <c r="E757">
        <v>83.789151739010023</v>
      </c>
      <c r="F757">
        <v>18.088547777033568</v>
      </c>
    </row>
    <row r="758" spans="2:6" x14ac:dyDescent="0.2">
      <c r="B758" t="s">
        <v>173</v>
      </c>
      <c r="C758">
        <v>45.944033230454295</v>
      </c>
      <c r="D758">
        <v>7.2471651852851702</v>
      </c>
      <c r="E758">
        <v>33.854865236491136</v>
      </c>
      <c r="F758">
        <v>12.084419253371706</v>
      </c>
    </row>
    <row r="759" spans="2:6" x14ac:dyDescent="0.2">
      <c r="B759" t="s">
        <v>173</v>
      </c>
      <c r="C759">
        <v>87.918256143756508</v>
      </c>
      <c r="D759">
        <v>55.138360142013944</v>
      </c>
      <c r="E759">
        <v>136.29889500415968</v>
      </c>
      <c r="F759">
        <v>7.9939039046027034</v>
      </c>
    </row>
    <row r="760" spans="2:6" x14ac:dyDescent="0.2">
      <c r="B760" t="s">
        <v>173</v>
      </c>
      <c r="C760">
        <v>108.99214138123007</v>
      </c>
      <c r="D760">
        <v>27.825530896243045</v>
      </c>
      <c r="E760">
        <v>90.76864961768554</v>
      </c>
      <c r="F760">
        <v>3.8703426298693699</v>
      </c>
    </row>
    <row r="761" spans="2:6" x14ac:dyDescent="0.2">
      <c r="B761" t="s">
        <v>173</v>
      </c>
      <c r="C761">
        <v>22.36166291407833</v>
      </c>
      <c r="D761">
        <v>12.462508241150962</v>
      </c>
      <c r="E761">
        <v>30.778441379968509</v>
      </c>
      <c r="F761">
        <v>28.475864537996486</v>
      </c>
    </row>
    <row r="762" spans="2:6" x14ac:dyDescent="0.2">
      <c r="B762" t="s">
        <v>173</v>
      </c>
      <c r="C762">
        <v>82.012945603021862</v>
      </c>
      <c r="D762">
        <v>59.218154381987617</v>
      </c>
      <c r="E762">
        <v>42.690892679372809</v>
      </c>
      <c r="F762">
        <v>23.78246216695058</v>
      </c>
    </row>
    <row r="763" spans="2:6" x14ac:dyDescent="0.2">
      <c r="B763" t="s">
        <v>173</v>
      </c>
      <c r="C763">
        <v>7.6772653613944684</v>
      </c>
      <c r="D763">
        <v>11.784476302425537</v>
      </c>
      <c r="E763">
        <v>25.776936237684566</v>
      </c>
      <c r="F763">
        <v>41.817911290308032</v>
      </c>
    </row>
    <row r="764" spans="2:6" x14ac:dyDescent="0.2">
      <c r="B764" t="s">
        <v>173</v>
      </c>
      <c r="C764">
        <v>43.48425223216185</v>
      </c>
      <c r="D764">
        <v>66.947754129224975</v>
      </c>
      <c r="E764">
        <v>120.12386263443005</v>
      </c>
      <c r="F764">
        <v>24.11827887293181</v>
      </c>
    </row>
    <row r="765" spans="2:6" x14ac:dyDescent="0.2">
      <c r="B765" t="s">
        <v>173</v>
      </c>
      <c r="C765">
        <v>93.907638725960282</v>
      </c>
      <c r="D765">
        <v>13.508629118967466</v>
      </c>
      <c r="E765">
        <v>130.08366505894352</v>
      </c>
      <c r="F765">
        <v>2.8895239198765594</v>
      </c>
    </row>
    <row r="766" spans="2:6" x14ac:dyDescent="0.2">
      <c r="B766" t="s">
        <v>173</v>
      </c>
      <c r="C766">
        <v>126.85772324080155</v>
      </c>
      <c r="D766">
        <v>20.700334545737217</v>
      </c>
      <c r="E766">
        <v>22.434715089344092</v>
      </c>
      <c r="F766">
        <v>1.3928092512137304</v>
      </c>
    </row>
    <row r="767" spans="2:6" x14ac:dyDescent="0.2">
      <c r="B767" t="s">
        <v>173</v>
      </c>
      <c r="C767">
        <v>62.18589850959696</v>
      </c>
      <c r="D767">
        <v>29.180980317250587</v>
      </c>
      <c r="E767">
        <v>37.011659168027862</v>
      </c>
      <c r="F767">
        <v>25.044941094476037</v>
      </c>
    </row>
    <row r="768" spans="2:6" x14ac:dyDescent="0.2">
      <c r="B768" t="s">
        <v>173</v>
      </c>
      <c r="C768">
        <v>69.854060972484277</v>
      </c>
      <c r="D768">
        <v>39.753942196313226</v>
      </c>
      <c r="E768">
        <v>25.115060509103927</v>
      </c>
      <c r="F768">
        <v>9.3202724421014445</v>
      </c>
    </row>
    <row r="769" spans="2:6" x14ac:dyDescent="0.2">
      <c r="B769" t="s">
        <v>173</v>
      </c>
      <c r="C769">
        <v>23.334398723359463</v>
      </c>
      <c r="D769">
        <v>43.537401346695439</v>
      </c>
      <c r="E769">
        <v>72.056022566816168</v>
      </c>
      <c r="F769">
        <v>3.9161138465148682</v>
      </c>
    </row>
    <row r="770" spans="2:6" x14ac:dyDescent="0.2">
      <c r="B770" t="s">
        <v>173</v>
      </c>
      <c r="C770">
        <v>60.379382929301521</v>
      </c>
      <c r="D770">
        <v>57.06887392915138</v>
      </c>
      <c r="E770">
        <v>49.772164466420811</v>
      </c>
      <c r="F770">
        <v>4.4498384604220576</v>
      </c>
    </row>
    <row r="771" spans="2:6" x14ac:dyDescent="0.2">
      <c r="B771" t="s">
        <v>173</v>
      </c>
      <c r="C771">
        <v>136.88575223964705</v>
      </c>
      <c r="D771">
        <v>30.270791295789426</v>
      </c>
      <c r="E771">
        <v>68.74835009993599</v>
      </c>
      <c r="F771">
        <v>0.99159192222834847</v>
      </c>
    </row>
    <row r="772" spans="2:6" x14ac:dyDescent="0.2">
      <c r="B772" t="s">
        <v>173</v>
      </c>
      <c r="C772">
        <v>102.54553973961147</v>
      </c>
      <c r="D772">
        <v>44.47674222500185</v>
      </c>
      <c r="E772">
        <v>155.06906860651924</v>
      </c>
      <c r="F772">
        <v>29.941265735595238</v>
      </c>
    </row>
    <row r="773" spans="2:6" x14ac:dyDescent="0.2">
      <c r="B773" t="s">
        <v>173</v>
      </c>
      <c r="C773">
        <v>63.526694704478274</v>
      </c>
      <c r="D773">
        <v>102.48306107862118</v>
      </c>
      <c r="E773">
        <v>186.84521485526798</v>
      </c>
      <c r="F773">
        <v>3.6512357052089897</v>
      </c>
    </row>
    <row r="774" spans="2:6" x14ac:dyDescent="0.2">
      <c r="B774" t="s">
        <v>173</v>
      </c>
      <c r="C774">
        <v>110.71675515673171</v>
      </c>
      <c r="D774">
        <v>65.932210594285252</v>
      </c>
      <c r="E774">
        <v>3.8305852340093476</v>
      </c>
      <c r="F774">
        <v>12.372457669481108</v>
      </c>
    </row>
    <row r="775" spans="2:6" x14ac:dyDescent="0.2">
      <c r="B775" t="s">
        <v>173</v>
      </c>
      <c r="C775">
        <v>17.431313244407253</v>
      </c>
      <c r="D775">
        <v>5.5351570082663253</v>
      </c>
      <c r="E775">
        <v>25.108448317117652</v>
      </c>
      <c r="F775">
        <v>4.9449436806306579</v>
      </c>
    </row>
    <row r="776" spans="2:6" x14ac:dyDescent="0.2">
      <c r="B776" t="s">
        <v>173</v>
      </c>
      <c r="C776">
        <v>73.228863020937908</v>
      </c>
      <c r="D776">
        <v>49.692958175777605</v>
      </c>
      <c r="E776">
        <v>30.514118049940411</v>
      </c>
      <c r="F776">
        <v>14.906836825665451</v>
      </c>
    </row>
    <row r="777" spans="2:6" x14ac:dyDescent="0.2">
      <c r="B777" t="s">
        <v>173</v>
      </c>
      <c r="C777">
        <v>6.8360195934561121</v>
      </c>
      <c r="D777">
        <v>44.766586550139053</v>
      </c>
      <c r="E777">
        <v>162.80113114838088</v>
      </c>
      <c r="F777">
        <v>31.849123484509036</v>
      </c>
    </row>
    <row r="778" spans="2:6" x14ac:dyDescent="0.2">
      <c r="B778" t="s">
        <v>173</v>
      </c>
      <c r="C778">
        <v>14.819164602640706</v>
      </c>
      <c r="D778">
        <v>29.479805635741958</v>
      </c>
      <c r="E778">
        <v>11.8797669540371</v>
      </c>
      <c r="F778">
        <v>9.231459034544379</v>
      </c>
    </row>
    <row r="779" spans="2:6" x14ac:dyDescent="0.2">
      <c r="B779" t="s">
        <v>173</v>
      </c>
      <c r="C779">
        <v>47.642048631546082</v>
      </c>
      <c r="D779">
        <v>33.038523808530286</v>
      </c>
      <c r="E779">
        <v>111.83889485801949</v>
      </c>
      <c r="F779">
        <v>40.427531007635061</v>
      </c>
    </row>
    <row r="780" spans="2:6" x14ac:dyDescent="0.2">
      <c r="B780" t="s">
        <v>173</v>
      </c>
      <c r="C780">
        <v>27.932988937151514</v>
      </c>
      <c r="D780">
        <v>20.076798860230255</v>
      </c>
      <c r="E780">
        <v>64.847841829630283</v>
      </c>
      <c r="F780">
        <v>1.0308714108355002</v>
      </c>
    </row>
    <row r="781" spans="2:6" x14ac:dyDescent="0.2">
      <c r="B781" t="s">
        <v>173</v>
      </c>
      <c r="C781">
        <v>90.01290258036488</v>
      </c>
      <c r="D781">
        <v>12.550530815205203</v>
      </c>
      <c r="E781">
        <v>233.16491688989638</v>
      </c>
      <c r="F781">
        <v>55.979338826390006</v>
      </c>
    </row>
    <row r="782" spans="2:6" x14ac:dyDescent="0.2">
      <c r="B782" t="s">
        <v>173</v>
      </c>
      <c r="C782">
        <v>67.340248644268144</v>
      </c>
      <c r="D782">
        <v>44.95268206916554</v>
      </c>
      <c r="E782">
        <v>106.98047262380908</v>
      </c>
      <c r="F782">
        <v>54.440650409456012</v>
      </c>
    </row>
    <row r="783" spans="2:6" x14ac:dyDescent="0.2">
      <c r="B783" t="s">
        <v>173</v>
      </c>
      <c r="C783">
        <v>51.866200697551747</v>
      </c>
      <c r="D783">
        <v>43.360824988970684</v>
      </c>
      <c r="E783">
        <v>104.92309453529714</v>
      </c>
      <c r="F783">
        <v>42.013835744618653</v>
      </c>
    </row>
    <row r="784" spans="2:6" x14ac:dyDescent="0.2">
      <c r="B784" t="s">
        <v>173</v>
      </c>
      <c r="C784">
        <v>11.897317982192648</v>
      </c>
      <c r="D784">
        <v>6.8418838399035016</v>
      </c>
      <c r="E784">
        <v>101.27956862841032</v>
      </c>
      <c r="F784">
        <v>2.2095545910737897</v>
      </c>
    </row>
    <row r="785" spans="2:6" x14ac:dyDescent="0.2">
      <c r="B785" t="s">
        <v>173</v>
      </c>
      <c r="C785">
        <v>41.865098331458093</v>
      </c>
      <c r="D785">
        <v>5.4610025340339918</v>
      </c>
      <c r="E785">
        <v>51.345767669054801</v>
      </c>
      <c r="F785">
        <v>32.729979521454354</v>
      </c>
    </row>
    <row r="786" spans="2:6" x14ac:dyDescent="0.2">
      <c r="B786" t="s">
        <v>173</v>
      </c>
      <c r="C786">
        <v>24.145209463237258</v>
      </c>
      <c r="D786">
        <v>62.547538516539099</v>
      </c>
      <c r="E786">
        <v>79.806378679480716</v>
      </c>
      <c r="F786">
        <v>6.7288692124440566</v>
      </c>
    </row>
    <row r="787" spans="2:6" x14ac:dyDescent="0.2">
      <c r="B787" t="s">
        <v>173</v>
      </c>
      <c r="C787">
        <v>58.082107885963438</v>
      </c>
      <c r="D787">
        <v>39.499817286109121</v>
      </c>
      <c r="E787">
        <v>18.925012753017196</v>
      </c>
      <c r="F787">
        <v>21.342891480629831</v>
      </c>
    </row>
    <row r="788" spans="2:6" x14ac:dyDescent="0.2">
      <c r="B788" t="s">
        <v>173</v>
      </c>
      <c r="C788">
        <v>60.196547149804367</v>
      </c>
      <c r="D788">
        <v>42.40484949389932</v>
      </c>
      <c r="E788">
        <v>118.39208148396547</v>
      </c>
      <c r="F788">
        <v>14.8309706013804</v>
      </c>
    </row>
    <row r="789" spans="2:6" x14ac:dyDescent="0.2">
      <c r="B789" t="s">
        <v>173</v>
      </c>
      <c r="C789">
        <v>28.581799979449926</v>
      </c>
      <c r="D789">
        <v>48.253720476868743</v>
      </c>
      <c r="E789">
        <v>76.781030233150162</v>
      </c>
      <c r="F789">
        <v>89.594209548038151</v>
      </c>
    </row>
    <row r="790" spans="2:6" x14ac:dyDescent="0.2">
      <c r="B790" t="s">
        <v>173</v>
      </c>
      <c r="C790">
        <v>46.680656460866238</v>
      </c>
      <c r="D790">
        <v>32.299550274720879</v>
      </c>
      <c r="E790">
        <v>216.45319638203148</v>
      </c>
      <c r="F790">
        <v>1.8907949939820057</v>
      </c>
    </row>
    <row r="791" spans="2:6" x14ac:dyDescent="0.2">
      <c r="B791" t="s">
        <v>173</v>
      </c>
      <c r="C791">
        <v>27.229744290998834</v>
      </c>
      <c r="D791">
        <v>25.649005981896131</v>
      </c>
      <c r="E791">
        <v>24.112465346477638</v>
      </c>
      <c r="F791">
        <v>1.3237943348138472</v>
      </c>
    </row>
    <row r="792" spans="2:6" x14ac:dyDescent="0.2">
      <c r="B792" t="s">
        <v>173</v>
      </c>
      <c r="C792">
        <v>96.328412539174622</v>
      </c>
      <c r="D792">
        <v>32.221136662960006</v>
      </c>
      <c r="E792">
        <v>121.86663153839186</v>
      </c>
      <c r="F792">
        <v>2.6466812290828026</v>
      </c>
    </row>
    <row r="793" spans="2:6" x14ac:dyDescent="0.2">
      <c r="B793" t="s">
        <v>173</v>
      </c>
      <c r="C793">
        <v>24.425902139938412</v>
      </c>
      <c r="D793">
        <v>11.384621876457048</v>
      </c>
      <c r="E793">
        <v>108.02706736552109</v>
      </c>
      <c r="F793">
        <v>30.661115001784886</v>
      </c>
    </row>
    <row r="794" spans="2:6" x14ac:dyDescent="0.2">
      <c r="B794" t="s">
        <v>173</v>
      </c>
      <c r="C794">
        <v>11.106802901407807</v>
      </c>
      <c r="D794">
        <v>74.684289343682238</v>
      </c>
      <c r="E794">
        <v>131.18277856328942</v>
      </c>
      <c r="F794">
        <v>2.8118913873096147</v>
      </c>
    </row>
    <row r="795" spans="2:6" x14ac:dyDescent="0.2">
      <c r="B795" t="s">
        <v>173</v>
      </c>
      <c r="C795">
        <v>23.243545140993444</v>
      </c>
      <c r="D795">
        <v>60.90429273091749</v>
      </c>
      <c r="E795">
        <v>20.729459083390505</v>
      </c>
      <c r="F795">
        <v>5.6802874733479882</v>
      </c>
    </row>
    <row r="796" spans="2:6" x14ac:dyDescent="0.2">
      <c r="B796" t="s">
        <v>173</v>
      </c>
      <c r="C796">
        <v>40.453806526684893</v>
      </c>
      <c r="D796">
        <v>23.59370052824293</v>
      </c>
      <c r="E796">
        <v>132.92381760049258</v>
      </c>
      <c r="F796">
        <v>42.437625541270037</v>
      </c>
    </row>
    <row r="797" spans="2:6" x14ac:dyDescent="0.2">
      <c r="B797" t="s">
        <v>173</v>
      </c>
      <c r="C797">
        <v>155.64069446673048</v>
      </c>
      <c r="D797">
        <v>14.515627643974298</v>
      </c>
      <c r="E797">
        <v>23.246743508205533</v>
      </c>
      <c r="F797">
        <v>19.542974788758727</v>
      </c>
    </row>
    <row r="798" spans="2:6" x14ac:dyDescent="0.2">
      <c r="B798" t="s">
        <v>173</v>
      </c>
      <c r="C798">
        <v>27.764919847940597</v>
      </c>
      <c r="D798">
        <v>18.465717531312215</v>
      </c>
      <c r="E798">
        <v>7.2087694879970998</v>
      </c>
      <c r="F798">
        <v>76.191883288540907</v>
      </c>
    </row>
    <row r="799" spans="2:6" x14ac:dyDescent="0.2">
      <c r="B799" t="s">
        <v>173</v>
      </c>
      <c r="C799">
        <v>149.64584755888512</v>
      </c>
      <c r="D799">
        <v>28.123445710023805</v>
      </c>
      <c r="E799">
        <v>105.68083834962829</v>
      </c>
      <c r="F799">
        <v>56.123220867310067</v>
      </c>
    </row>
    <row r="800" spans="2:6" x14ac:dyDescent="0.2">
      <c r="B800" t="s">
        <v>173</v>
      </c>
      <c r="C800">
        <v>132.06674598727597</v>
      </c>
      <c r="D800">
        <v>42.296214461310228</v>
      </c>
      <c r="E800">
        <v>223.26166778535966</v>
      </c>
      <c r="F800">
        <v>1.7069779906754166</v>
      </c>
    </row>
    <row r="801" spans="2:6" x14ac:dyDescent="0.2">
      <c r="B801" t="s">
        <v>173</v>
      </c>
      <c r="C801">
        <v>146.26941287050576</v>
      </c>
      <c r="D801">
        <v>77.975725103899606</v>
      </c>
      <c r="E801">
        <v>99.522955467228044</v>
      </c>
      <c r="F801">
        <v>3.4954736476040438</v>
      </c>
    </row>
    <row r="802" spans="2:6" x14ac:dyDescent="0.2">
      <c r="B802" t="s">
        <v>173</v>
      </c>
      <c r="C802">
        <v>71.82046125576386</v>
      </c>
      <c r="D802">
        <v>7.1642242880985298</v>
      </c>
      <c r="E802">
        <v>335.06449921848417</v>
      </c>
      <c r="F802">
        <v>4.0474809896511061</v>
      </c>
    </row>
    <row r="803" spans="2:6" x14ac:dyDescent="0.2">
      <c r="B803" t="s">
        <v>173</v>
      </c>
      <c r="C803">
        <v>10.394527793151843</v>
      </c>
      <c r="D803">
        <v>15.28738262971765</v>
      </c>
      <c r="E803">
        <v>58.058295296975771</v>
      </c>
      <c r="F803">
        <v>6.1116817492066176</v>
      </c>
    </row>
    <row r="804" spans="2:6" x14ac:dyDescent="0.2">
      <c r="B804" t="s">
        <v>173</v>
      </c>
      <c r="C804">
        <v>55.217582868651775</v>
      </c>
      <c r="D804">
        <v>61.953780985540476</v>
      </c>
      <c r="E804">
        <v>47.133692475066809</v>
      </c>
      <c r="F804">
        <v>20.050078373976547</v>
      </c>
    </row>
    <row r="805" spans="2:6" x14ac:dyDescent="0.2">
      <c r="B805" t="s">
        <v>173</v>
      </c>
      <c r="C805">
        <v>69.35251739552136</v>
      </c>
      <c r="D805">
        <v>21.35055827968737</v>
      </c>
      <c r="E805">
        <v>39.017457703500035</v>
      </c>
      <c r="F805">
        <v>39.689121055878715</v>
      </c>
    </row>
    <row r="806" spans="2:6" x14ac:dyDescent="0.2">
      <c r="B806" t="s">
        <v>173</v>
      </c>
      <c r="C806">
        <v>50.348632588831983</v>
      </c>
      <c r="D806">
        <v>5.2867956081023832</v>
      </c>
      <c r="E806">
        <v>19.660563401813238</v>
      </c>
      <c r="F806">
        <v>10.532219972567443</v>
      </c>
    </row>
    <row r="807" spans="2:6" x14ac:dyDescent="0.2">
      <c r="B807" t="s">
        <v>173</v>
      </c>
      <c r="C807">
        <v>117.86916794517707</v>
      </c>
      <c r="D807">
        <v>53.67713410199125</v>
      </c>
      <c r="E807">
        <v>21.594392511863088</v>
      </c>
      <c r="F807">
        <v>5.1826803577075609</v>
      </c>
    </row>
    <row r="808" spans="2:6" x14ac:dyDescent="0.2">
      <c r="B808" t="s">
        <v>173</v>
      </c>
      <c r="C808">
        <v>2.5625124726383013</v>
      </c>
      <c r="D808">
        <v>13.695635276256551</v>
      </c>
      <c r="E808">
        <v>16.4336956504611</v>
      </c>
      <c r="F808">
        <v>8.2018546712615219</v>
      </c>
    </row>
    <row r="809" spans="2:6" x14ac:dyDescent="0.2">
      <c r="B809" t="s">
        <v>173</v>
      </c>
      <c r="C809">
        <v>18.501923706969468</v>
      </c>
      <c r="D809">
        <v>55.954220395542158</v>
      </c>
      <c r="E809">
        <v>97.660551663492896</v>
      </c>
      <c r="F809">
        <v>10.588753547350681</v>
      </c>
    </row>
    <row r="810" spans="2:6" x14ac:dyDescent="0.2">
      <c r="B810" t="s">
        <v>173</v>
      </c>
      <c r="C810">
        <v>44.657046372361947</v>
      </c>
      <c r="D810">
        <v>65.84800511420066</v>
      </c>
      <c r="E810">
        <v>17.510864679115322</v>
      </c>
      <c r="F810">
        <v>41.153889046736793</v>
      </c>
    </row>
    <row r="811" spans="2:6" x14ac:dyDescent="0.2">
      <c r="B811" t="s">
        <v>173</v>
      </c>
      <c r="C811">
        <v>69.764925589714252</v>
      </c>
      <c r="D811">
        <v>39.222118730728205</v>
      </c>
      <c r="E811">
        <v>14.087826619724737</v>
      </c>
      <c r="F811">
        <v>43.039628972291339</v>
      </c>
    </row>
    <row r="812" spans="2:6" x14ac:dyDescent="0.2">
      <c r="B812" t="s">
        <v>173</v>
      </c>
      <c r="C812">
        <v>74.24583559790851</v>
      </c>
      <c r="D812">
        <v>47.079114122864013</v>
      </c>
      <c r="E812">
        <v>169.67050581384709</v>
      </c>
      <c r="F812">
        <v>7.2803033109949808</v>
      </c>
    </row>
    <row r="813" spans="2:6" x14ac:dyDescent="0.2">
      <c r="B813" t="s">
        <v>173</v>
      </c>
      <c r="C813">
        <v>24.811075658917623</v>
      </c>
      <c r="D813">
        <v>51.770035063293612</v>
      </c>
      <c r="E813">
        <v>44.359775945741568</v>
      </c>
      <c r="F813">
        <v>0.70274618838793357</v>
      </c>
    </row>
    <row r="814" spans="2:6" x14ac:dyDescent="0.2">
      <c r="B814" t="s">
        <v>173</v>
      </c>
      <c r="C814">
        <v>77.603957702842067</v>
      </c>
      <c r="D814">
        <v>4.8696819265451818</v>
      </c>
      <c r="E814">
        <v>50.493325419277582</v>
      </c>
      <c r="F814">
        <v>30.129809967641904</v>
      </c>
    </row>
    <row r="815" spans="2:6" x14ac:dyDescent="0.2">
      <c r="B815" t="s">
        <v>173</v>
      </c>
      <c r="C815">
        <v>24.599988326781613</v>
      </c>
      <c r="D815">
        <v>34.490313266412862</v>
      </c>
      <c r="E815">
        <v>65.641286999208376</v>
      </c>
      <c r="F815">
        <v>20.923763849276767</v>
      </c>
    </row>
    <row r="816" spans="2:6" x14ac:dyDescent="0.2">
      <c r="B816" t="s">
        <v>173</v>
      </c>
      <c r="C816">
        <v>77.530809457043972</v>
      </c>
      <c r="D816">
        <v>23.643827844815018</v>
      </c>
      <c r="E816">
        <v>157.70600678149788</v>
      </c>
      <c r="F816">
        <v>12.877239216297802</v>
      </c>
    </row>
    <row r="817" spans="2:6" x14ac:dyDescent="0.2">
      <c r="B817" t="s">
        <v>173</v>
      </c>
      <c r="C817">
        <v>6.452847904099241</v>
      </c>
      <c r="D817">
        <v>21.910023650019539</v>
      </c>
      <c r="E817">
        <v>204.43976360020758</v>
      </c>
      <c r="F817">
        <v>1.8850853236691041</v>
      </c>
    </row>
    <row r="818" spans="2:6" x14ac:dyDescent="0.2">
      <c r="B818" t="s">
        <v>173</v>
      </c>
      <c r="C818">
        <v>118.85777235338361</v>
      </c>
      <c r="D818">
        <v>55.768896010346822</v>
      </c>
      <c r="E818">
        <v>40.926628100568266</v>
      </c>
      <c r="F818">
        <v>25.199520009892495</v>
      </c>
    </row>
    <row r="819" spans="2:6" x14ac:dyDescent="0.2">
      <c r="B819" t="s">
        <v>173</v>
      </c>
      <c r="C819">
        <v>33.849360691827556</v>
      </c>
      <c r="D819">
        <v>34.538853512207588</v>
      </c>
      <c r="E819">
        <v>157.32695884009058</v>
      </c>
      <c r="F819">
        <v>32.079837245106226</v>
      </c>
    </row>
    <row r="820" spans="2:6" x14ac:dyDescent="0.2">
      <c r="B820" t="s">
        <v>173</v>
      </c>
      <c r="C820">
        <v>44.548492985707384</v>
      </c>
      <c r="D820">
        <v>17.51670769548414</v>
      </c>
      <c r="E820">
        <v>7.0073580865349498</v>
      </c>
      <c r="F820">
        <v>12.389340701956854</v>
      </c>
    </row>
    <row r="821" spans="2:6" x14ac:dyDescent="0.2">
      <c r="B821" t="s">
        <v>173</v>
      </c>
      <c r="C821">
        <v>34.290632522628478</v>
      </c>
      <c r="D821">
        <v>7.7458642098000832</v>
      </c>
      <c r="E821">
        <v>43.501489790776851</v>
      </c>
      <c r="F821">
        <v>17.30480670936592</v>
      </c>
    </row>
    <row r="822" spans="2:6" x14ac:dyDescent="0.2">
      <c r="B822" t="s">
        <v>173</v>
      </c>
      <c r="C822">
        <v>58.891883579073443</v>
      </c>
      <c r="D822">
        <v>21.663510558191387</v>
      </c>
      <c r="E822">
        <v>18.39621694959531</v>
      </c>
      <c r="F822">
        <v>40.917327363112364</v>
      </c>
    </row>
    <row r="823" spans="2:6" x14ac:dyDescent="0.2">
      <c r="B823" t="s">
        <v>173</v>
      </c>
      <c r="C823">
        <v>171.12668394378846</v>
      </c>
      <c r="D823">
        <v>84.813618601444233</v>
      </c>
      <c r="E823">
        <v>60.126669238806343</v>
      </c>
      <c r="F823">
        <v>19.226992774819841</v>
      </c>
    </row>
    <row r="824" spans="2:6" x14ac:dyDescent="0.2">
      <c r="B824" t="s">
        <v>173</v>
      </c>
      <c r="C824">
        <v>8.3783129701718231</v>
      </c>
      <c r="D824">
        <v>8.2420940056145149</v>
      </c>
      <c r="E824">
        <v>155.93390104327216</v>
      </c>
      <c r="F824">
        <v>4.6479843135350762</v>
      </c>
    </row>
    <row r="825" spans="2:6" x14ac:dyDescent="0.2">
      <c r="B825" t="s">
        <v>173</v>
      </c>
      <c r="C825">
        <v>130.03256864298552</v>
      </c>
      <c r="D825">
        <v>141.56275580122357</v>
      </c>
      <c r="E825">
        <v>77.176913163616732</v>
      </c>
      <c r="F825">
        <v>18.007492816742591</v>
      </c>
    </row>
    <row r="826" spans="2:6" x14ac:dyDescent="0.2">
      <c r="B826" t="s">
        <v>173</v>
      </c>
      <c r="C826">
        <v>45.157352090434458</v>
      </c>
      <c r="D826">
        <v>43.250777625374063</v>
      </c>
      <c r="E826">
        <v>69.042459185341457</v>
      </c>
      <c r="F826">
        <v>8.2311250215156413</v>
      </c>
    </row>
    <row r="827" spans="2:6" x14ac:dyDescent="0.2">
      <c r="B827" t="s">
        <v>173</v>
      </c>
      <c r="C827">
        <v>62.186456637083708</v>
      </c>
      <c r="D827">
        <v>26.091336665309178</v>
      </c>
      <c r="E827">
        <v>116.93712592963722</v>
      </c>
      <c r="F827">
        <v>43.120431884576575</v>
      </c>
    </row>
    <row r="828" spans="2:6" x14ac:dyDescent="0.2">
      <c r="B828" t="s">
        <v>173</v>
      </c>
      <c r="C828">
        <v>70.949008623138425</v>
      </c>
      <c r="D828">
        <v>43.898096001566948</v>
      </c>
      <c r="E828">
        <v>18.024046371372197</v>
      </c>
      <c r="F828">
        <v>5.495539468361649</v>
      </c>
    </row>
    <row r="829" spans="2:6" x14ac:dyDescent="0.2">
      <c r="B829" t="s">
        <v>173</v>
      </c>
      <c r="C829">
        <v>30.029088190422367</v>
      </c>
      <c r="D829">
        <v>5.5462854348014963</v>
      </c>
      <c r="E829">
        <v>37.023533527620863</v>
      </c>
      <c r="F829">
        <v>43.562454365149506</v>
      </c>
    </row>
    <row r="830" spans="2:6" x14ac:dyDescent="0.2">
      <c r="B830" t="s">
        <v>173</v>
      </c>
      <c r="C830">
        <v>107.37654828839051</v>
      </c>
      <c r="D830">
        <v>36.538017181498972</v>
      </c>
      <c r="E830">
        <v>15.601475757653963</v>
      </c>
      <c r="F830">
        <v>18.490365843575717</v>
      </c>
    </row>
    <row r="831" spans="2:6" x14ac:dyDescent="0.2">
      <c r="B831" t="s">
        <v>173</v>
      </c>
      <c r="C831">
        <v>15.947272154795689</v>
      </c>
      <c r="D831">
        <v>81.837841136233322</v>
      </c>
      <c r="E831">
        <v>143.16282741171906</v>
      </c>
      <c r="F831">
        <v>4.7639165586274359</v>
      </c>
    </row>
    <row r="832" spans="2:6" x14ac:dyDescent="0.2">
      <c r="B832" t="s">
        <v>173</v>
      </c>
      <c r="C832">
        <v>51.642272850546185</v>
      </c>
      <c r="D832">
        <v>47.222483585780928</v>
      </c>
      <c r="E832">
        <v>29.405300861914345</v>
      </c>
      <c r="F832">
        <v>6.5081667407989698</v>
      </c>
    </row>
    <row r="833" spans="2:6" x14ac:dyDescent="0.2">
      <c r="B833" t="s">
        <v>173</v>
      </c>
      <c r="C833">
        <v>62.438974710673776</v>
      </c>
      <c r="D833">
        <v>15.195145856024611</v>
      </c>
      <c r="E833">
        <v>213.84300262496708</v>
      </c>
      <c r="F833">
        <v>5.619462551144693</v>
      </c>
    </row>
    <row r="834" spans="2:6" x14ac:dyDescent="0.2">
      <c r="B834" t="s">
        <v>173</v>
      </c>
      <c r="C834">
        <v>80.637043049647204</v>
      </c>
      <c r="D834">
        <v>40.838393949722658</v>
      </c>
      <c r="E834">
        <v>5.8555601725329742</v>
      </c>
      <c r="F834">
        <v>37.472701045554103</v>
      </c>
    </row>
    <row r="835" spans="2:6" x14ac:dyDescent="0.2">
      <c r="B835" t="s">
        <v>173</v>
      </c>
      <c r="C835">
        <v>18.833059573094552</v>
      </c>
      <c r="D835">
        <v>16.861534600810383</v>
      </c>
      <c r="E835">
        <v>60.544887816246458</v>
      </c>
      <c r="F835">
        <v>34.321203378497266</v>
      </c>
    </row>
    <row r="836" spans="2:6" x14ac:dyDescent="0.2">
      <c r="B836" t="s">
        <v>173</v>
      </c>
      <c r="C836">
        <v>104.00486025223574</v>
      </c>
      <c r="D836">
        <v>64.957395815729512</v>
      </c>
      <c r="E836">
        <v>24.863637130286772</v>
      </c>
      <c r="F836">
        <v>25.608100257906962</v>
      </c>
    </row>
    <row r="837" spans="2:6" x14ac:dyDescent="0.2">
      <c r="B837" t="s">
        <v>173</v>
      </c>
      <c r="C837">
        <v>141.41665075892888</v>
      </c>
      <c r="D837">
        <v>15.441850196076867</v>
      </c>
      <c r="E837">
        <v>143.06161873510737</v>
      </c>
      <c r="F837">
        <v>5.0544394369623298</v>
      </c>
    </row>
    <row r="838" spans="2:6" x14ac:dyDescent="0.2">
      <c r="B838" t="s">
        <v>173</v>
      </c>
      <c r="C838">
        <v>92.366609144171719</v>
      </c>
      <c r="D838">
        <v>65.886253699355578</v>
      </c>
      <c r="E838">
        <v>68.897189375135184</v>
      </c>
      <c r="F838">
        <v>2.6423989251061393</v>
      </c>
    </row>
    <row r="839" spans="2:6" x14ac:dyDescent="0.2">
      <c r="B839" t="s">
        <v>173</v>
      </c>
      <c r="C839">
        <v>15.967042535004778</v>
      </c>
      <c r="D839">
        <v>22.562727832219167</v>
      </c>
      <c r="E839">
        <v>14.829708202828089</v>
      </c>
      <c r="F839">
        <v>27.906365088719237</v>
      </c>
    </row>
    <row r="840" spans="2:6" x14ac:dyDescent="0.2">
      <c r="B840" t="s">
        <v>173</v>
      </c>
      <c r="C840">
        <v>86.190468893122315</v>
      </c>
      <c r="D840">
        <v>32.892121043450835</v>
      </c>
      <c r="E840">
        <v>70.571526856718862</v>
      </c>
      <c r="F840">
        <v>57.968163231382505</v>
      </c>
    </row>
    <row r="841" spans="2:6" x14ac:dyDescent="0.2">
      <c r="B841" t="s">
        <v>173</v>
      </c>
      <c r="C841">
        <v>29.206861774466443</v>
      </c>
      <c r="D841">
        <v>80.22078746881607</v>
      </c>
      <c r="E841">
        <v>24.942569356291834</v>
      </c>
      <c r="F841">
        <v>6.0830912298936717</v>
      </c>
    </row>
    <row r="842" spans="2:6" x14ac:dyDescent="0.2">
      <c r="B842" t="s">
        <v>173</v>
      </c>
      <c r="C842">
        <v>31.101216839982857</v>
      </c>
      <c r="D842">
        <v>105.94727572920415</v>
      </c>
      <c r="E842">
        <v>27.218592952123736</v>
      </c>
      <c r="F842">
        <v>25.158844108818116</v>
      </c>
    </row>
    <row r="843" spans="2:6" x14ac:dyDescent="0.2">
      <c r="B843" t="s">
        <v>173</v>
      </c>
      <c r="C843">
        <v>213.14030829216716</v>
      </c>
      <c r="D843">
        <v>13.998225829051606</v>
      </c>
      <c r="E843">
        <v>46.810978715102436</v>
      </c>
      <c r="F843">
        <v>6.1626006501076418</v>
      </c>
    </row>
    <row r="844" spans="2:6" x14ac:dyDescent="0.2">
      <c r="B844" t="s">
        <v>173</v>
      </c>
      <c r="C844">
        <v>33.6875577908718</v>
      </c>
      <c r="D844">
        <v>40.61731330489085</v>
      </c>
      <c r="E844">
        <v>150.31382076539327</v>
      </c>
      <c r="F844">
        <v>3.7604808019748219</v>
      </c>
    </row>
    <row r="845" spans="2:6" x14ac:dyDescent="0.2">
      <c r="B845" t="s">
        <v>173</v>
      </c>
      <c r="C845">
        <v>184.05134514620644</v>
      </c>
      <c r="D845">
        <v>75.482122269909212</v>
      </c>
      <c r="E845">
        <v>101.12838585073862</v>
      </c>
      <c r="F845">
        <v>44.71893533874065</v>
      </c>
    </row>
    <row r="846" spans="2:6" x14ac:dyDescent="0.2">
      <c r="B846" t="s">
        <v>173</v>
      </c>
      <c r="C846">
        <v>24.856947480352176</v>
      </c>
      <c r="D846">
        <v>27.53825319885668</v>
      </c>
      <c r="E846">
        <v>5.6672277329766887</v>
      </c>
      <c r="F846">
        <v>42.426953393807906</v>
      </c>
    </row>
    <row r="847" spans="2:6" x14ac:dyDescent="0.2">
      <c r="B847" t="s">
        <v>173</v>
      </c>
      <c r="C847">
        <v>20.627535422526577</v>
      </c>
      <c r="D847">
        <v>52.539831446928851</v>
      </c>
      <c r="E847">
        <v>24.403914921124549</v>
      </c>
      <c r="F847">
        <v>19.432083299861837</v>
      </c>
    </row>
    <row r="848" spans="2:6" x14ac:dyDescent="0.2">
      <c r="B848" t="s">
        <v>173</v>
      </c>
      <c r="C848">
        <v>3.5781262178814917</v>
      </c>
      <c r="D848">
        <v>5.8648359295314387</v>
      </c>
      <c r="E848">
        <v>115.86203263868597</v>
      </c>
      <c r="F848">
        <v>15.13927816228771</v>
      </c>
    </row>
    <row r="849" spans="2:6" x14ac:dyDescent="0.2">
      <c r="B849" t="s">
        <v>173</v>
      </c>
      <c r="C849">
        <v>185.46677039590202</v>
      </c>
      <c r="D849">
        <v>38.739656038055863</v>
      </c>
      <c r="E849">
        <v>18.944682680200849</v>
      </c>
      <c r="F849">
        <v>14.585441255320852</v>
      </c>
    </row>
    <row r="850" spans="2:6" x14ac:dyDescent="0.2">
      <c r="B850" t="s">
        <v>173</v>
      </c>
      <c r="C850">
        <v>68.791618310080949</v>
      </c>
      <c r="D850">
        <v>9.6936779232304318</v>
      </c>
      <c r="E850">
        <v>13.261362764931011</v>
      </c>
      <c r="F850">
        <v>70.257768279206573</v>
      </c>
    </row>
    <row r="851" spans="2:6" x14ac:dyDescent="0.2">
      <c r="B851" t="s">
        <v>173</v>
      </c>
      <c r="C851">
        <v>70.373103530867766</v>
      </c>
      <c r="D851">
        <v>79.16153486135812</v>
      </c>
      <c r="E851">
        <v>130.03883781202228</v>
      </c>
      <c r="F851">
        <v>2.1136730407658888</v>
      </c>
    </row>
    <row r="852" spans="2:6" x14ac:dyDescent="0.2">
      <c r="B852" t="s">
        <v>173</v>
      </c>
      <c r="C852">
        <v>188.61907261547705</v>
      </c>
      <c r="D852">
        <v>49.856824599486004</v>
      </c>
      <c r="E852">
        <v>71.56497047116504</v>
      </c>
      <c r="F852">
        <v>4.8144014767804357</v>
      </c>
    </row>
    <row r="853" spans="2:6" x14ac:dyDescent="0.2">
      <c r="B853" t="s">
        <v>173</v>
      </c>
      <c r="C853">
        <v>26.361077638661108</v>
      </c>
      <c r="D853">
        <v>69.707325696520343</v>
      </c>
      <c r="E853">
        <v>29.381408968430275</v>
      </c>
      <c r="F853">
        <v>23.250110647745096</v>
      </c>
    </row>
    <row r="854" spans="2:6" x14ac:dyDescent="0.2">
      <c r="B854" t="s">
        <v>173</v>
      </c>
      <c r="C854">
        <v>65.213203391045425</v>
      </c>
      <c r="D854">
        <v>42.073274837605453</v>
      </c>
      <c r="E854">
        <v>119.76848758328734</v>
      </c>
      <c r="F854">
        <v>3.3599859761092574</v>
      </c>
    </row>
    <row r="855" spans="2:6" x14ac:dyDescent="0.2">
      <c r="B855" t="s">
        <v>173</v>
      </c>
      <c r="C855">
        <v>64.602073143906338</v>
      </c>
      <c r="D855">
        <v>45.833707268889526</v>
      </c>
      <c r="E855">
        <v>67.704331319157603</v>
      </c>
      <c r="F855">
        <v>6.2684772900218597</v>
      </c>
    </row>
    <row r="856" spans="2:6" x14ac:dyDescent="0.2">
      <c r="B856" t="s">
        <v>173</v>
      </c>
      <c r="C856">
        <v>99.661317058300085</v>
      </c>
      <c r="D856">
        <v>75.241263690247962</v>
      </c>
      <c r="E856">
        <v>37.262676246098351</v>
      </c>
      <c r="F856">
        <v>33.561338895746616</v>
      </c>
    </row>
    <row r="857" spans="2:6" x14ac:dyDescent="0.2">
      <c r="B857" t="s">
        <v>173</v>
      </c>
      <c r="C857">
        <v>85.119476164365494</v>
      </c>
      <c r="D857">
        <v>45.735834967913938</v>
      </c>
      <c r="E857">
        <v>115.80813342267187</v>
      </c>
      <c r="F857">
        <v>3.6178391432790491</v>
      </c>
    </row>
    <row r="858" spans="2:6" x14ac:dyDescent="0.2">
      <c r="B858" t="s">
        <v>173</v>
      </c>
      <c r="C858">
        <v>85.783185464967929</v>
      </c>
      <c r="D858">
        <v>77.765523807868533</v>
      </c>
      <c r="E858">
        <v>5.9625939679364013</v>
      </c>
      <c r="F858">
        <v>58.594042034516235</v>
      </c>
    </row>
    <row r="859" spans="2:6" x14ac:dyDescent="0.2">
      <c r="B859" t="s">
        <v>173</v>
      </c>
      <c r="C859">
        <v>15.718173606392433</v>
      </c>
      <c r="D859">
        <v>32.776837127821551</v>
      </c>
      <c r="E859">
        <v>82.897123457432826</v>
      </c>
      <c r="F859">
        <v>58.490665211797591</v>
      </c>
    </row>
    <row r="860" spans="2:6" x14ac:dyDescent="0.2">
      <c r="B860" t="s">
        <v>173</v>
      </c>
      <c r="C860">
        <v>45.926011062309321</v>
      </c>
      <c r="D860">
        <v>26.583565456215752</v>
      </c>
      <c r="E860">
        <v>76.748933926409691</v>
      </c>
      <c r="F860">
        <v>6.0955468039004117</v>
      </c>
    </row>
    <row r="861" spans="2:6" x14ac:dyDescent="0.2">
      <c r="B861" t="s">
        <v>173</v>
      </c>
      <c r="C861">
        <v>22.380660659074042</v>
      </c>
      <c r="D861">
        <v>111.77261925145383</v>
      </c>
      <c r="E861">
        <v>138.98204499445441</v>
      </c>
      <c r="F861">
        <v>17.955662956972454</v>
      </c>
    </row>
    <row r="862" spans="2:6" x14ac:dyDescent="0.2">
      <c r="B862" t="s">
        <v>173</v>
      </c>
      <c r="C862">
        <v>33.053950730569774</v>
      </c>
      <c r="D862">
        <v>29.806394718166171</v>
      </c>
      <c r="E862">
        <v>29.364785318208078</v>
      </c>
      <c r="F862">
        <v>62.035443315018583</v>
      </c>
    </row>
    <row r="863" spans="2:6" x14ac:dyDescent="0.2">
      <c r="B863" t="s">
        <v>173</v>
      </c>
      <c r="C863">
        <v>61.065650742760731</v>
      </c>
      <c r="D863">
        <v>51.624825821837163</v>
      </c>
      <c r="E863">
        <v>30.124843780472457</v>
      </c>
      <c r="F863">
        <v>4.0905032221805371</v>
      </c>
    </row>
    <row r="864" spans="2:6" x14ac:dyDescent="0.2">
      <c r="B864" t="s">
        <v>173</v>
      </c>
      <c r="C864">
        <v>58.53947864528493</v>
      </c>
      <c r="D864">
        <v>63.117445548435086</v>
      </c>
      <c r="E864">
        <v>99.439916268441465</v>
      </c>
      <c r="F864">
        <v>7.4131129990225162</v>
      </c>
    </row>
    <row r="865" spans="2:6" x14ac:dyDescent="0.2">
      <c r="B865" t="s">
        <v>173</v>
      </c>
      <c r="C865">
        <v>180.59322909962071</v>
      </c>
      <c r="D865">
        <v>29.777540748415998</v>
      </c>
      <c r="E865">
        <v>9.7884755399205847</v>
      </c>
      <c r="F865">
        <v>14.466354240871411</v>
      </c>
    </row>
    <row r="866" spans="2:6" x14ac:dyDescent="0.2">
      <c r="B866" t="s">
        <v>173</v>
      </c>
      <c r="C866">
        <v>115.32816768313226</v>
      </c>
      <c r="D866">
        <v>18.566081052224369</v>
      </c>
      <c r="E866">
        <v>35.473126378855213</v>
      </c>
      <c r="F866">
        <v>6.2407628776433128</v>
      </c>
    </row>
    <row r="867" spans="2:6" x14ac:dyDescent="0.2">
      <c r="B867" t="s">
        <v>173</v>
      </c>
      <c r="C867">
        <v>104.54578663237157</v>
      </c>
      <c r="D867">
        <v>45.68136598913032</v>
      </c>
      <c r="E867">
        <v>64.137552238229929</v>
      </c>
      <c r="F867">
        <v>12.246805620374772</v>
      </c>
    </row>
    <row r="868" spans="2:6" x14ac:dyDescent="0.2">
      <c r="B868" t="s">
        <v>173</v>
      </c>
      <c r="C868">
        <v>74.085266550118448</v>
      </c>
      <c r="D868">
        <v>62.937697995272543</v>
      </c>
      <c r="E868">
        <v>15.982497349074817</v>
      </c>
      <c r="F868">
        <v>5.4169266654960886</v>
      </c>
    </row>
    <row r="869" spans="2:6" x14ac:dyDescent="0.2">
      <c r="B869" t="s">
        <v>173</v>
      </c>
      <c r="C869">
        <v>28.895139153389199</v>
      </c>
      <c r="D869">
        <v>14.465898976879702</v>
      </c>
      <c r="E869">
        <v>131.40009365192327</v>
      </c>
      <c r="F869">
        <v>53.963372201467109</v>
      </c>
    </row>
    <row r="870" spans="2:6" x14ac:dyDescent="0.2">
      <c r="B870" t="s">
        <v>173</v>
      </c>
      <c r="C870">
        <v>34.380292565762964</v>
      </c>
      <c r="D870">
        <v>91.987137326776931</v>
      </c>
      <c r="E870">
        <v>70.274940275054405</v>
      </c>
      <c r="F870">
        <v>0.94831782171993595</v>
      </c>
    </row>
    <row r="871" spans="2:6" x14ac:dyDescent="0.2">
      <c r="B871" t="s">
        <v>173</v>
      </c>
      <c r="C871">
        <v>23.15276357643965</v>
      </c>
      <c r="D871">
        <v>26.573187742608326</v>
      </c>
      <c r="E871">
        <v>176.44624279340167</v>
      </c>
      <c r="F871">
        <v>1.520260473215572</v>
      </c>
    </row>
    <row r="872" spans="2:6" x14ac:dyDescent="0.2">
      <c r="B872" t="s">
        <v>173</v>
      </c>
      <c r="C872">
        <v>93.11405149009633</v>
      </c>
      <c r="D872">
        <v>7.3188053199535235</v>
      </c>
      <c r="E872">
        <v>42.270809705670693</v>
      </c>
      <c r="F872">
        <v>41.362398470587038</v>
      </c>
    </row>
    <row r="873" spans="2:6" x14ac:dyDescent="0.2">
      <c r="B873" t="s">
        <v>173</v>
      </c>
      <c r="C873">
        <v>30.069517550683635</v>
      </c>
      <c r="D873">
        <v>18.846228508454875</v>
      </c>
      <c r="E873">
        <v>36.280703801757632</v>
      </c>
      <c r="F873">
        <v>97.410871385899299</v>
      </c>
    </row>
    <row r="874" spans="2:6" x14ac:dyDescent="0.2">
      <c r="B874" t="s">
        <v>173</v>
      </c>
      <c r="C874">
        <v>56.412014187703562</v>
      </c>
      <c r="D874">
        <v>21.424727787728024</v>
      </c>
      <c r="E874">
        <v>92.115229507557302</v>
      </c>
      <c r="F874">
        <v>1.0072548954663834</v>
      </c>
    </row>
    <row r="875" spans="2:6" x14ac:dyDescent="0.2">
      <c r="B875" t="s">
        <v>173</v>
      </c>
      <c r="C875">
        <v>66.580299473450978</v>
      </c>
      <c r="D875">
        <v>62.422336480160624</v>
      </c>
      <c r="E875">
        <v>138.95812546895286</v>
      </c>
      <c r="F875">
        <v>20.981447552408923</v>
      </c>
    </row>
    <row r="876" spans="2:6" x14ac:dyDescent="0.2">
      <c r="B876" t="s">
        <v>173</v>
      </c>
      <c r="C876">
        <v>25.204140019862621</v>
      </c>
      <c r="D876">
        <v>51.535919096845397</v>
      </c>
      <c r="E876">
        <v>33.581559109275268</v>
      </c>
      <c r="F876">
        <v>3.5654483823181593</v>
      </c>
    </row>
    <row r="877" spans="2:6" x14ac:dyDescent="0.2">
      <c r="B877" t="s">
        <v>173</v>
      </c>
      <c r="C877">
        <v>90.450122977731866</v>
      </c>
      <c r="D877">
        <v>73.113031697370005</v>
      </c>
      <c r="E877">
        <v>59.41159486228684</v>
      </c>
      <c r="F877">
        <v>4.4560950207616159</v>
      </c>
    </row>
    <row r="878" spans="2:6" x14ac:dyDescent="0.2">
      <c r="B878" t="s">
        <v>173</v>
      </c>
      <c r="C878">
        <v>82.407359945795321</v>
      </c>
      <c r="D878">
        <v>38.407832623519418</v>
      </c>
      <c r="E878">
        <v>206.95298892019574</v>
      </c>
      <c r="F878">
        <v>10.697892819172459</v>
      </c>
    </row>
    <row r="879" spans="2:6" x14ac:dyDescent="0.2">
      <c r="B879" t="s">
        <v>173</v>
      </c>
      <c r="C879">
        <v>98.552348161722932</v>
      </c>
      <c r="D879">
        <v>32.612419571091579</v>
      </c>
      <c r="E879">
        <v>21.011835258517078</v>
      </c>
      <c r="F879">
        <v>15.08072625906096</v>
      </c>
    </row>
    <row r="880" spans="2:6" x14ac:dyDescent="0.2">
      <c r="B880" t="s">
        <v>173</v>
      </c>
      <c r="C880">
        <v>142.12051986061158</v>
      </c>
      <c r="D880">
        <v>46.282841979316792</v>
      </c>
      <c r="E880">
        <v>62.426045501290851</v>
      </c>
      <c r="F880">
        <v>33.134988307841731</v>
      </c>
    </row>
    <row r="881" spans="2:6" x14ac:dyDescent="0.2">
      <c r="B881" t="s">
        <v>173</v>
      </c>
      <c r="C881">
        <v>30.164163954912407</v>
      </c>
      <c r="D881">
        <v>78.381901196282769</v>
      </c>
      <c r="E881">
        <v>214.18500109112671</v>
      </c>
      <c r="F881">
        <v>14.888352887926622</v>
      </c>
    </row>
    <row r="882" spans="2:6" x14ac:dyDescent="0.2">
      <c r="B882" t="s">
        <v>173</v>
      </c>
      <c r="C882">
        <v>11.805794991746344</v>
      </c>
      <c r="D882">
        <v>27.757058280586385</v>
      </c>
      <c r="E882">
        <v>3.9851095763375528</v>
      </c>
      <c r="F882">
        <v>24.536635724059607</v>
      </c>
    </row>
    <row r="883" spans="2:6" x14ac:dyDescent="0.2">
      <c r="B883" t="s">
        <v>173</v>
      </c>
      <c r="C883">
        <v>32.775199819216191</v>
      </c>
      <c r="D883">
        <v>55.041269831619942</v>
      </c>
      <c r="E883">
        <v>36.066650780713182</v>
      </c>
      <c r="F883">
        <v>11.026024247710271</v>
      </c>
    </row>
    <row r="884" spans="2:6" x14ac:dyDescent="0.2">
      <c r="B884" t="s">
        <v>173</v>
      </c>
      <c r="C884">
        <v>139.24877834147497</v>
      </c>
      <c r="D884">
        <v>37.827347911515062</v>
      </c>
      <c r="E884">
        <v>106.48156507549555</v>
      </c>
      <c r="F884">
        <v>48.540599055790267</v>
      </c>
    </row>
    <row r="885" spans="2:6" x14ac:dyDescent="0.2">
      <c r="B885" t="s">
        <v>173</v>
      </c>
      <c r="C885">
        <v>23.08045317594631</v>
      </c>
      <c r="D885">
        <v>74.211708116147008</v>
      </c>
      <c r="E885">
        <v>64.521504147334753</v>
      </c>
      <c r="F885">
        <v>19.504777451087378</v>
      </c>
    </row>
    <row r="886" spans="2:6" x14ac:dyDescent="0.2">
      <c r="B886" t="s">
        <v>173</v>
      </c>
      <c r="C886">
        <v>26.279492178839085</v>
      </c>
      <c r="D886">
        <v>21.679491744110855</v>
      </c>
      <c r="E886">
        <v>24.557835668952624</v>
      </c>
      <c r="F886">
        <v>4.3669124609552057</v>
      </c>
    </row>
    <row r="887" spans="2:6" x14ac:dyDescent="0.2">
      <c r="B887" t="s">
        <v>173</v>
      </c>
      <c r="C887">
        <v>86.72283217723492</v>
      </c>
      <c r="D887">
        <v>74.814874329978167</v>
      </c>
      <c r="E887">
        <v>125.60010709235375</v>
      </c>
      <c r="F887">
        <v>11.214323990280825</v>
      </c>
    </row>
    <row r="888" spans="2:6" x14ac:dyDescent="0.2">
      <c r="B888" t="s">
        <v>173</v>
      </c>
      <c r="C888">
        <v>16.773971953824969</v>
      </c>
      <c r="D888">
        <v>37.680097344011855</v>
      </c>
      <c r="E888">
        <v>71.763692713950931</v>
      </c>
      <c r="F888">
        <v>6.9296308391861032</v>
      </c>
    </row>
    <row r="889" spans="2:6" x14ac:dyDescent="0.2">
      <c r="B889" t="s">
        <v>173</v>
      </c>
      <c r="C889">
        <v>90.57588954674253</v>
      </c>
      <c r="D889">
        <v>9.9150682529340148</v>
      </c>
      <c r="E889">
        <v>91.487461840016906</v>
      </c>
      <c r="F889">
        <v>31.570254536763819</v>
      </c>
    </row>
    <row r="890" spans="2:6" x14ac:dyDescent="0.2">
      <c r="B890" t="s">
        <v>173</v>
      </c>
      <c r="C890">
        <v>106.24021413100509</v>
      </c>
      <c r="D890">
        <v>34.210656429522544</v>
      </c>
      <c r="E890">
        <v>167.88645297932223</v>
      </c>
      <c r="F890">
        <v>3.8786425143009886</v>
      </c>
    </row>
    <row r="891" spans="2:6" x14ac:dyDescent="0.2">
      <c r="B891" t="s">
        <v>173</v>
      </c>
      <c r="C891">
        <v>15.176894514707875</v>
      </c>
      <c r="D891">
        <v>31.102482020483141</v>
      </c>
      <c r="E891">
        <v>25.591631866893341</v>
      </c>
      <c r="F891">
        <v>26.809495414787193</v>
      </c>
    </row>
    <row r="892" spans="2:6" x14ac:dyDescent="0.2">
      <c r="B892" t="s">
        <v>173</v>
      </c>
      <c r="C892">
        <v>75.794260380996661</v>
      </c>
      <c r="D892">
        <v>127.29856020253303</v>
      </c>
      <c r="E892">
        <v>14.452235248952357</v>
      </c>
      <c r="F892">
        <v>5.488982918420902</v>
      </c>
    </row>
    <row r="893" spans="2:6" x14ac:dyDescent="0.2">
      <c r="B893" t="s">
        <v>173</v>
      </c>
      <c r="C893">
        <v>40.405733437819222</v>
      </c>
      <c r="D893">
        <v>40.494826491416099</v>
      </c>
      <c r="E893">
        <v>157.40976754091685</v>
      </c>
      <c r="F893">
        <v>45.104685010545523</v>
      </c>
    </row>
    <row r="894" spans="2:6" x14ac:dyDescent="0.2">
      <c r="B894" t="s">
        <v>173</v>
      </c>
      <c r="C894">
        <v>126.59277101986868</v>
      </c>
      <c r="D894">
        <v>48.423700636894402</v>
      </c>
      <c r="E894">
        <v>103.68542067840031</v>
      </c>
      <c r="F894">
        <v>43.606560359187114</v>
      </c>
    </row>
    <row r="895" spans="2:6" x14ac:dyDescent="0.2">
      <c r="B895" t="s">
        <v>173</v>
      </c>
      <c r="C895">
        <v>11.720503353315108</v>
      </c>
      <c r="D895">
        <v>115.32777717651607</v>
      </c>
      <c r="E895">
        <v>271.05275457511425</v>
      </c>
      <c r="F895">
        <v>34.708444113456977</v>
      </c>
    </row>
    <row r="896" spans="2:6" x14ac:dyDescent="0.2">
      <c r="B896" t="s">
        <v>173</v>
      </c>
      <c r="C896">
        <v>86.285628924007341</v>
      </c>
      <c r="D896">
        <v>23.904714484684643</v>
      </c>
      <c r="E896">
        <v>44.078396591808918</v>
      </c>
      <c r="F896">
        <v>5.1766656801335209</v>
      </c>
    </row>
    <row r="897" spans="2:6" x14ac:dyDescent="0.2">
      <c r="B897" t="s">
        <v>173</v>
      </c>
      <c r="C897">
        <v>2.1620155405996684</v>
      </c>
      <c r="D897">
        <v>60.968349176640075</v>
      </c>
      <c r="E897">
        <v>77.226748172815064</v>
      </c>
      <c r="F897">
        <v>97.699342325397524</v>
      </c>
    </row>
    <row r="898" spans="2:6" x14ac:dyDescent="0.2">
      <c r="B898" t="s">
        <v>173</v>
      </c>
      <c r="C898">
        <v>18.088878124017516</v>
      </c>
      <c r="D898">
        <v>14.773085848811389</v>
      </c>
      <c r="E898">
        <v>2.0139874630482506</v>
      </c>
      <c r="F898">
        <v>16.125390460050539</v>
      </c>
    </row>
    <row r="899" spans="2:6" x14ac:dyDescent="0.2">
      <c r="B899" t="s">
        <v>173</v>
      </c>
      <c r="C899">
        <v>38.294969376676065</v>
      </c>
      <c r="D899">
        <v>28.841053447326402</v>
      </c>
      <c r="E899">
        <v>19.430973393915934</v>
      </c>
      <c r="F899">
        <v>77.558273699229716</v>
      </c>
    </row>
    <row r="900" spans="2:6" x14ac:dyDescent="0.2">
      <c r="B900" t="s">
        <v>173</v>
      </c>
      <c r="C900">
        <v>27.606908941946447</v>
      </c>
      <c r="D900">
        <v>33.80129244661881</v>
      </c>
      <c r="E900">
        <v>16.96908049070808</v>
      </c>
      <c r="F900">
        <v>13.217255433441494</v>
      </c>
    </row>
    <row r="901" spans="2:6" x14ac:dyDescent="0.2">
      <c r="B901" t="s">
        <v>173</v>
      </c>
      <c r="C901">
        <v>99.981254336581998</v>
      </c>
      <c r="D901">
        <v>31.66525999565242</v>
      </c>
      <c r="E901">
        <v>265.3388621488196</v>
      </c>
      <c r="F901">
        <v>2.7177985795907915</v>
      </c>
    </row>
    <row r="902" spans="2:6" x14ac:dyDescent="0.2">
      <c r="B902" t="s">
        <v>173</v>
      </c>
      <c r="C902">
        <v>42.35419144892942</v>
      </c>
      <c r="D902">
        <v>50.220969014671581</v>
      </c>
      <c r="E902">
        <v>49.323628650317495</v>
      </c>
      <c r="F902">
        <v>3.8830118371512015</v>
      </c>
    </row>
    <row r="903" spans="2:6" x14ac:dyDescent="0.2">
      <c r="B903" t="s">
        <v>173</v>
      </c>
      <c r="C903">
        <v>24.733923191094529</v>
      </c>
      <c r="D903">
        <v>68.82146007115</v>
      </c>
      <c r="E903">
        <v>313.3269002151826</v>
      </c>
      <c r="F903">
        <v>14.083334297490694</v>
      </c>
    </row>
    <row r="904" spans="2:6" x14ac:dyDescent="0.2">
      <c r="B904" t="s">
        <v>173</v>
      </c>
      <c r="C904">
        <v>29.755231723036157</v>
      </c>
      <c r="D904">
        <v>57.227227737340193</v>
      </c>
      <c r="E904">
        <v>95.681544360910578</v>
      </c>
      <c r="F904">
        <v>48.324913881641862</v>
      </c>
    </row>
    <row r="905" spans="2:6" x14ac:dyDescent="0.2">
      <c r="B905" t="s">
        <v>173</v>
      </c>
      <c r="C905">
        <v>60.043190548337478</v>
      </c>
      <c r="D905">
        <v>28.553924887845149</v>
      </c>
      <c r="E905">
        <v>217.1052490449309</v>
      </c>
      <c r="F905">
        <v>11.560235273005773</v>
      </c>
    </row>
    <row r="906" spans="2:6" x14ac:dyDescent="0.2">
      <c r="B906" t="s">
        <v>173</v>
      </c>
      <c r="C906">
        <v>3.5634894785885773</v>
      </c>
      <c r="D906">
        <v>49.274776196626682</v>
      </c>
      <c r="E906">
        <v>50.203440049416706</v>
      </c>
      <c r="F906">
        <v>27.376691372096474</v>
      </c>
    </row>
    <row r="907" spans="2:6" x14ac:dyDescent="0.2">
      <c r="B907" t="s">
        <v>173</v>
      </c>
      <c r="C907">
        <v>39.454378164700202</v>
      </c>
      <c r="D907">
        <v>17.380273331646897</v>
      </c>
      <c r="E907">
        <v>121.07006613271811</v>
      </c>
      <c r="F907">
        <v>10.059284693383994</v>
      </c>
    </row>
    <row r="908" spans="2:6" x14ac:dyDescent="0.2">
      <c r="B908" t="s">
        <v>173</v>
      </c>
      <c r="C908">
        <v>82.440352433096209</v>
      </c>
      <c r="D908">
        <v>61.816287561053997</v>
      </c>
      <c r="E908">
        <v>111.22079076472357</v>
      </c>
      <c r="F908">
        <v>1.1611679765180281</v>
      </c>
    </row>
    <row r="909" spans="2:6" x14ac:dyDescent="0.2">
      <c r="B909" t="s">
        <v>173</v>
      </c>
      <c r="C909">
        <v>29.911863422659216</v>
      </c>
      <c r="D909">
        <v>58.041090323304651</v>
      </c>
      <c r="E909">
        <v>37.913111848813301</v>
      </c>
      <c r="F909">
        <v>28.09010553956773</v>
      </c>
    </row>
    <row r="910" spans="2:6" x14ac:dyDescent="0.2">
      <c r="B910" t="s">
        <v>173</v>
      </c>
      <c r="C910">
        <v>55.523417947942079</v>
      </c>
      <c r="D910">
        <v>81.67066698116966</v>
      </c>
      <c r="E910">
        <v>119.12002997889549</v>
      </c>
      <c r="F910">
        <v>1.1220655539271647</v>
      </c>
    </row>
    <row r="911" spans="2:6" x14ac:dyDescent="0.2">
      <c r="B911" t="s">
        <v>173</v>
      </c>
      <c r="C911">
        <v>52.883878092112781</v>
      </c>
      <c r="D911">
        <v>51.46603855262881</v>
      </c>
      <c r="E911">
        <v>32.482824334772992</v>
      </c>
      <c r="F911">
        <v>8.6293901353696754</v>
      </c>
    </row>
    <row r="912" spans="2:6" x14ac:dyDescent="0.2">
      <c r="B912" t="s">
        <v>173</v>
      </c>
      <c r="C912">
        <v>42.995369298645315</v>
      </c>
      <c r="D912">
        <v>66.319546753404239</v>
      </c>
      <c r="E912">
        <v>75.046369557825486</v>
      </c>
      <c r="F912">
        <v>15.100124873775883</v>
      </c>
    </row>
    <row r="913" spans="2:6" x14ac:dyDescent="0.2">
      <c r="B913" t="s">
        <v>173</v>
      </c>
      <c r="C913">
        <v>233.26967042526272</v>
      </c>
      <c r="D913">
        <v>37.719018142034834</v>
      </c>
      <c r="E913">
        <v>61.968738372792195</v>
      </c>
      <c r="F913">
        <v>2.6772698521674378</v>
      </c>
    </row>
    <row r="914" spans="2:6" x14ac:dyDescent="0.2">
      <c r="B914" t="s">
        <v>173</v>
      </c>
      <c r="C914">
        <v>286.06393342240523</v>
      </c>
      <c r="D914">
        <v>75.980649169791846</v>
      </c>
      <c r="E914">
        <v>83.031787605277472</v>
      </c>
      <c r="F914">
        <v>2.7985639954358064</v>
      </c>
    </row>
    <row r="915" spans="2:6" x14ac:dyDescent="0.2">
      <c r="B915" t="s">
        <v>173</v>
      </c>
      <c r="C915">
        <v>42.38799063247847</v>
      </c>
      <c r="D915">
        <v>13.78838538790621</v>
      </c>
      <c r="E915">
        <v>40.531927891661518</v>
      </c>
      <c r="F915">
        <v>11.227266366046393</v>
      </c>
    </row>
    <row r="916" spans="2:6" x14ac:dyDescent="0.2">
      <c r="B916" t="s">
        <v>173</v>
      </c>
      <c r="C916">
        <v>85.373298115984738</v>
      </c>
      <c r="D916">
        <v>22.137086868886481</v>
      </c>
      <c r="E916">
        <v>79.673180063474589</v>
      </c>
      <c r="F916">
        <v>7.3327722389097314</v>
      </c>
    </row>
    <row r="917" spans="2:6" x14ac:dyDescent="0.2">
      <c r="B917" t="s">
        <v>173</v>
      </c>
      <c r="C917">
        <v>99.184258811272286</v>
      </c>
      <c r="D917">
        <v>13.635182165638401</v>
      </c>
      <c r="E917">
        <v>64.088857213791329</v>
      </c>
      <c r="F917">
        <v>25.076183143975584</v>
      </c>
    </row>
    <row r="918" spans="2:6" x14ac:dyDescent="0.2">
      <c r="B918" t="s">
        <v>173</v>
      </c>
      <c r="C918">
        <v>33.330709759801735</v>
      </c>
      <c r="D918">
        <v>55.350359793653112</v>
      </c>
      <c r="E918">
        <v>10.384717627266721</v>
      </c>
      <c r="F918">
        <v>7.4745006341382592</v>
      </c>
    </row>
    <row r="919" spans="2:6" x14ac:dyDescent="0.2">
      <c r="B919" t="s">
        <v>173</v>
      </c>
      <c r="C919">
        <v>81.170069300402801</v>
      </c>
      <c r="D919">
        <v>32.322395521012339</v>
      </c>
      <c r="E919">
        <v>31.11944021650692</v>
      </c>
      <c r="F919">
        <v>8.9287152157984337</v>
      </c>
    </row>
    <row r="920" spans="2:6" x14ac:dyDescent="0.2">
      <c r="B920" t="s">
        <v>173</v>
      </c>
      <c r="C920">
        <v>68.19971496982977</v>
      </c>
      <c r="D920">
        <v>60.457158377680649</v>
      </c>
      <c r="E920">
        <v>28.753075865905981</v>
      </c>
      <c r="F920">
        <v>7.0872850637867266</v>
      </c>
    </row>
    <row r="921" spans="2:6" x14ac:dyDescent="0.2">
      <c r="B921" t="s">
        <v>173</v>
      </c>
      <c r="C921">
        <v>30.03928295419481</v>
      </c>
      <c r="D921">
        <v>92.04968821179952</v>
      </c>
      <c r="E921">
        <v>64.371137630636184</v>
      </c>
      <c r="F921">
        <v>3.1258115633054615</v>
      </c>
    </row>
    <row r="922" spans="2:6" x14ac:dyDescent="0.2">
      <c r="B922" t="s">
        <v>173</v>
      </c>
      <c r="C922">
        <v>140.43401824368561</v>
      </c>
      <c r="D922">
        <v>53.392845418093366</v>
      </c>
      <c r="E922">
        <v>3.8464883436661816</v>
      </c>
      <c r="F922">
        <v>17.634732708349659</v>
      </c>
    </row>
    <row r="923" spans="2:6" x14ac:dyDescent="0.2">
      <c r="B923" t="s">
        <v>173</v>
      </c>
      <c r="C923">
        <v>27.33182578159488</v>
      </c>
      <c r="D923">
        <v>23.114496802998506</v>
      </c>
      <c r="E923">
        <v>146.51833363819304</v>
      </c>
      <c r="F923">
        <v>78.10995481100548</v>
      </c>
    </row>
    <row r="924" spans="2:6" x14ac:dyDescent="0.2">
      <c r="B924" t="s">
        <v>173</v>
      </c>
      <c r="C924">
        <v>132.87867866845687</v>
      </c>
      <c r="D924">
        <v>38.794833495960809</v>
      </c>
      <c r="E924">
        <v>10.628718728965527</v>
      </c>
      <c r="F924">
        <v>45.338337891456632</v>
      </c>
    </row>
    <row r="925" spans="2:6" x14ac:dyDescent="0.2">
      <c r="B925" t="s">
        <v>173</v>
      </c>
      <c r="C925">
        <v>12.858564068715316</v>
      </c>
      <c r="D925">
        <v>11.396517112221582</v>
      </c>
      <c r="E925">
        <v>44.468228373163434</v>
      </c>
      <c r="F925">
        <v>29.211432588339093</v>
      </c>
    </row>
    <row r="926" spans="2:6" x14ac:dyDescent="0.2">
      <c r="B926" t="s">
        <v>173</v>
      </c>
      <c r="C926">
        <v>73.752479395331036</v>
      </c>
      <c r="D926">
        <v>60.427664511082021</v>
      </c>
      <c r="E926">
        <v>11.495169216500424</v>
      </c>
      <c r="F926">
        <v>3.5012390692081397</v>
      </c>
    </row>
    <row r="927" spans="2:6" x14ac:dyDescent="0.2">
      <c r="B927" t="s">
        <v>173</v>
      </c>
      <c r="C927">
        <v>96.04365181101457</v>
      </c>
      <c r="D927">
        <v>81.742030255206885</v>
      </c>
      <c r="E927">
        <v>124.95916556838529</v>
      </c>
      <c r="F927">
        <v>5.8076845943758428</v>
      </c>
    </row>
    <row r="928" spans="2:6" x14ac:dyDescent="0.2">
      <c r="B928" t="s">
        <v>173</v>
      </c>
      <c r="C928">
        <v>35.362611191106531</v>
      </c>
      <c r="D928">
        <v>35.369604561181106</v>
      </c>
      <c r="E928">
        <v>111.40061744869477</v>
      </c>
      <c r="F928">
        <v>4.1462564059401323</v>
      </c>
    </row>
    <row r="929" spans="2:6" x14ac:dyDescent="0.2">
      <c r="B929" t="s">
        <v>173</v>
      </c>
      <c r="C929">
        <v>57.223122350505484</v>
      </c>
      <c r="D929">
        <v>32.15475517631149</v>
      </c>
      <c r="E929">
        <v>90.716564592086826</v>
      </c>
      <c r="F929">
        <v>1.4915679410337059</v>
      </c>
    </row>
    <row r="930" spans="2:6" x14ac:dyDescent="0.2">
      <c r="B930" t="s">
        <v>173</v>
      </c>
      <c r="C930">
        <v>325.03819972622915</v>
      </c>
      <c r="D930">
        <v>54.565315464761738</v>
      </c>
      <c r="E930">
        <v>109.89182685101329</v>
      </c>
      <c r="F930">
        <v>10.043915272485552</v>
      </c>
    </row>
    <row r="931" spans="2:6" x14ac:dyDescent="0.2">
      <c r="B931" t="s">
        <v>173</v>
      </c>
      <c r="C931">
        <v>96.628007704040485</v>
      </c>
      <c r="D931">
        <v>2.2617177674940221</v>
      </c>
      <c r="E931">
        <v>107.16676379551618</v>
      </c>
      <c r="F931">
        <v>23.583079887167059</v>
      </c>
    </row>
    <row r="932" spans="2:6" x14ac:dyDescent="0.2">
      <c r="B932" t="s">
        <v>173</v>
      </c>
      <c r="C932">
        <v>37.183384182268554</v>
      </c>
      <c r="D932">
        <v>47.029195673618538</v>
      </c>
      <c r="E932">
        <v>43.302836965296734</v>
      </c>
      <c r="F932">
        <v>11.121644443916594</v>
      </c>
    </row>
    <row r="933" spans="2:6" x14ac:dyDescent="0.2">
      <c r="B933" t="s">
        <v>173</v>
      </c>
      <c r="C933">
        <v>80.325801097473374</v>
      </c>
      <c r="D933">
        <v>77.332559187658191</v>
      </c>
      <c r="E933">
        <v>16.642199995849353</v>
      </c>
      <c r="F933">
        <v>7.1250165856125864</v>
      </c>
    </row>
    <row r="934" spans="2:6" x14ac:dyDescent="0.2">
      <c r="B934" t="s">
        <v>173</v>
      </c>
      <c r="C934">
        <v>48.701166303399383</v>
      </c>
      <c r="D934">
        <v>43.756071384266107</v>
      </c>
      <c r="E934">
        <v>49.366226868686482</v>
      </c>
      <c r="F934">
        <v>63.824773825494646</v>
      </c>
    </row>
    <row r="935" spans="2:6" x14ac:dyDescent="0.2">
      <c r="B935" t="s">
        <v>173</v>
      </c>
      <c r="C935">
        <v>95.187635575505936</v>
      </c>
      <c r="D935">
        <v>52.976681562037214</v>
      </c>
      <c r="E935">
        <v>36.25402781628722</v>
      </c>
      <c r="F935">
        <v>14.216955620175924</v>
      </c>
    </row>
    <row r="936" spans="2:6" x14ac:dyDescent="0.2">
      <c r="B936" t="s">
        <v>173</v>
      </c>
      <c r="C936">
        <v>42.36014560273955</v>
      </c>
      <c r="D936">
        <v>16.498106379991295</v>
      </c>
      <c r="E936">
        <v>28.111554223661582</v>
      </c>
      <c r="F936">
        <v>15.74237289255526</v>
      </c>
    </row>
    <row r="937" spans="2:6" x14ac:dyDescent="0.2">
      <c r="B937" t="s">
        <v>173</v>
      </c>
      <c r="C937">
        <v>43.381679854622966</v>
      </c>
      <c r="D937">
        <v>58.191263868303217</v>
      </c>
      <c r="E937">
        <v>27.836271184041948</v>
      </c>
      <c r="F937">
        <v>18.267970000898316</v>
      </c>
    </row>
    <row r="938" spans="2:6" x14ac:dyDescent="0.2">
      <c r="B938" t="s">
        <v>173</v>
      </c>
      <c r="C938">
        <v>57.920109190647018</v>
      </c>
      <c r="D938">
        <v>43.470399938897877</v>
      </c>
      <c r="E938">
        <v>136.45562706930124</v>
      </c>
      <c r="F938">
        <v>11.673964565299485</v>
      </c>
    </row>
    <row r="939" spans="2:6" x14ac:dyDescent="0.2">
      <c r="B939" t="s">
        <v>173</v>
      </c>
      <c r="C939">
        <v>50.393432946232529</v>
      </c>
      <c r="D939">
        <v>44.251835660412787</v>
      </c>
      <c r="E939">
        <v>2.3737295472528133</v>
      </c>
      <c r="F939">
        <v>9.2049211929915415</v>
      </c>
    </row>
    <row r="940" spans="2:6" x14ac:dyDescent="0.2">
      <c r="B940" t="s">
        <v>173</v>
      </c>
      <c r="C940">
        <v>166.77207883527959</v>
      </c>
      <c r="D940">
        <v>119.59354284112257</v>
      </c>
      <c r="E940">
        <v>38.943477201244143</v>
      </c>
      <c r="F940">
        <v>4.6738676824844987</v>
      </c>
    </row>
    <row r="941" spans="2:6" x14ac:dyDescent="0.2">
      <c r="B941" t="s">
        <v>173</v>
      </c>
      <c r="C941">
        <v>17.791297729947605</v>
      </c>
      <c r="D941">
        <v>8.1365599467401424</v>
      </c>
      <c r="E941">
        <v>19.15160031377874</v>
      </c>
      <c r="F941">
        <v>4.5494803193346414</v>
      </c>
    </row>
    <row r="942" spans="2:6" x14ac:dyDescent="0.2">
      <c r="B942" t="s">
        <v>173</v>
      </c>
      <c r="C942">
        <v>163.06528442368278</v>
      </c>
      <c r="D942">
        <v>30.323286727872627</v>
      </c>
      <c r="E942">
        <v>27.374278795161782</v>
      </c>
      <c r="F942">
        <v>8.312093936935554</v>
      </c>
    </row>
    <row r="943" spans="2:6" x14ac:dyDescent="0.2">
      <c r="B943" t="s">
        <v>173</v>
      </c>
      <c r="C943">
        <v>39.969514371226303</v>
      </c>
      <c r="D943">
        <v>27.393540853819932</v>
      </c>
      <c r="E943">
        <v>20.832601676777774</v>
      </c>
      <c r="F943">
        <v>4.8547957735949012</v>
      </c>
    </row>
    <row r="944" spans="2:6" x14ac:dyDescent="0.2">
      <c r="B944" t="s">
        <v>173</v>
      </c>
      <c r="C944">
        <v>137.0940919956312</v>
      </c>
      <c r="D944">
        <v>92.316607812976002</v>
      </c>
      <c r="E944">
        <v>8.5594094525465056</v>
      </c>
      <c r="F944">
        <v>3.0150155863925079</v>
      </c>
    </row>
    <row r="945" spans="2:6" x14ac:dyDescent="0.2">
      <c r="B945" t="s">
        <v>173</v>
      </c>
      <c r="C945">
        <v>79.195098991222878</v>
      </c>
      <c r="D945">
        <v>3.5010816690426738</v>
      </c>
      <c r="E945">
        <v>43.001324589573095</v>
      </c>
      <c r="F945">
        <v>8.4028785205087573</v>
      </c>
    </row>
    <row r="946" spans="2:6" x14ac:dyDescent="0.2">
      <c r="B946" t="s">
        <v>173</v>
      </c>
      <c r="C946">
        <v>35.214126792665546</v>
      </c>
      <c r="D946">
        <v>7.1326196667722215</v>
      </c>
      <c r="E946">
        <v>10.324086079666882</v>
      </c>
      <c r="F946">
        <v>0.39830004584934575</v>
      </c>
    </row>
    <row r="947" spans="2:6" x14ac:dyDescent="0.2">
      <c r="B947" t="s">
        <v>173</v>
      </c>
      <c r="C947">
        <v>77.78962843346801</v>
      </c>
      <c r="D947">
        <v>55.963728835900994</v>
      </c>
      <c r="E947">
        <v>10.201934829691853</v>
      </c>
      <c r="F947">
        <v>26.883423605606779</v>
      </c>
    </row>
    <row r="948" spans="2:6" x14ac:dyDescent="0.2">
      <c r="B948" t="s">
        <v>173</v>
      </c>
      <c r="C948">
        <v>175.31737515276404</v>
      </c>
      <c r="D948">
        <v>51.38404964387172</v>
      </c>
      <c r="E948">
        <v>174.4569122855678</v>
      </c>
      <c r="F948">
        <v>28.437766966323693</v>
      </c>
    </row>
    <row r="949" spans="2:6" x14ac:dyDescent="0.2">
      <c r="B949" t="s">
        <v>173</v>
      </c>
      <c r="C949">
        <v>178.53686469454877</v>
      </c>
      <c r="D949">
        <v>9.4762255791442449</v>
      </c>
      <c r="E949">
        <v>35.995161939364102</v>
      </c>
      <c r="F949">
        <v>0.40224279485693515</v>
      </c>
    </row>
    <row r="950" spans="2:6" x14ac:dyDescent="0.2">
      <c r="B950" t="s">
        <v>173</v>
      </c>
      <c r="C950">
        <v>211.299664332231</v>
      </c>
      <c r="D950">
        <v>27.146205769095523</v>
      </c>
      <c r="E950">
        <v>5.2277108904984066</v>
      </c>
      <c r="F950">
        <v>49.538656216152262</v>
      </c>
    </row>
    <row r="951" spans="2:6" x14ac:dyDescent="0.2">
      <c r="B951" t="s">
        <v>173</v>
      </c>
      <c r="C951">
        <v>68.615069788939024</v>
      </c>
      <c r="D951">
        <v>33.492370719696787</v>
      </c>
      <c r="E951">
        <v>79.343399668945665</v>
      </c>
      <c r="F951">
        <v>10.781065581322423</v>
      </c>
    </row>
    <row r="952" spans="2:6" x14ac:dyDescent="0.2">
      <c r="B952" t="s">
        <v>173</v>
      </c>
      <c r="C952">
        <v>70.770367656133885</v>
      </c>
      <c r="D952">
        <v>15.740448860733226</v>
      </c>
      <c r="E952">
        <v>28.144654950839232</v>
      </c>
      <c r="F952">
        <v>19.477015688311774</v>
      </c>
    </row>
    <row r="953" spans="2:6" x14ac:dyDescent="0.2">
      <c r="B953" t="s">
        <v>173</v>
      </c>
      <c r="C953">
        <v>16.282694142853046</v>
      </c>
      <c r="D953">
        <v>35.651798858510489</v>
      </c>
      <c r="E953">
        <v>77.096303028886496</v>
      </c>
      <c r="F953">
        <v>3.249109237736036</v>
      </c>
    </row>
    <row r="954" spans="2:6" x14ac:dyDescent="0.2">
      <c r="B954" t="s">
        <v>173</v>
      </c>
      <c r="C954">
        <v>81.981414669828396</v>
      </c>
      <c r="D954">
        <v>60.272893013141889</v>
      </c>
      <c r="E954">
        <v>154.14546562967553</v>
      </c>
      <c r="F954">
        <v>46.799901151517219</v>
      </c>
    </row>
    <row r="955" spans="2:6" x14ac:dyDescent="0.2">
      <c r="B955" t="s">
        <v>173</v>
      </c>
      <c r="C955">
        <v>61.857380435371255</v>
      </c>
      <c r="D955">
        <v>70.077229529226813</v>
      </c>
      <c r="E955">
        <v>111.53368433267282</v>
      </c>
      <c r="F955">
        <v>33.115597151823977</v>
      </c>
    </row>
    <row r="956" spans="2:6" x14ac:dyDescent="0.2">
      <c r="B956" t="s">
        <v>173</v>
      </c>
      <c r="C956">
        <v>13.765883189280657</v>
      </c>
      <c r="D956">
        <v>73.896459708296589</v>
      </c>
      <c r="E956">
        <v>116.01507663599035</v>
      </c>
      <c r="F956">
        <v>2.4418095539401445</v>
      </c>
    </row>
    <row r="957" spans="2:6" x14ac:dyDescent="0.2">
      <c r="B957" t="s">
        <v>173</v>
      </c>
      <c r="C957">
        <v>53.237078238592566</v>
      </c>
      <c r="D957">
        <v>20.024539397821414</v>
      </c>
      <c r="E957">
        <v>41.517181331360689</v>
      </c>
      <c r="F957">
        <v>10.29058699367938</v>
      </c>
    </row>
    <row r="958" spans="2:6" x14ac:dyDescent="0.2">
      <c r="B958" t="s">
        <v>173</v>
      </c>
      <c r="C958">
        <v>162.41261099830214</v>
      </c>
      <c r="D958">
        <v>31.329381735418728</v>
      </c>
      <c r="E958">
        <v>128.37201819110865</v>
      </c>
      <c r="F958">
        <v>0.21205040970699685</v>
      </c>
    </row>
    <row r="959" spans="2:6" x14ac:dyDescent="0.2">
      <c r="B959" t="s">
        <v>173</v>
      </c>
      <c r="C959">
        <v>18.594353414293973</v>
      </c>
      <c r="D959">
        <v>56.171896021045704</v>
      </c>
      <c r="E959">
        <v>15.484871399564391</v>
      </c>
      <c r="F959">
        <v>24.741048210439054</v>
      </c>
    </row>
    <row r="960" spans="2:6" x14ac:dyDescent="0.2">
      <c r="B960" t="s">
        <v>173</v>
      </c>
      <c r="C960">
        <v>108.65583018046929</v>
      </c>
      <c r="D960">
        <v>11.909910048773417</v>
      </c>
      <c r="E960">
        <v>115.51219648832277</v>
      </c>
      <c r="F960">
        <v>25.844273033651334</v>
      </c>
    </row>
    <row r="961" spans="2:6" x14ac:dyDescent="0.2">
      <c r="B961" t="s">
        <v>173</v>
      </c>
      <c r="C961">
        <v>36.790569515483405</v>
      </c>
      <c r="D961">
        <v>29.948781668543532</v>
      </c>
      <c r="E961">
        <v>62.640868851397542</v>
      </c>
      <c r="F961">
        <v>14.3149204229682</v>
      </c>
    </row>
    <row r="962" spans="2:6" x14ac:dyDescent="0.2">
      <c r="B962" t="s">
        <v>173</v>
      </c>
      <c r="C962">
        <v>18.527834868019884</v>
      </c>
      <c r="D962">
        <v>25.701374862464881</v>
      </c>
      <c r="E962">
        <v>27.339584561754851</v>
      </c>
      <c r="F962">
        <v>15.578263029368884</v>
      </c>
    </row>
    <row r="963" spans="2:6" x14ac:dyDescent="0.2">
      <c r="B963" t="s">
        <v>173</v>
      </c>
      <c r="C963">
        <v>57.047361454551975</v>
      </c>
      <c r="D963">
        <v>51.22653641065677</v>
      </c>
      <c r="E963">
        <v>86.629036582005043</v>
      </c>
      <c r="F963">
        <v>10.004998110334924</v>
      </c>
    </row>
    <row r="964" spans="2:6" x14ac:dyDescent="0.2">
      <c r="B964" t="s">
        <v>173</v>
      </c>
      <c r="C964">
        <v>22.831723104986107</v>
      </c>
      <c r="D964">
        <v>26.204525911661548</v>
      </c>
      <c r="E964">
        <v>10.890613399989538</v>
      </c>
      <c r="F964">
        <v>12.870263365280408</v>
      </c>
    </row>
    <row r="965" spans="2:6" x14ac:dyDescent="0.2">
      <c r="B965" t="s">
        <v>173</v>
      </c>
      <c r="C965">
        <v>76.882956035181593</v>
      </c>
      <c r="D965">
        <v>27.608062556083322</v>
      </c>
      <c r="E965">
        <v>57.505011238694337</v>
      </c>
      <c r="F965">
        <v>19.803612312932188</v>
      </c>
    </row>
    <row r="966" spans="2:6" x14ac:dyDescent="0.2">
      <c r="B966" t="s">
        <v>173</v>
      </c>
      <c r="C966">
        <v>33.385490727567394</v>
      </c>
      <c r="D966">
        <v>60.192690713895345</v>
      </c>
      <c r="E966">
        <v>31.300079345466745</v>
      </c>
      <c r="F966">
        <v>7.7400596520537661</v>
      </c>
    </row>
    <row r="967" spans="2:6" x14ac:dyDescent="0.2">
      <c r="B967" t="s">
        <v>173</v>
      </c>
      <c r="C967">
        <v>94.096807368821828</v>
      </c>
      <c r="D967">
        <v>18.04558687032559</v>
      </c>
      <c r="E967">
        <v>22.065923750398408</v>
      </c>
      <c r="F967">
        <v>2.9136788386390506</v>
      </c>
    </row>
    <row r="968" spans="2:6" x14ac:dyDescent="0.2">
      <c r="B968" t="s">
        <v>173</v>
      </c>
      <c r="C968">
        <v>38.854147002432221</v>
      </c>
      <c r="D968">
        <v>34.903206936567805</v>
      </c>
      <c r="E968">
        <v>22.914190709229469</v>
      </c>
      <c r="F968">
        <v>7.2235958447159661</v>
      </c>
    </row>
    <row r="969" spans="2:6" x14ac:dyDescent="0.2">
      <c r="B969" t="s">
        <v>173</v>
      </c>
      <c r="C969">
        <v>31.015778006593557</v>
      </c>
      <c r="D969">
        <v>6.9971446704699689</v>
      </c>
      <c r="E969">
        <v>43.822925754397673</v>
      </c>
      <c r="F969">
        <v>1.9307195425796628</v>
      </c>
    </row>
    <row r="970" spans="2:6" x14ac:dyDescent="0.2">
      <c r="B970" t="s">
        <v>173</v>
      </c>
      <c r="C970">
        <v>232.38140932254348</v>
      </c>
      <c r="D970">
        <v>104.21106878041685</v>
      </c>
      <c r="E970">
        <v>150.31176399043343</v>
      </c>
      <c r="F970">
        <v>42.764781268348486</v>
      </c>
    </row>
    <row r="971" spans="2:6" x14ac:dyDescent="0.2">
      <c r="B971" t="s">
        <v>173</v>
      </c>
      <c r="C971">
        <v>55.757472086940922</v>
      </c>
      <c r="D971">
        <v>30.661054554287272</v>
      </c>
      <c r="E971">
        <v>78.396286744944305</v>
      </c>
      <c r="F971">
        <v>0.7550585174765756</v>
      </c>
    </row>
    <row r="972" spans="2:6" x14ac:dyDescent="0.2">
      <c r="B972" t="s">
        <v>173</v>
      </c>
      <c r="C972">
        <v>31.067840892766618</v>
      </c>
      <c r="D972">
        <v>30.39737708330145</v>
      </c>
      <c r="E972">
        <v>79.039387959653851</v>
      </c>
      <c r="F972">
        <v>6.4916806383167938</v>
      </c>
    </row>
    <row r="973" spans="2:6" x14ac:dyDescent="0.2">
      <c r="B973" t="s">
        <v>173</v>
      </c>
      <c r="C973">
        <v>54.450506540473867</v>
      </c>
      <c r="D973">
        <v>44.819882067017765</v>
      </c>
      <c r="E973">
        <v>105.50137230948434</v>
      </c>
      <c r="F973">
        <v>4.654763748689092</v>
      </c>
    </row>
    <row r="974" spans="2:6" x14ac:dyDescent="0.2">
      <c r="B974" t="s">
        <v>173</v>
      </c>
      <c r="C974">
        <v>181.54560268280068</v>
      </c>
      <c r="D974">
        <v>15.147227305633489</v>
      </c>
      <c r="E974">
        <v>16.014958561153815</v>
      </c>
      <c r="F974">
        <v>13.178255673481505</v>
      </c>
    </row>
    <row r="975" spans="2:6" x14ac:dyDescent="0.2">
      <c r="B975" t="s">
        <v>173</v>
      </c>
      <c r="C975">
        <v>6.1315417982868006</v>
      </c>
      <c r="D975">
        <v>27.477398363428129</v>
      </c>
      <c r="E975">
        <v>71.542989198840999</v>
      </c>
      <c r="F975">
        <v>19.92551395189097</v>
      </c>
    </row>
    <row r="976" spans="2:6" x14ac:dyDescent="0.2">
      <c r="B976" t="s">
        <v>173</v>
      </c>
      <c r="C976">
        <v>140.97634071935857</v>
      </c>
      <c r="D976">
        <v>27.772078085597943</v>
      </c>
      <c r="E976">
        <v>32.668931794971257</v>
      </c>
      <c r="F976">
        <v>57.662711868628406</v>
      </c>
    </row>
    <row r="977" spans="2:6" x14ac:dyDescent="0.2">
      <c r="B977" t="s">
        <v>173</v>
      </c>
      <c r="C977">
        <v>8.116482009654062</v>
      </c>
      <c r="D977">
        <v>44.425138495033046</v>
      </c>
      <c r="E977">
        <v>47.05811481626133</v>
      </c>
      <c r="F977">
        <v>2.4626033203980988</v>
      </c>
    </row>
    <row r="978" spans="2:6" x14ac:dyDescent="0.2">
      <c r="B978" t="s">
        <v>173</v>
      </c>
      <c r="C978">
        <v>47.430615060656486</v>
      </c>
      <c r="D978">
        <v>8.2254519135144335</v>
      </c>
      <c r="E978">
        <v>30.622761045346188</v>
      </c>
      <c r="F978">
        <v>5.628545515286568</v>
      </c>
    </row>
    <row r="979" spans="2:6" x14ac:dyDescent="0.2">
      <c r="B979" t="s">
        <v>173</v>
      </c>
      <c r="C979">
        <v>27.879874319624179</v>
      </c>
      <c r="D979">
        <v>13.507427985281806</v>
      </c>
      <c r="E979">
        <v>29.518951255918036</v>
      </c>
      <c r="F979">
        <v>43.809684748600809</v>
      </c>
    </row>
    <row r="980" spans="2:6" x14ac:dyDescent="0.2">
      <c r="B980" t="s">
        <v>173</v>
      </c>
      <c r="C980">
        <v>111.63876709743371</v>
      </c>
      <c r="D980">
        <v>2.7154990869676263</v>
      </c>
      <c r="E980">
        <v>39.746250864457956</v>
      </c>
      <c r="F980">
        <v>0.7794879298853914</v>
      </c>
    </row>
    <row r="981" spans="2:6" x14ac:dyDescent="0.2">
      <c r="B981" t="s">
        <v>173</v>
      </c>
      <c r="C981">
        <v>20.976361742663762</v>
      </c>
      <c r="D981">
        <v>85.291793361149587</v>
      </c>
      <c r="E981">
        <v>22.581345388290135</v>
      </c>
      <c r="F981">
        <v>0.80124230509369276</v>
      </c>
    </row>
    <row r="982" spans="2:6" x14ac:dyDescent="0.2">
      <c r="B982" t="s">
        <v>173</v>
      </c>
      <c r="C982">
        <v>54.404050605626608</v>
      </c>
      <c r="D982">
        <v>113.52133714113515</v>
      </c>
      <c r="E982">
        <v>53.493675544497869</v>
      </c>
      <c r="F982">
        <v>29.908430883836843</v>
      </c>
    </row>
    <row r="983" spans="2:6" x14ac:dyDescent="0.2">
      <c r="B983" t="s">
        <v>173</v>
      </c>
      <c r="C983">
        <v>27.489510344425923</v>
      </c>
      <c r="D983">
        <v>18.791074258957803</v>
      </c>
      <c r="E983">
        <v>26.232712189121692</v>
      </c>
      <c r="F983">
        <v>23.518660979996277</v>
      </c>
    </row>
    <row r="984" spans="2:6" x14ac:dyDescent="0.2">
      <c r="B984" t="s">
        <v>173</v>
      </c>
      <c r="C984">
        <v>22.618475742785776</v>
      </c>
      <c r="D984">
        <v>98.959741908289814</v>
      </c>
      <c r="E984">
        <v>29.688442336599909</v>
      </c>
      <c r="F984">
        <v>11.733062982282348</v>
      </c>
    </row>
    <row r="985" spans="2:6" x14ac:dyDescent="0.2">
      <c r="B985" t="s">
        <v>173</v>
      </c>
      <c r="C985">
        <v>247.14360126016138</v>
      </c>
      <c r="D985">
        <v>55.486424400999688</v>
      </c>
      <c r="E985">
        <v>231.64179154231155</v>
      </c>
      <c r="F985">
        <v>8.7590742755204047</v>
      </c>
    </row>
    <row r="986" spans="2:6" x14ac:dyDescent="0.2">
      <c r="B986" t="s">
        <v>173</v>
      </c>
      <c r="C986">
        <v>18.198440658289034</v>
      </c>
      <c r="D986">
        <v>32.239471358890682</v>
      </c>
      <c r="E986">
        <v>138.1233632358919</v>
      </c>
      <c r="F986">
        <v>30.299978260460094</v>
      </c>
    </row>
    <row r="987" spans="2:6" x14ac:dyDescent="0.2">
      <c r="B987" t="s">
        <v>173</v>
      </c>
      <c r="C987">
        <v>52.860165039856511</v>
      </c>
      <c r="D987">
        <v>11.354278780183002</v>
      </c>
      <c r="E987">
        <v>130.73435909337172</v>
      </c>
      <c r="F987">
        <v>9.9991337592432217</v>
      </c>
    </row>
    <row r="988" spans="2:6" x14ac:dyDescent="0.2">
      <c r="B988" t="s">
        <v>173</v>
      </c>
      <c r="C988">
        <v>23.581817014025386</v>
      </c>
      <c r="D988">
        <v>30.955126740255778</v>
      </c>
      <c r="E988">
        <v>77.629524067686404</v>
      </c>
      <c r="F988">
        <v>9.0241583971227044</v>
      </c>
    </row>
    <row r="989" spans="2:6" x14ac:dyDescent="0.2">
      <c r="B989" t="s">
        <v>173</v>
      </c>
      <c r="C989">
        <v>8.9145597135019852</v>
      </c>
      <c r="D989">
        <v>16.659513829614237</v>
      </c>
      <c r="E989">
        <v>37.418342900412988</v>
      </c>
      <c r="F989">
        <v>2.6804116019078599</v>
      </c>
    </row>
    <row r="990" spans="2:6" x14ac:dyDescent="0.2">
      <c r="B990" t="s">
        <v>173</v>
      </c>
      <c r="C990">
        <v>50.458406108072005</v>
      </c>
      <c r="D990">
        <v>83.347147894724614</v>
      </c>
      <c r="E990">
        <v>103.51750932644877</v>
      </c>
      <c r="F990">
        <v>18.19284365950368</v>
      </c>
    </row>
    <row r="991" spans="2:6" x14ac:dyDescent="0.2">
      <c r="B991" t="s">
        <v>173</v>
      </c>
      <c r="C991">
        <v>55.39194429381169</v>
      </c>
      <c r="D991">
        <v>40.066601609027288</v>
      </c>
      <c r="E991">
        <v>92.662781834212353</v>
      </c>
      <c r="F991">
        <v>57.397802195552629</v>
      </c>
    </row>
    <row r="992" spans="2:6" x14ac:dyDescent="0.2">
      <c r="B992" t="s">
        <v>173</v>
      </c>
      <c r="C992">
        <v>58.050276072504616</v>
      </c>
      <c r="D992">
        <v>28.764191507232663</v>
      </c>
      <c r="E992">
        <v>106.53953198635803</v>
      </c>
      <c r="F992">
        <v>7.1580243210678418</v>
      </c>
    </row>
    <row r="993" spans="2:6" x14ac:dyDescent="0.2">
      <c r="B993" t="s">
        <v>173</v>
      </c>
      <c r="C993">
        <v>43.947115922274676</v>
      </c>
      <c r="D993">
        <v>44.40370811500685</v>
      </c>
      <c r="E993">
        <v>18.105561385954374</v>
      </c>
      <c r="F993">
        <v>4.2404346659955827</v>
      </c>
    </row>
    <row r="994" spans="2:6" x14ac:dyDescent="0.2">
      <c r="B994" t="s">
        <v>173</v>
      </c>
      <c r="C994">
        <v>75.888386430354913</v>
      </c>
      <c r="D994">
        <v>12.058227157819282</v>
      </c>
      <c r="E994">
        <v>133.14449434289932</v>
      </c>
      <c r="F994">
        <v>7.0973763658534708</v>
      </c>
    </row>
    <row r="995" spans="2:6" x14ac:dyDescent="0.2">
      <c r="B995" t="s">
        <v>173</v>
      </c>
      <c r="C995">
        <v>124.55576344140418</v>
      </c>
      <c r="D995">
        <v>11.846503012381401</v>
      </c>
      <c r="E995">
        <v>1.2285925307568777</v>
      </c>
      <c r="F995">
        <v>21.25336317549646</v>
      </c>
    </row>
    <row r="996" spans="2:6" x14ac:dyDescent="0.2">
      <c r="B996" t="s">
        <v>173</v>
      </c>
      <c r="C996">
        <v>35.365190293404218</v>
      </c>
      <c r="D996">
        <v>16.140750524506437</v>
      </c>
      <c r="E996">
        <v>16.979694235283496</v>
      </c>
      <c r="F996">
        <v>48.319801140465188</v>
      </c>
    </row>
    <row r="997" spans="2:6" x14ac:dyDescent="0.2">
      <c r="B997" t="s">
        <v>173</v>
      </c>
      <c r="C997">
        <v>53.955359860026846</v>
      </c>
      <c r="D997">
        <v>14.398376177962447</v>
      </c>
      <c r="E997">
        <v>98.879800070893594</v>
      </c>
      <c r="F997">
        <v>33.340889541706204</v>
      </c>
    </row>
    <row r="998" spans="2:6" x14ac:dyDescent="0.2">
      <c r="B998" t="s">
        <v>173</v>
      </c>
      <c r="C998">
        <v>157.41798028430702</v>
      </c>
      <c r="D998">
        <v>17.882588094133222</v>
      </c>
      <c r="E998">
        <v>197.72436886849692</v>
      </c>
      <c r="F998">
        <v>13.047334835175313</v>
      </c>
    </row>
    <row r="999" spans="2:6" x14ac:dyDescent="0.2">
      <c r="B999" t="s">
        <v>173</v>
      </c>
      <c r="C999">
        <v>186.18233594789106</v>
      </c>
      <c r="D999">
        <v>19.228569393765653</v>
      </c>
      <c r="E999">
        <v>78.805168641092152</v>
      </c>
      <c r="F999">
        <v>29.716696690297766</v>
      </c>
    </row>
    <row r="1000" spans="2:6" x14ac:dyDescent="0.2">
      <c r="B1000" t="s">
        <v>173</v>
      </c>
      <c r="C1000">
        <v>253.9963790334173</v>
      </c>
      <c r="D1000">
        <v>40.899416272259501</v>
      </c>
      <c r="E1000">
        <v>28.190097721377597</v>
      </c>
      <c r="F1000">
        <v>20.250680637957316</v>
      </c>
    </row>
    <row r="1001" spans="2:6" x14ac:dyDescent="0.2">
      <c r="B1001" t="s">
        <v>173</v>
      </c>
      <c r="C1001">
        <v>59.257387576806671</v>
      </c>
      <c r="D1001">
        <v>91.409465529830598</v>
      </c>
      <c r="E1001">
        <v>15.719608741227294</v>
      </c>
      <c r="F1001">
        <v>12.512668839947967</v>
      </c>
    </row>
    <row r="1002" spans="2:6" x14ac:dyDescent="0.2">
      <c r="B1002" t="s">
        <v>173</v>
      </c>
      <c r="C1002">
        <v>95.217480203094269</v>
      </c>
      <c r="D1002">
        <v>35.30732053980244</v>
      </c>
      <c r="E1002">
        <v>8.2713097813334606</v>
      </c>
      <c r="F1002">
        <v>0.64392417030453331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A65F9-5B12-C645-B21C-7066EC03BF8E}">
  <dimension ref="A1:E1001"/>
  <sheetViews>
    <sheetView tabSelected="1" workbookViewId="0">
      <selection sqref="A1:A1048576"/>
    </sheetView>
  </sheetViews>
  <sheetFormatPr baseColWidth="10" defaultRowHeight="15" x14ac:dyDescent="0.2"/>
  <sheetData>
    <row r="1" spans="1:5" x14ac:dyDescent="0.2">
      <c r="A1" s="157" t="s">
        <v>172</v>
      </c>
      <c r="B1" s="158" t="s">
        <v>143</v>
      </c>
      <c r="C1" s="159" t="s">
        <v>144</v>
      </c>
      <c r="D1" s="159" t="s">
        <v>145</v>
      </c>
      <c r="E1" s="159" t="s">
        <v>146</v>
      </c>
    </row>
    <row r="2" spans="1:5" x14ac:dyDescent="0.2">
      <c r="A2" s="136" t="s">
        <v>173</v>
      </c>
      <c r="B2" s="136">
        <v>38.846910000000001</v>
      </c>
      <c r="C2" s="136">
        <v>24.8447</v>
      </c>
      <c r="D2" s="136">
        <v>91.182980000000001</v>
      </c>
      <c r="E2" s="136">
        <v>39.965479999999999</v>
      </c>
    </row>
    <row r="3" spans="1:5" x14ac:dyDescent="0.2">
      <c r="A3" s="136" t="s">
        <v>173</v>
      </c>
      <c r="B3" s="136">
        <v>16.347549999999998</v>
      </c>
      <c r="C3" s="136">
        <v>99.128169999999997</v>
      </c>
      <c r="D3" s="136">
        <v>74.62621</v>
      </c>
      <c r="E3" s="136">
        <v>7.6995189999999996</v>
      </c>
    </row>
    <row r="4" spans="1:5" x14ac:dyDescent="0.2">
      <c r="A4" s="136" t="s">
        <v>173</v>
      </c>
      <c r="B4" s="136">
        <v>140.72370000000001</v>
      </c>
      <c r="C4" s="136">
        <v>34.820630000000001</v>
      </c>
      <c r="D4" s="136">
        <v>190.03139999999999</v>
      </c>
      <c r="E4" s="136">
        <v>10.936170000000001</v>
      </c>
    </row>
    <row r="5" spans="1:5" x14ac:dyDescent="0.2">
      <c r="A5" s="136" t="s">
        <v>173</v>
      </c>
      <c r="B5" s="136">
        <v>22.771350000000002</v>
      </c>
      <c r="C5" s="136">
        <v>43.710439999999998</v>
      </c>
      <c r="D5" s="136">
        <v>35.551839999999999</v>
      </c>
      <c r="E5" s="136">
        <v>32.319920000000003</v>
      </c>
    </row>
    <row r="6" spans="1:5" x14ac:dyDescent="0.2">
      <c r="A6" s="136" t="s">
        <v>173</v>
      </c>
      <c r="B6" s="136">
        <v>32.073059999999998</v>
      </c>
      <c r="C6" s="136">
        <v>48.00376</v>
      </c>
      <c r="D6" s="136">
        <v>26.250139999999998</v>
      </c>
      <c r="E6" s="136">
        <v>37.023350000000001</v>
      </c>
    </row>
    <row r="7" spans="1:5" x14ac:dyDescent="0.2">
      <c r="A7" s="136" t="s">
        <v>173</v>
      </c>
      <c r="B7" s="136">
        <v>639.70100000000002</v>
      </c>
      <c r="C7" s="136">
        <v>39.474899999999998</v>
      </c>
      <c r="D7" s="136">
        <v>60.928919999999998</v>
      </c>
      <c r="E7" s="136">
        <v>9.0917180000000002</v>
      </c>
    </row>
    <row r="8" spans="1:5" x14ac:dyDescent="0.2">
      <c r="A8" s="136" t="s">
        <v>173</v>
      </c>
      <c r="B8" s="136">
        <v>90.327889999999996</v>
      </c>
      <c r="C8" s="136">
        <v>40.032980000000002</v>
      </c>
      <c r="D8" s="136">
        <v>45.872869999999999</v>
      </c>
      <c r="E8" s="136">
        <v>7.4516159999999996</v>
      </c>
    </row>
    <row r="9" spans="1:5" x14ac:dyDescent="0.2">
      <c r="A9" s="136" t="s">
        <v>173</v>
      </c>
      <c r="B9" s="136">
        <v>101.351</v>
      </c>
      <c r="C9" s="136">
        <v>34.334429999999998</v>
      </c>
      <c r="D9" s="136">
        <v>4.7769360000000001</v>
      </c>
      <c r="E9" s="136">
        <v>4.7026630000000003</v>
      </c>
    </row>
    <row r="10" spans="1:5" x14ac:dyDescent="0.2">
      <c r="A10" s="136" t="s">
        <v>173</v>
      </c>
      <c r="B10" s="136">
        <v>26.495560000000001</v>
      </c>
      <c r="C10" s="136">
        <v>133.76480000000001</v>
      </c>
      <c r="D10" s="136">
        <v>14.39099</v>
      </c>
      <c r="E10" s="136">
        <v>17.601510000000001</v>
      </c>
    </row>
    <row r="11" spans="1:5" x14ac:dyDescent="0.2">
      <c r="A11" s="136" t="s">
        <v>173</v>
      </c>
      <c r="B11" s="136">
        <v>128.13130000000001</v>
      </c>
      <c r="C11" s="136">
        <v>10.31439</v>
      </c>
      <c r="D11" s="136">
        <v>61.51634</v>
      </c>
      <c r="E11" s="136">
        <v>94.357759999999999</v>
      </c>
    </row>
    <row r="12" spans="1:5" x14ac:dyDescent="0.2">
      <c r="A12" s="136" t="s">
        <v>173</v>
      </c>
      <c r="B12" s="136">
        <v>32.286520000000003</v>
      </c>
      <c r="C12" s="136">
        <v>25.442060000000001</v>
      </c>
      <c r="D12" s="136">
        <v>20.451070000000001</v>
      </c>
      <c r="E12" s="136">
        <v>17.694500000000001</v>
      </c>
    </row>
    <row r="13" spans="1:5" x14ac:dyDescent="0.2">
      <c r="A13" s="136" t="s">
        <v>173</v>
      </c>
      <c r="B13" s="136">
        <v>88.549599999999998</v>
      </c>
      <c r="C13" s="136">
        <v>111.3329</v>
      </c>
      <c r="D13" s="136">
        <v>81.968490000000003</v>
      </c>
      <c r="E13" s="136">
        <v>31.490849999999998</v>
      </c>
    </row>
    <row r="14" spans="1:5" x14ac:dyDescent="0.2">
      <c r="A14" s="136" t="s">
        <v>173</v>
      </c>
      <c r="B14" s="136">
        <v>107.726</v>
      </c>
      <c r="C14" s="136">
        <v>15.429320000000001</v>
      </c>
      <c r="D14" s="136">
        <v>174.75739999999999</v>
      </c>
      <c r="E14" s="136">
        <v>13.32428</v>
      </c>
    </row>
    <row r="15" spans="1:5" x14ac:dyDescent="0.2">
      <c r="A15" s="136" t="s">
        <v>173</v>
      </c>
      <c r="B15" s="136">
        <v>19.562830000000002</v>
      </c>
      <c r="C15" s="136">
        <v>68.768109999999993</v>
      </c>
      <c r="D15" s="136">
        <v>342.30399999999997</v>
      </c>
      <c r="E15" s="136">
        <v>14.595409999999999</v>
      </c>
    </row>
    <row r="16" spans="1:5" x14ac:dyDescent="0.2">
      <c r="A16" s="136" t="s">
        <v>173</v>
      </c>
      <c r="B16" s="136">
        <v>20.477270000000001</v>
      </c>
      <c r="C16" s="136">
        <v>12.294729999999999</v>
      </c>
      <c r="D16" s="136">
        <v>13.371449999999999</v>
      </c>
      <c r="E16" s="136">
        <v>4.4407839999999998</v>
      </c>
    </row>
    <row r="17" spans="1:5" x14ac:dyDescent="0.2">
      <c r="A17" s="136" t="s">
        <v>173</v>
      </c>
      <c r="B17" s="136">
        <v>78.857950000000002</v>
      </c>
      <c r="C17" s="136">
        <v>7.5863459999999998</v>
      </c>
      <c r="D17" s="136">
        <v>201.16399999999999</v>
      </c>
      <c r="E17" s="136">
        <v>1.6354470000000001</v>
      </c>
    </row>
    <row r="18" spans="1:5" x14ac:dyDescent="0.2">
      <c r="A18" s="136" t="s">
        <v>173</v>
      </c>
      <c r="B18" s="136">
        <v>147.79820000000001</v>
      </c>
      <c r="C18" s="136">
        <v>32.72784</v>
      </c>
      <c r="D18" s="136">
        <v>8.4929749999999995</v>
      </c>
      <c r="E18" s="136">
        <v>14.77237</v>
      </c>
    </row>
    <row r="19" spans="1:5" x14ac:dyDescent="0.2">
      <c r="A19" s="136" t="s">
        <v>173</v>
      </c>
      <c r="B19" s="136">
        <v>51.972790000000003</v>
      </c>
      <c r="C19" s="136">
        <v>49.076459999999997</v>
      </c>
      <c r="D19" s="136">
        <v>117.6357</v>
      </c>
      <c r="E19" s="136">
        <v>1.8696459999999999</v>
      </c>
    </row>
    <row r="20" spans="1:5" x14ac:dyDescent="0.2">
      <c r="A20" s="136" t="s">
        <v>173</v>
      </c>
      <c r="B20" s="136">
        <v>65.984170000000006</v>
      </c>
      <c r="C20" s="136">
        <v>31.10323</v>
      </c>
      <c r="D20" s="136">
        <v>63.986499999999999</v>
      </c>
      <c r="E20" s="136">
        <v>3.3481519999999998</v>
      </c>
    </row>
    <row r="21" spans="1:5" x14ac:dyDescent="0.2">
      <c r="A21" s="136" t="s">
        <v>173</v>
      </c>
      <c r="B21" s="136">
        <v>184.59049999999999</v>
      </c>
      <c r="C21" s="136">
        <v>38.971299999999999</v>
      </c>
      <c r="D21" s="136">
        <v>101.2178</v>
      </c>
      <c r="E21" s="136">
        <v>18.30828</v>
      </c>
    </row>
    <row r="22" spans="1:5" x14ac:dyDescent="0.2">
      <c r="A22" s="136" t="s">
        <v>173</v>
      </c>
      <c r="B22" s="136">
        <v>26.865739999999999</v>
      </c>
      <c r="C22" s="136">
        <v>78.372</v>
      </c>
      <c r="D22" s="136">
        <v>79.171030000000002</v>
      </c>
      <c r="E22" s="136">
        <v>4.6162799999999997</v>
      </c>
    </row>
    <row r="23" spans="1:5" x14ac:dyDescent="0.2">
      <c r="A23" s="136" t="s">
        <v>173</v>
      </c>
      <c r="B23" s="136">
        <v>205.82669999999999</v>
      </c>
      <c r="C23" s="136">
        <v>67.149789999999996</v>
      </c>
      <c r="D23" s="136">
        <v>63.057259999999999</v>
      </c>
      <c r="E23" s="136">
        <v>12.95337</v>
      </c>
    </row>
    <row r="24" spans="1:5" x14ac:dyDescent="0.2">
      <c r="A24" s="136" t="s">
        <v>173</v>
      </c>
      <c r="B24" s="136">
        <v>74.231530000000006</v>
      </c>
      <c r="C24" s="136">
        <v>16.591460000000001</v>
      </c>
      <c r="D24" s="136">
        <v>30.462689999999998</v>
      </c>
      <c r="E24" s="136">
        <v>9.2591079999999994</v>
      </c>
    </row>
    <row r="25" spans="1:5" x14ac:dyDescent="0.2">
      <c r="A25" s="136" t="s">
        <v>173</v>
      </c>
      <c r="B25" s="136">
        <v>66.101709999999997</v>
      </c>
      <c r="C25" s="136">
        <v>43.946660000000001</v>
      </c>
      <c r="D25" s="136">
        <v>71.014060000000001</v>
      </c>
      <c r="E25" s="136">
        <v>11.517429999999999</v>
      </c>
    </row>
    <row r="26" spans="1:5" x14ac:dyDescent="0.2">
      <c r="A26" s="136" t="s">
        <v>173</v>
      </c>
      <c r="B26" s="136">
        <v>2.5257499999999999</v>
      </c>
      <c r="C26" s="136">
        <v>24.472169999999998</v>
      </c>
      <c r="D26" s="136">
        <v>55.814210000000003</v>
      </c>
      <c r="E26" s="136">
        <v>14.367459999999999</v>
      </c>
    </row>
    <row r="27" spans="1:5" x14ac:dyDescent="0.2">
      <c r="A27" s="136" t="s">
        <v>173</v>
      </c>
      <c r="B27" s="136">
        <v>7.287496</v>
      </c>
      <c r="C27" s="136">
        <v>19.989260000000002</v>
      </c>
      <c r="D27" s="136">
        <v>36.830599999999997</v>
      </c>
      <c r="E27" s="136">
        <v>5.4878400000000003</v>
      </c>
    </row>
    <row r="28" spans="1:5" x14ac:dyDescent="0.2">
      <c r="A28" s="136" t="s">
        <v>173</v>
      </c>
      <c r="B28" s="136">
        <v>32.595570000000002</v>
      </c>
      <c r="C28" s="136">
        <v>109.4452</v>
      </c>
      <c r="D28" s="136">
        <v>8.1014610000000005</v>
      </c>
      <c r="E28" s="136">
        <v>14.103300000000001</v>
      </c>
    </row>
    <row r="29" spans="1:5" x14ac:dyDescent="0.2">
      <c r="A29" s="136" t="s">
        <v>173</v>
      </c>
      <c r="B29" s="136">
        <v>70.026390000000006</v>
      </c>
      <c r="C29" s="136">
        <v>63.836910000000003</v>
      </c>
      <c r="D29" s="136">
        <v>13.76572</v>
      </c>
      <c r="E29" s="136">
        <v>4.2746919999999999</v>
      </c>
    </row>
    <row r="30" spans="1:5" x14ac:dyDescent="0.2">
      <c r="A30" s="136" t="s">
        <v>173</v>
      </c>
      <c r="B30" s="136">
        <v>10.38321</v>
      </c>
      <c r="C30" s="136">
        <v>114.99120000000001</v>
      </c>
      <c r="D30" s="136">
        <v>57.708979999999997</v>
      </c>
      <c r="E30" s="136">
        <v>28.45823</v>
      </c>
    </row>
    <row r="31" spans="1:5" x14ac:dyDescent="0.2">
      <c r="A31" s="136" t="s">
        <v>173</v>
      </c>
      <c r="B31" s="136">
        <v>94.005899999999997</v>
      </c>
      <c r="C31" s="136">
        <v>72.219560000000001</v>
      </c>
      <c r="D31" s="136">
        <v>107.4161</v>
      </c>
      <c r="E31" s="136">
        <v>6.8059430000000001</v>
      </c>
    </row>
    <row r="32" spans="1:5" x14ac:dyDescent="0.2">
      <c r="A32" s="136" t="s">
        <v>173</v>
      </c>
      <c r="B32" s="136">
        <v>18.75226</v>
      </c>
      <c r="C32" s="136">
        <v>13.69248</v>
      </c>
      <c r="D32" s="136">
        <v>47.703139999999998</v>
      </c>
      <c r="E32" s="136">
        <v>21.173410000000001</v>
      </c>
    </row>
    <row r="33" spans="1:5" x14ac:dyDescent="0.2">
      <c r="A33" s="136" t="s">
        <v>173</v>
      </c>
      <c r="B33" s="136">
        <v>25.135770000000001</v>
      </c>
      <c r="C33" s="136">
        <v>89.733410000000006</v>
      </c>
      <c r="D33" s="136">
        <v>53.564540000000001</v>
      </c>
      <c r="E33" s="136">
        <v>23.979379999999999</v>
      </c>
    </row>
    <row r="34" spans="1:5" x14ac:dyDescent="0.2">
      <c r="A34" s="136" t="s">
        <v>173</v>
      </c>
      <c r="B34" s="136">
        <v>118.6164</v>
      </c>
      <c r="C34" s="136">
        <v>60.269669999999998</v>
      </c>
      <c r="D34" s="136">
        <v>57.882739999999998</v>
      </c>
      <c r="E34" s="136">
        <v>18.53633</v>
      </c>
    </row>
    <row r="35" spans="1:5" x14ac:dyDescent="0.2">
      <c r="A35" s="136" t="s">
        <v>173</v>
      </c>
      <c r="B35" s="136">
        <v>19.2986</v>
      </c>
      <c r="C35" s="136">
        <v>14.699389999999999</v>
      </c>
      <c r="D35" s="136">
        <v>25.129280000000001</v>
      </c>
      <c r="E35" s="136">
        <v>14.996930000000001</v>
      </c>
    </row>
    <row r="36" spans="1:5" x14ac:dyDescent="0.2">
      <c r="A36" s="136" t="s">
        <v>173</v>
      </c>
      <c r="B36" s="136">
        <v>496.4932</v>
      </c>
      <c r="C36" s="136">
        <v>1.200563</v>
      </c>
      <c r="D36" s="136">
        <v>81.100859999999997</v>
      </c>
      <c r="E36" s="136">
        <v>68.696759999999998</v>
      </c>
    </row>
    <row r="37" spans="1:5" x14ac:dyDescent="0.2">
      <c r="A37" s="136" t="s">
        <v>173</v>
      </c>
      <c r="B37" s="136">
        <v>11.541270000000001</v>
      </c>
      <c r="C37" s="136">
        <v>54.268479999999997</v>
      </c>
      <c r="D37" s="136">
        <v>29.786020000000001</v>
      </c>
      <c r="E37" s="136">
        <v>18.054040000000001</v>
      </c>
    </row>
    <row r="38" spans="1:5" x14ac:dyDescent="0.2">
      <c r="A38" s="136" t="s">
        <v>173</v>
      </c>
      <c r="B38" s="136">
        <v>62.434849999999997</v>
      </c>
      <c r="C38" s="136">
        <v>28.40971</v>
      </c>
      <c r="D38" s="136">
        <v>82.365549999999999</v>
      </c>
      <c r="E38" s="136">
        <v>8.008616</v>
      </c>
    </row>
    <row r="39" spans="1:5" x14ac:dyDescent="0.2">
      <c r="A39" s="136" t="s">
        <v>173</v>
      </c>
      <c r="B39" s="136">
        <v>132.35169999999999</v>
      </c>
      <c r="C39" s="136">
        <v>10.778549999999999</v>
      </c>
      <c r="D39" s="136">
        <v>58.574640000000002</v>
      </c>
      <c r="E39" s="136">
        <v>21.316389999999998</v>
      </c>
    </row>
    <row r="40" spans="1:5" x14ac:dyDescent="0.2">
      <c r="A40" s="136" t="s">
        <v>173</v>
      </c>
      <c r="B40" s="136">
        <v>64.823030000000003</v>
      </c>
      <c r="C40" s="136">
        <v>36.663449999999997</v>
      </c>
      <c r="D40" s="136">
        <v>10.0214</v>
      </c>
      <c r="E40" s="136">
        <v>10.065429999999999</v>
      </c>
    </row>
    <row r="41" spans="1:5" x14ac:dyDescent="0.2">
      <c r="A41" s="136" t="s">
        <v>173</v>
      </c>
      <c r="B41" s="136">
        <v>60.41621</v>
      </c>
      <c r="C41" s="136">
        <v>15.110110000000001</v>
      </c>
      <c r="D41" s="136">
        <v>60.239789999999999</v>
      </c>
      <c r="E41" s="136">
        <v>0.56171700000000002</v>
      </c>
    </row>
    <row r="42" spans="1:5" x14ac:dyDescent="0.2">
      <c r="A42" s="136" t="s">
        <v>173</v>
      </c>
      <c r="B42" s="136">
        <v>93.638660000000002</v>
      </c>
      <c r="C42" s="136">
        <v>68.675299999999993</v>
      </c>
      <c r="D42" s="136">
        <v>17.856529999999999</v>
      </c>
      <c r="E42" s="136">
        <v>31.9941</v>
      </c>
    </row>
    <row r="43" spans="1:5" x14ac:dyDescent="0.2">
      <c r="A43" s="136" t="s">
        <v>173</v>
      </c>
      <c r="B43" s="136">
        <v>25.729610000000001</v>
      </c>
      <c r="C43" s="136">
        <v>34.90352</v>
      </c>
      <c r="D43" s="136">
        <v>46.935809999999996</v>
      </c>
      <c r="E43" s="136">
        <v>1.317018</v>
      </c>
    </row>
    <row r="44" spans="1:5" x14ac:dyDescent="0.2">
      <c r="A44" s="136" t="s">
        <v>173</v>
      </c>
      <c r="B44" s="136">
        <v>239.30719999999999</v>
      </c>
      <c r="C44" s="136">
        <v>39.035789999999999</v>
      </c>
      <c r="D44" s="136">
        <v>57.306069999999998</v>
      </c>
      <c r="E44" s="136">
        <v>42.88794</v>
      </c>
    </row>
    <row r="45" spans="1:5" x14ac:dyDescent="0.2">
      <c r="A45" s="136" t="s">
        <v>173</v>
      </c>
      <c r="B45" s="136">
        <v>210.4419</v>
      </c>
      <c r="C45" s="136">
        <v>94.624030000000005</v>
      </c>
      <c r="D45" s="136">
        <v>23.778500000000001</v>
      </c>
      <c r="E45" s="136">
        <v>10.38622</v>
      </c>
    </row>
    <row r="46" spans="1:5" x14ac:dyDescent="0.2">
      <c r="A46" s="136" t="s">
        <v>173</v>
      </c>
      <c r="B46" s="136">
        <v>75.97645</v>
      </c>
      <c r="C46" s="136">
        <v>49.903419999999997</v>
      </c>
      <c r="D46" s="136">
        <v>55.532760000000003</v>
      </c>
      <c r="E46" s="136">
        <v>72.203559999999996</v>
      </c>
    </row>
    <row r="47" spans="1:5" x14ac:dyDescent="0.2">
      <c r="A47" s="136" t="s">
        <v>173</v>
      </c>
      <c r="B47" s="136">
        <v>27.11449</v>
      </c>
      <c r="C47" s="136">
        <v>38.059010000000001</v>
      </c>
      <c r="D47" s="136">
        <v>206.24170000000001</v>
      </c>
      <c r="E47" s="136">
        <v>5.2378939999999998</v>
      </c>
    </row>
    <row r="48" spans="1:5" x14ac:dyDescent="0.2">
      <c r="A48" s="136" t="s">
        <v>173</v>
      </c>
      <c r="B48" s="136">
        <v>9.9142250000000001</v>
      </c>
      <c r="C48" s="136">
        <v>68.165599999999998</v>
      </c>
      <c r="D48" s="136">
        <v>189.14879999999999</v>
      </c>
      <c r="E48" s="136">
        <v>8.1694110000000002</v>
      </c>
    </row>
    <row r="49" spans="1:5" x14ac:dyDescent="0.2">
      <c r="A49" s="136" t="s">
        <v>173</v>
      </c>
      <c r="B49" s="136">
        <v>14.298349999999999</v>
      </c>
      <c r="C49" s="136">
        <v>40.580089999999998</v>
      </c>
      <c r="D49" s="136">
        <v>58.14349</v>
      </c>
      <c r="E49" s="136">
        <v>4.8955209999999996</v>
      </c>
    </row>
    <row r="50" spans="1:5" x14ac:dyDescent="0.2">
      <c r="A50" s="136" t="s">
        <v>173</v>
      </c>
      <c r="B50" s="136">
        <v>36.598439999999997</v>
      </c>
      <c r="C50" s="136">
        <v>104.6443</v>
      </c>
      <c r="D50" s="136">
        <v>14.763059999999999</v>
      </c>
      <c r="E50" s="136">
        <v>36.218589999999999</v>
      </c>
    </row>
    <row r="51" spans="1:5" x14ac:dyDescent="0.2">
      <c r="A51" s="136" t="s">
        <v>173</v>
      </c>
      <c r="B51" s="136">
        <v>25.663430000000002</v>
      </c>
      <c r="C51" s="136">
        <v>59.728529999999999</v>
      </c>
      <c r="D51" s="136">
        <v>75.560019999999994</v>
      </c>
      <c r="E51" s="136">
        <v>15.54874</v>
      </c>
    </row>
    <row r="52" spans="1:5" x14ac:dyDescent="0.2">
      <c r="A52" s="136" t="s">
        <v>173</v>
      </c>
      <c r="B52" s="136">
        <v>54.160850000000003</v>
      </c>
      <c r="C52" s="136">
        <v>28.058710000000001</v>
      </c>
      <c r="D52" s="136">
        <v>99.116910000000004</v>
      </c>
      <c r="E52" s="136">
        <v>5.1496139999999997</v>
      </c>
    </row>
    <row r="53" spans="1:5" x14ac:dyDescent="0.2">
      <c r="A53" s="136" t="s">
        <v>173</v>
      </c>
      <c r="B53" s="136">
        <v>87.597930000000005</v>
      </c>
      <c r="C53" s="136">
        <v>33.841839999999998</v>
      </c>
      <c r="D53" s="136">
        <v>26.169709999999998</v>
      </c>
      <c r="E53" s="136">
        <v>0.80821699999999996</v>
      </c>
    </row>
    <row r="54" spans="1:5" x14ac:dyDescent="0.2">
      <c r="A54" s="136" t="s">
        <v>173</v>
      </c>
      <c r="B54" s="136">
        <v>49.31485</v>
      </c>
      <c r="C54" s="136">
        <v>80.651470000000003</v>
      </c>
      <c r="D54" s="136">
        <v>42.793370000000003</v>
      </c>
      <c r="E54" s="136">
        <v>9.5029140000000005</v>
      </c>
    </row>
    <row r="55" spans="1:5" x14ac:dyDescent="0.2">
      <c r="A55" s="136" t="s">
        <v>173</v>
      </c>
      <c r="B55" s="136">
        <v>164.0241</v>
      </c>
      <c r="C55" s="136">
        <v>35.424349999999997</v>
      </c>
      <c r="D55" s="136">
        <v>49.242240000000002</v>
      </c>
      <c r="E55" s="136">
        <v>12.920769999999999</v>
      </c>
    </row>
    <row r="56" spans="1:5" x14ac:dyDescent="0.2">
      <c r="A56" s="136" t="s">
        <v>173</v>
      </c>
      <c r="B56" s="136">
        <v>32.881520000000002</v>
      </c>
      <c r="C56" s="136">
        <v>99.663889999999995</v>
      </c>
      <c r="D56" s="136">
        <v>45.047080000000001</v>
      </c>
      <c r="E56" s="136">
        <v>4.9868680000000003</v>
      </c>
    </row>
    <row r="57" spans="1:5" x14ac:dyDescent="0.2">
      <c r="A57" s="136" t="s">
        <v>173</v>
      </c>
      <c r="B57" s="136">
        <v>25.345549999999999</v>
      </c>
      <c r="C57" s="136">
        <v>32.329940000000001</v>
      </c>
      <c r="D57" s="136">
        <v>62.41498</v>
      </c>
      <c r="E57" s="136">
        <v>7.2282469999999996</v>
      </c>
    </row>
    <row r="58" spans="1:5" x14ac:dyDescent="0.2">
      <c r="A58" s="136" t="s">
        <v>173</v>
      </c>
      <c r="B58" s="136">
        <v>21.282399999999999</v>
      </c>
      <c r="C58" s="136">
        <v>40.255429999999997</v>
      </c>
      <c r="D58" s="136">
        <v>18.65802</v>
      </c>
      <c r="E58" s="136">
        <v>11.05608</v>
      </c>
    </row>
    <row r="59" spans="1:5" x14ac:dyDescent="0.2">
      <c r="A59" s="136" t="s">
        <v>173</v>
      </c>
      <c r="B59" s="136">
        <v>57.012059999999998</v>
      </c>
      <c r="C59" s="136">
        <v>49.228999999999999</v>
      </c>
      <c r="D59" s="136">
        <v>136.0915</v>
      </c>
      <c r="E59" s="136">
        <v>25.834679999999999</v>
      </c>
    </row>
    <row r="60" spans="1:5" x14ac:dyDescent="0.2">
      <c r="A60" s="136" t="s">
        <v>173</v>
      </c>
      <c r="B60" s="136">
        <v>11.92496</v>
      </c>
      <c r="C60" s="136">
        <v>171.79570000000001</v>
      </c>
      <c r="D60" s="136">
        <v>99.405370000000005</v>
      </c>
      <c r="E60" s="136">
        <v>10.080579999999999</v>
      </c>
    </row>
    <row r="61" spans="1:5" x14ac:dyDescent="0.2">
      <c r="A61" s="136" t="s">
        <v>173</v>
      </c>
      <c r="B61" s="136">
        <v>63.181220000000003</v>
      </c>
      <c r="C61" s="136">
        <v>50.082189999999997</v>
      </c>
      <c r="D61" s="136">
        <v>246.4802</v>
      </c>
      <c r="E61" s="136">
        <v>45.997720000000001</v>
      </c>
    </row>
    <row r="62" spans="1:5" x14ac:dyDescent="0.2">
      <c r="A62" s="136" t="s">
        <v>173</v>
      </c>
      <c r="B62" s="136">
        <v>89.644099999999995</v>
      </c>
      <c r="C62" s="136">
        <v>75.377340000000004</v>
      </c>
      <c r="D62" s="136">
        <v>26.843689999999999</v>
      </c>
      <c r="E62" s="136">
        <v>5.9929819999999996</v>
      </c>
    </row>
    <row r="63" spans="1:5" x14ac:dyDescent="0.2">
      <c r="A63" s="136" t="s">
        <v>173</v>
      </c>
      <c r="B63" s="136">
        <v>111.37609999999999</v>
      </c>
      <c r="C63" s="136">
        <v>36.426639999999999</v>
      </c>
      <c r="D63" s="136">
        <v>149.46369999999999</v>
      </c>
      <c r="E63" s="136">
        <v>78.138729999999995</v>
      </c>
    </row>
    <row r="64" spans="1:5" x14ac:dyDescent="0.2">
      <c r="A64" s="136" t="s">
        <v>173</v>
      </c>
      <c r="B64" s="136">
        <v>10.37504</v>
      </c>
      <c r="C64" s="136">
        <v>39.711669999999998</v>
      </c>
      <c r="D64" s="136">
        <v>130.47749999999999</v>
      </c>
      <c r="E64" s="136">
        <v>1.26813</v>
      </c>
    </row>
    <row r="65" spans="1:5" x14ac:dyDescent="0.2">
      <c r="A65" s="136" t="s">
        <v>173</v>
      </c>
      <c r="B65" s="136">
        <v>7.5896150000000002</v>
      </c>
      <c r="C65" s="136">
        <v>21.032309999999999</v>
      </c>
      <c r="D65" s="136">
        <v>93.206919999999997</v>
      </c>
      <c r="E65" s="136">
        <v>32.84592</v>
      </c>
    </row>
    <row r="66" spans="1:5" x14ac:dyDescent="0.2">
      <c r="A66" s="136" t="s">
        <v>173</v>
      </c>
      <c r="B66" s="136">
        <v>71.478340000000003</v>
      </c>
      <c r="C66" s="136">
        <v>71.476380000000006</v>
      </c>
      <c r="D66" s="136">
        <v>115.5016</v>
      </c>
      <c r="E66" s="136">
        <v>2.7400660000000001</v>
      </c>
    </row>
    <row r="67" spans="1:5" x14ac:dyDescent="0.2">
      <c r="A67" s="136" t="s">
        <v>173</v>
      </c>
      <c r="B67" s="136">
        <v>23.05499</v>
      </c>
      <c r="C67" s="136">
        <v>20.122229999999998</v>
      </c>
      <c r="D67" s="136">
        <v>20.583390000000001</v>
      </c>
      <c r="E67" s="136">
        <v>1.3086390000000001</v>
      </c>
    </row>
    <row r="68" spans="1:5" x14ac:dyDescent="0.2">
      <c r="A68" s="136" t="s">
        <v>173</v>
      </c>
      <c r="B68" s="136">
        <v>160.79089999999999</v>
      </c>
      <c r="C68" s="136">
        <v>49.941279999999999</v>
      </c>
      <c r="D68" s="136">
        <v>16.062909999999999</v>
      </c>
      <c r="E68" s="136">
        <v>36.193100000000001</v>
      </c>
    </row>
    <row r="69" spans="1:5" x14ac:dyDescent="0.2">
      <c r="A69" s="136" t="s">
        <v>173</v>
      </c>
      <c r="B69" s="136">
        <v>32.113149999999997</v>
      </c>
      <c r="C69" s="136">
        <v>55.22871</v>
      </c>
      <c r="D69" s="136">
        <v>104.0609</v>
      </c>
      <c r="E69" s="136">
        <v>2.5318550000000002</v>
      </c>
    </row>
    <row r="70" spans="1:5" x14ac:dyDescent="0.2">
      <c r="A70" s="136" t="s">
        <v>173</v>
      </c>
      <c r="B70" s="136">
        <v>82.269859999999994</v>
      </c>
      <c r="C70" s="136">
        <v>64.835260000000005</v>
      </c>
      <c r="D70" s="136">
        <v>96.235470000000007</v>
      </c>
      <c r="E70" s="136">
        <v>16.282029999999999</v>
      </c>
    </row>
    <row r="71" spans="1:5" x14ac:dyDescent="0.2">
      <c r="A71" s="136" t="s">
        <v>173</v>
      </c>
      <c r="B71" s="136">
        <v>66.537580000000005</v>
      </c>
      <c r="C71" s="136">
        <v>41.878779999999999</v>
      </c>
      <c r="D71" s="136">
        <v>24.25573</v>
      </c>
      <c r="E71" s="136">
        <v>15.04679</v>
      </c>
    </row>
    <row r="72" spans="1:5" x14ac:dyDescent="0.2">
      <c r="A72" s="136" t="s">
        <v>173</v>
      </c>
      <c r="B72" s="136">
        <v>53.107810000000001</v>
      </c>
      <c r="C72" s="136">
        <v>94.127939999999995</v>
      </c>
      <c r="D72" s="136">
        <v>58.790430000000001</v>
      </c>
      <c r="E72" s="136">
        <v>7.2607299999999997</v>
      </c>
    </row>
    <row r="73" spans="1:5" x14ac:dyDescent="0.2">
      <c r="A73" s="136" t="s">
        <v>173</v>
      </c>
      <c r="B73" s="136">
        <v>26.470310000000001</v>
      </c>
      <c r="C73" s="136">
        <v>11.681139999999999</v>
      </c>
      <c r="D73" s="136">
        <v>66.795820000000006</v>
      </c>
      <c r="E73" s="136">
        <v>6.855391</v>
      </c>
    </row>
    <row r="74" spans="1:5" x14ac:dyDescent="0.2">
      <c r="A74" s="136" t="s">
        <v>173</v>
      </c>
      <c r="B74" s="136">
        <v>99.846279999999993</v>
      </c>
      <c r="C74" s="136">
        <v>12.83615</v>
      </c>
      <c r="D74" s="136">
        <v>33.468589999999999</v>
      </c>
      <c r="E74" s="136">
        <v>28.871580000000002</v>
      </c>
    </row>
    <row r="75" spans="1:5" x14ac:dyDescent="0.2">
      <c r="A75" s="136" t="s">
        <v>173</v>
      </c>
      <c r="B75" s="136">
        <v>25.553660000000001</v>
      </c>
      <c r="C75" s="136">
        <v>61.242829999999998</v>
      </c>
      <c r="D75" s="136">
        <v>189.41030000000001</v>
      </c>
      <c r="E75" s="136">
        <v>12.090249999999999</v>
      </c>
    </row>
    <row r="76" spans="1:5" x14ac:dyDescent="0.2">
      <c r="A76" s="136" t="s">
        <v>173</v>
      </c>
      <c r="B76" s="136">
        <v>20.566140000000001</v>
      </c>
      <c r="C76" s="136">
        <v>64.982659999999996</v>
      </c>
      <c r="D76" s="136">
        <v>122.09990000000001</v>
      </c>
      <c r="E76" s="136">
        <v>11.04979</v>
      </c>
    </row>
    <row r="77" spans="1:5" x14ac:dyDescent="0.2">
      <c r="A77" s="136" t="s">
        <v>173</v>
      </c>
      <c r="B77" s="136">
        <v>142.9529</v>
      </c>
      <c r="C77" s="136">
        <v>50.851500000000001</v>
      </c>
      <c r="D77" s="136">
        <v>45.220930000000003</v>
      </c>
      <c r="E77" s="136">
        <v>6.6934310000000004</v>
      </c>
    </row>
    <row r="78" spans="1:5" x14ac:dyDescent="0.2">
      <c r="A78" s="136" t="s">
        <v>173</v>
      </c>
      <c r="B78" s="136">
        <v>5.8346809999999998</v>
      </c>
      <c r="C78" s="136">
        <v>41.747929999999997</v>
      </c>
      <c r="D78" s="136">
        <v>77.449780000000004</v>
      </c>
      <c r="E78" s="136">
        <v>7.3791289999999998</v>
      </c>
    </row>
    <row r="79" spans="1:5" x14ac:dyDescent="0.2">
      <c r="A79" s="136" t="s">
        <v>173</v>
      </c>
      <c r="B79" s="136">
        <v>90.915909999999997</v>
      </c>
      <c r="C79" s="136">
        <v>10.36834</v>
      </c>
      <c r="D79" s="136">
        <v>72.266109999999998</v>
      </c>
      <c r="E79" s="136">
        <v>1.7544</v>
      </c>
    </row>
    <row r="80" spans="1:5" x14ac:dyDescent="0.2">
      <c r="A80" s="136" t="s">
        <v>173</v>
      </c>
      <c r="B80" s="136">
        <v>93.668390000000002</v>
      </c>
      <c r="C80" s="136">
        <v>31.976890000000001</v>
      </c>
      <c r="D80" s="136">
        <v>167.38460000000001</v>
      </c>
      <c r="E80" s="136">
        <v>14.248760000000001</v>
      </c>
    </row>
    <row r="81" spans="1:5" x14ac:dyDescent="0.2">
      <c r="A81" s="136" t="s">
        <v>173</v>
      </c>
      <c r="B81" s="136">
        <v>97.591009999999997</v>
      </c>
      <c r="C81" s="136">
        <v>44.948560000000001</v>
      </c>
      <c r="D81" s="136">
        <v>114.6054</v>
      </c>
      <c r="E81" s="136">
        <v>33.950499999999998</v>
      </c>
    </row>
    <row r="82" spans="1:5" x14ac:dyDescent="0.2">
      <c r="A82" s="136" t="s">
        <v>173</v>
      </c>
      <c r="B82" s="136">
        <v>59.318080000000002</v>
      </c>
      <c r="C82" s="136">
        <v>55.213889999999999</v>
      </c>
      <c r="D82" s="136">
        <v>82.753889999999998</v>
      </c>
      <c r="E82" s="136">
        <v>51.951819999999998</v>
      </c>
    </row>
    <row r="83" spans="1:5" x14ac:dyDescent="0.2">
      <c r="A83" s="136" t="s">
        <v>173</v>
      </c>
      <c r="B83" s="136">
        <v>20.323399999999999</v>
      </c>
      <c r="C83" s="136">
        <v>18.70046</v>
      </c>
      <c r="D83" s="136">
        <v>80.651309999999995</v>
      </c>
      <c r="E83" s="136">
        <v>4.8845720000000004</v>
      </c>
    </row>
    <row r="84" spans="1:5" x14ac:dyDescent="0.2">
      <c r="A84" s="136" t="s">
        <v>173</v>
      </c>
      <c r="B84" s="136">
        <v>23.685369999999999</v>
      </c>
      <c r="C84" s="136">
        <v>123.5198</v>
      </c>
      <c r="D84" s="136">
        <v>35.87735</v>
      </c>
      <c r="E84" s="136">
        <v>1.782497</v>
      </c>
    </row>
    <row r="85" spans="1:5" x14ac:dyDescent="0.2">
      <c r="A85" s="136" t="s">
        <v>173</v>
      </c>
      <c r="B85" s="136">
        <v>163.47980000000001</v>
      </c>
      <c r="C85" s="136">
        <v>12.17428</v>
      </c>
      <c r="D85" s="136">
        <v>52.712159999999997</v>
      </c>
      <c r="E85" s="136">
        <v>2.5952359999999999</v>
      </c>
    </row>
    <row r="86" spans="1:5" x14ac:dyDescent="0.2">
      <c r="A86" s="136" t="s">
        <v>173</v>
      </c>
      <c r="B86" s="136">
        <v>9.1754650000000009</v>
      </c>
      <c r="C86" s="136">
        <v>61.961480000000002</v>
      </c>
      <c r="D86" s="136">
        <v>35.42118</v>
      </c>
      <c r="E86" s="136">
        <v>7.8689900000000002</v>
      </c>
    </row>
    <row r="87" spans="1:5" x14ac:dyDescent="0.2">
      <c r="A87" s="136" t="s">
        <v>173</v>
      </c>
      <c r="B87" s="136">
        <v>11.98094</v>
      </c>
      <c r="C87" s="136">
        <v>52.489820000000002</v>
      </c>
      <c r="D87" s="136">
        <v>82.424769999999995</v>
      </c>
      <c r="E87" s="136">
        <v>18.22081</v>
      </c>
    </row>
    <row r="88" spans="1:5" x14ac:dyDescent="0.2">
      <c r="A88" s="136" t="s">
        <v>173</v>
      </c>
      <c r="B88" s="136">
        <v>21.402999999999999</v>
      </c>
      <c r="C88" s="136">
        <v>4.533817</v>
      </c>
      <c r="D88" s="136">
        <v>73.822999999999993</v>
      </c>
      <c r="E88" s="136">
        <v>8.5426970000000004</v>
      </c>
    </row>
    <row r="89" spans="1:5" x14ac:dyDescent="0.2">
      <c r="A89" s="136" t="s">
        <v>173</v>
      </c>
      <c r="B89" s="136">
        <v>83.160529999999994</v>
      </c>
      <c r="C89" s="136">
        <v>69.603920000000002</v>
      </c>
      <c r="D89" s="136">
        <v>148.2758</v>
      </c>
      <c r="E89" s="136">
        <v>47.901000000000003</v>
      </c>
    </row>
    <row r="90" spans="1:5" x14ac:dyDescent="0.2">
      <c r="A90" s="136" t="s">
        <v>173</v>
      </c>
      <c r="B90" s="136">
        <v>138.22120000000001</v>
      </c>
      <c r="C90" s="136">
        <v>145.0547</v>
      </c>
      <c r="D90" s="136">
        <v>8.5061590000000002</v>
      </c>
      <c r="E90" s="136">
        <v>8.4657839999999993</v>
      </c>
    </row>
    <row r="91" spans="1:5" x14ac:dyDescent="0.2">
      <c r="A91" s="136" t="s">
        <v>173</v>
      </c>
      <c r="B91" s="136">
        <v>115.94410000000001</v>
      </c>
      <c r="C91" s="136">
        <v>27.209</v>
      </c>
      <c r="D91" s="136">
        <v>90.064620000000005</v>
      </c>
      <c r="E91" s="136">
        <v>68.715530000000001</v>
      </c>
    </row>
    <row r="92" spans="1:5" x14ac:dyDescent="0.2">
      <c r="A92" s="136" t="s">
        <v>173</v>
      </c>
      <c r="B92" s="136">
        <v>93.068849999999998</v>
      </c>
      <c r="C92" s="136">
        <v>47.545470000000002</v>
      </c>
      <c r="D92" s="136">
        <v>42.794710000000002</v>
      </c>
      <c r="E92" s="136">
        <v>2.9786239999999999</v>
      </c>
    </row>
    <row r="93" spans="1:5" x14ac:dyDescent="0.2">
      <c r="A93" s="136" t="s">
        <v>173</v>
      </c>
      <c r="B93" s="136">
        <v>50.206099999999999</v>
      </c>
      <c r="C93" s="136">
        <v>44.168959999999998</v>
      </c>
      <c r="D93" s="136">
        <v>106.44710000000001</v>
      </c>
      <c r="E93" s="136">
        <v>18.763559999999998</v>
      </c>
    </row>
    <row r="94" spans="1:5" x14ac:dyDescent="0.2">
      <c r="A94" s="136" t="s">
        <v>173</v>
      </c>
      <c r="B94" s="136">
        <v>57.556019999999997</v>
      </c>
      <c r="C94" s="136">
        <v>58.893520000000002</v>
      </c>
      <c r="D94" s="136">
        <v>80.848699999999994</v>
      </c>
      <c r="E94" s="136">
        <v>0.42847299999999999</v>
      </c>
    </row>
    <row r="95" spans="1:5" x14ac:dyDescent="0.2">
      <c r="A95" s="136" t="s">
        <v>173</v>
      </c>
      <c r="B95" s="136">
        <v>7.1596669999999998</v>
      </c>
      <c r="C95" s="136">
        <v>34.258850000000002</v>
      </c>
      <c r="D95" s="136">
        <v>53.566859999999998</v>
      </c>
      <c r="E95" s="136">
        <v>4.3041900000000002</v>
      </c>
    </row>
    <row r="96" spans="1:5" x14ac:dyDescent="0.2">
      <c r="A96" s="136" t="s">
        <v>173</v>
      </c>
      <c r="B96" s="136">
        <v>37.799849999999999</v>
      </c>
      <c r="C96" s="136">
        <v>39.0152</v>
      </c>
      <c r="D96" s="136">
        <v>11.020569999999999</v>
      </c>
      <c r="E96" s="136">
        <v>6.8540029999999996</v>
      </c>
    </row>
    <row r="97" spans="1:5" x14ac:dyDescent="0.2">
      <c r="A97" s="136" t="s">
        <v>173</v>
      </c>
      <c r="B97" s="136">
        <v>104.0348</v>
      </c>
      <c r="C97" s="136">
        <v>14.8035</v>
      </c>
      <c r="D97" s="136">
        <v>50.157269999999997</v>
      </c>
      <c r="E97" s="136">
        <v>15.958780000000001</v>
      </c>
    </row>
    <row r="98" spans="1:5" x14ac:dyDescent="0.2">
      <c r="A98" s="136" t="s">
        <v>173</v>
      </c>
      <c r="B98" s="136">
        <v>93.253950000000003</v>
      </c>
      <c r="C98" s="136">
        <v>39.560519999999997</v>
      </c>
      <c r="D98" s="136">
        <v>108.01090000000001</v>
      </c>
      <c r="E98" s="136">
        <v>52.632570000000001</v>
      </c>
    </row>
    <row r="99" spans="1:5" x14ac:dyDescent="0.2">
      <c r="A99" s="136" t="s">
        <v>173</v>
      </c>
      <c r="B99" s="136">
        <v>122.7296</v>
      </c>
      <c r="C99" s="136">
        <v>86.737799999999993</v>
      </c>
      <c r="D99" s="136">
        <v>57.725059999999999</v>
      </c>
      <c r="E99" s="136">
        <v>2.7849599999999999</v>
      </c>
    </row>
    <row r="100" spans="1:5" x14ac:dyDescent="0.2">
      <c r="A100" s="136" t="s">
        <v>173</v>
      </c>
      <c r="B100" s="136">
        <v>47.288919999999997</v>
      </c>
      <c r="C100" s="136">
        <v>13.11814</v>
      </c>
      <c r="D100" s="136">
        <v>36.428919999999998</v>
      </c>
      <c r="E100" s="136">
        <v>22.58135</v>
      </c>
    </row>
    <row r="101" spans="1:5" x14ac:dyDescent="0.2">
      <c r="A101" s="136" t="s">
        <v>173</v>
      </c>
      <c r="B101" s="136">
        <v>190.2259</v>
      </c>
      <c r="C101" s="136">
        <v>56.271720000000002</v>
      </c>
      <c r="D101" s="136">
        <v>65.313569999999999</v>
      </c>
      <c r="E101" s="136">
        <v>1.3607610000000001</v>
      </c>
    </row>
    <row r="102" spans="1:5" x14ac:dyDescent="0.2">
      <c r="A102" s="136" t="s">
        <v>173</v>
      </c>
      <c r="B102" s="136">
        <v>32.782020000000003</v>
      </c>
      <c r="C102" s="136">
        <v>25.746880000000001</v>
      </c>
      <c r="D102" s="136">
        <v>20.569739999999999</v>
      </c>
      <c r="E102" s="136">
        <v>75.415700000000001</v>
      </c>
    </row>
    <row r="103" spans="1:5" x14ac:dyDescent="0.2">
      <c r="A103" s="136" t="s">
        <v>173</v>
      </c>
      <c r="B103" s="136">
        <v>51.120069999999998</v>
      </c>
      <c r="C103" s="136">
        <v>97.796980000000005</v>
      </c>
      <c r="D103" s="136">
        <v>9.2804839999999995</v>
      </c>
      <c r="E103" s="136">
        <v>6.1208030000000004</v>
      </c>
    </row>
    <row r="104" spans="1:5" x14ac:dyDescent="0.2">
      <c r="A104" s="136" t="s">
        <v>173</v>
      </c>
      <c r="B104" s="136">
        <v>150.7439</v>
      </c>
      <c r="C104" s="136">
        <v>40.666820000000001</v>
      </c>
      <c r="D104" s="136">
        <v>113.60039999999999</v>
      </c>
      <c r="E104" s="136">
        <v>0.41497600000000001</v>
      </c>
    </row>
    <row r="105" spans="1:5" x14ac:dyDescent="0.2">
      <c r="A105" s="136" t="s">
        <v>173</v>
      </c>
      <c r="B105" s="136">
        <v>92.149249999999995</v>
      </c>
      <c r="C105" s="136">
        <v>2.9317920000000002</v>
      </c>
      <c r="D105" s="136">
        <v>101.971</v>
      </c>
      <c r="E105" s="136">
        <v>34.405059999999999</v>
      </c>
    </row>
    <row r="106" spans="1:5" x14ac:dyDescent="0.2">
      <c r="A106" s="136" t="s">
        <v>173</v>
      </c>
      <c r="B106" s="136">
        <v>170.70339999999999</v>
      </c>
      <c r="C106" s="136">
        <v>15.877560000000001</v>
      </c>
      <c r="D106" s="136">
        <v>143.3612</v>
      </c>
      <c r="E106" s="136">
        <v>27.339980000000001</v>
      </c>
    </row>
    <row r="107" spans="1:5" x14ac:dyDescent="0.2">
      <c r="A107" s="136" t="s">
        <v>173</v>
      </c>
      <c r="B107" s="136">
        <v>24.807790000000001</v>
      </c>
      <c r="C107" s="136">
        <v>18.850200000000001</v>
      </c>
      <c r="D107" s="136">
        <v>15.03627</v>
      </c>
      <c r="E107" s="136">
        <v>84.550780000000003</v>
      </c>
    </row>
    <row r="108" spans="1:5" x14ac:dyDescent="0.2">
      <c r="A108" s="136" t="s">
        <v>173</v>
      </c>
      <c r="B108" s="136">
        <v>63.666739999999997</v>
      </c>
      <c r="C108" s="136">
        <v>21.581160000000001</v>
      </c>
      <c r="D108" s="136">
        <v>46.346420000000002</v>
      </c>
      <c r="E108" s="136">
        <v>13.95213</v>
      </c>
    </row>
    <row r="109" spans="1:5" x14ac:dyDescent="0.2">
      <c r="A109" s="136" t="s">
        <v>173</v>
      </c>
      <c r="B109" s="136">
        <v>80.857810000000001</v>
      </c>
      <c r="C109" s="136">
        <v>55.694299999999998</v>
      </c>
      <c r="D109" s="136">
        <v>70.867639999999994</v>
      </c>
      <c r="E109" s="136">
        <v>7.0077680000000004</v>
      </c>
    </row>
    <row r="110" spans="1:5" x14ac:dyDescent="0.2">
      <c r="A110" s="136" t="s">
        <v>173</v>
      </c>
      <c r="B110" s="136">
        <v>45.511249999999997</v>
      </c>
      <c r="C110" s="136">
        <v>5.9950159999999997</v>
      </c>
      <c r="D110" s="136">
        <v>48.025460000000002</v>
      </c>
      <c r="E110" s="136">
        <v>21.296410000000002</v>
      </c>
    </row>
    <row r="111" spans="1:5" x14ac:dyDescent="0.2">
      <c r="A111" s="136" t="s">
        <v>173</v>
      </c>
      <c r="B111" s="136">
        <v>26.985980000000001</v>
      </c>
      <c r="C111" s="136">
        <v>73.528580000000005</v>
      </c>
      <c r="D111" s="136">
        <v>11.438510000000001</v>
      </c>
      <c r="E111" s="136">
        <v>72.397210000000001</v>
      </c>
    </row>
    <row r="112" spans="1:5" x14ac:dyDescent="0.2">
      <c r="A112" s="136" t="s">
        <v>173</v>
      </c>
      <c r="B112" s="136">
        <v>240.60140000000001</v>
      </c>
      <c r="C112" s="136">
        <v>47.930430000000001</v>
      </c>
      <c r="D112" s="136">
        <v>9.7796620000000001</v>
      </c>
      <c r="E112" s="136">
        <v>57.428440000000002</v>
      </c>
    </row>
    <row r="113" spans="1:5" x14ac:dyDescent="0.2">
      <c r="A113" s="136" t="s">
        <v>173</v>
      </c>
      <c r="B113" s="136">
        <v>80.000609999999995</v>
      </c>
      <c r="C113" s="136">
        <v>39.148870000000002</v>
      </c>
      <c r="D113" s="136">
        <v>38.781210000000002</v>
      </c>
      <c r="E113" s="136">
        <v>30.845130000000001</v>
      </c>
    </row>
    <row r="114" spans="1:5" x14ac:dyDescent="0.2">
      <c r="A114" s="136" t="s">
        <v>173</v>
      </c>
      <c r="B114" s="136">
        <v>56.133600000000001</v>
      </c>
      <c r="C114" s="136">
        <v>45.013939999999998</v>
      </c>
      <c r="D114" s="136">
        <v>82.144199999999998</v>
      </c>
      <c r="E114" s="136">
        <v>4.6827560000000004</v>
      </c>
    </row>
    <row r="115" spans="1:5" x14ac:dyDescent="0.2">
      <c r="A115" s="136" t="s">
        <v>173</v>
      </c>
      <c r="B115" s="136">
        <v>145.27029999999999</v>
      </c>
      <c r="C115" s="136">
        <v>45.123649999999998</v>
      </c>
      <c r="D115" s="136">
        <v>105.7349</v>
      </c>
      <c r="E115" s="136">
        <v>15.18214</v>
      </c>
    </row>
    <row r="116" spans="1:5" x14ac:dyDescent="0.2">
      <c r="A116" s="136" t="s">
        <v>173</v>
      </c>
      <c r="B116" s="136">
        <v>44.235309999999998</v>
      </c>
      <c r="C116" s="136">
        <v>23.933209999999999</v>
      </c>
      <c r="D116" s="136">
        <v>100.3946</v>
      </c>
      <c r="E116" s="136">
        <v>4.0158649999999998</v>
      </c>
    </row>
    <row r="117" spans="1:5" x14ac:dyDescent="0.2">
      <c r="A117" s="136" t="s">
        <v>173</v>
      </c>
      <c r="B117" s="136">
        <v>112.85</v>
      </c>
      <c r="C117" s="136">
        <v>54.243569999999998</v>
      </c>
      <c r="D117" s="136">
        <v>24.647079999999999</v>
      </c>
      <c r="E117" s="136">
        <v>29.194680000000002</v>
      </c>
    </row>
    <row r="118" spans="1:5" x14ac:dyDescent="0.2">
      <c r="A118" s="136" t="s">
        <v>173</v>
      </c>
      <c r="B118" s="136">
        <v>98.124070000000003</v>
      </c>
      <c r="C118" s="136">
        <v>43.869790000000002</v>
      </c>
      <c r="D118" s="136">
        <v>16.04927</v>
      </c>
      <c r="E118" s="136">
        <v>76.449169999999995</v>
      </c>
    </row>
    <row r="119" spans="1:5" x14ac:dyDescent="0.2">
      <c r="A119" s="136" t="s">
        <v>173</v>
      </c>
      <c r="B119" s="136">
        <v>7.7940069999999997</v>
      </c>
      <c r="C119" s="136">
        <v>88.778700000000001</v>
      </c>
      <c r="D119" s="136">
        <v>28.330719999999999</v>
      </c>
      <c r="E119" s="136">
        <v>3.225346</v>
      </c>
    </row>
    <row r="120" spans="1:5" x14ac:dyDescent="0.2">
      <c r="A120" s="136" t="s">
        <v>173</v>
      </c>
      <c r="B120" s="136">
        <v>91.166920000000005</v>
      </c>
      <c r="C120" s="136">
        <v>29.102889999999999</v>
      </c>
      <c r="D120" s="136">
        <v>18.535900000000002</v>
      </c>
      <c r="E120" s="136">
        <v>12.141030000000001</v>
      </c>
    </row>
    <row r="121" spans="1:5" x14ac:dyDescent="0.2">
      <c r="A121" s="136" t="s">
        <v>173</v>
      </c>
      <c r="B121" s="136">
        <v>9.7297039999999999</v>
      </c>
      <c r="C121" s="136">
        <v>18.420629999999999</v>
      </c>
      <c r="D121" s="136">
        <v>8.4096829999999994</v>
      </c>
      <c r="E121" s="136">
        <v>18.519480000000001</v>
      </c>
    </row>
    <row r="122" spans="1:5" x14ac:dyDescent="0.2">
      <c r="A122" s="136" t="s">
        <v>173</v>
      </c>
      <c r="B122" s="136">
        <v>68.200959999999995</v>
      </c>
      <c r="C122" s="136">
        <v>41.783499999999997</v>
      </c>
      <c r="D122" s="136">
        <v>14.470840000000001</v>
      </c>
      <c r="E122" s="136">
        <v>18.10988</v>
      </c>
    </row>
    <row r="123" spans="1:5" x14ac:dyDescent="0.2">
      <c r="A123" s="136" t="s">
        <v>173</v>
      </c>
      <c r="B123" s="136">
        <v>138.0778</v>
      </c>
      <c r="C123" s="136">
        <v>81.275239999999997</v>
      </c>
      <c r="D123" s="136">
        <v>32.023000000000003</v>
      </c>
      <c r="E123" s="136">
        <v>8.3763330000000007</v>
      </c>
    </row>
    <row r="124" spans="1:5" x14ac:dyDescent="0.2">
      <c r="A124" s="136" t="s">
        <v>173</v>
      </c>
      <c r="B124" s="136">
        <v>121.9593</v>
      </c>
      <c r="C124" s="136">
        <v>13.65204</v>
      </c>
      <c r="D124" s="136">
        <v>32.317929999999997</v>
      </c>
      <c r="E124" s="136">
        <v>7.3898570000000001</v>
      </c>
    </row>
    <row r="125" spans="1:5" x14ac:dyDescent="0.2">
      <c r="A125" s="136" t="s">
        <v>173</v>
      </c>
      <c r="B125" s="136">
        <v>58.836939999999998</v>
      </c>
      <c r="C125" s="136">
        <v>17.083449999999999</v>
      </c>
      <c r="D125" s="136">
        <v>68.382499999999993</v>
      </c>
      <c r="E125" s="136">
        <v>79.653660000000002</v>
      </c>
    </row>
    <row r="126" spans="1:5" x14ac:dyDescent="0.2">
      <c r="A126" s="136" t="s">
        <v>173</v>
      </c>
      <c r="B126" s="136">
        <v>108.8875</v>
      </c>
      <c r="C126" s="136">
        <v>14.020810000000001</v>
      </c>
      <c r="D126" s="136">
        <v>91.693169999999995</v>
      </c>
      <c r="E126" s="136">
        <v>11.436719999999999</v>
      </c>
    </row>
    <row r="127" spans="1:5" x14ac:dyDescent="0.2">
      <c r="A127" s="136" t="s">
        <v>173</v>
      </c>
      <c r="B127" s="136">
        <v>16.058420000000002</v>
      </c>
      <c r="C127" s="136">
        <v>48.01746</v>
      </c>
      <c r="D127" s="136">
        <v>53.107790000000001</v>
      </c>
      <c r="E127" s="136">
        <v>30.44314</v>
      </c>
    </row>
    <row r="128" spans="1:5" x14ac:dyDescent="0.2">
      <c r="A128" s="136" t="s">
        <v>173</v>
      </c>
      <c r="B128" s="136">
        <v>28.303529999999999</v>
      </c>
      <c r="C128" s="136">
        <v>6.608028</v>
      </c>
      <c r="D128" s="136">
        <v>7.6635210000000002</v>
      </c>
      <c r="E128" s="136">
        <v>21.84432</v>
      </c>
    </row>
    <row r="129" spans="1:5" x14ac:dyDescent="0.2">
      <c r="A129" s="136" t="s">
        <v>173</v>
      </c>
      <c r="B129" s="136">
        <v>34.98077</v>
      </c>
      <c r="C129" s="136">
        <v>129.22999999999999</v>
      </c>
      <c r="D129" s="136">
        <v>56.781059999999997</v>
      </c>
      <c r="E129" s="136">
        <v>35.087809999999998</v>
      </c>
    </row>
    <row r="130" spans="1:5" x14ac:dyDescent="0.2">
      <c r="A130" s="136" t="s">
        <v>173</v>
      </c>
      <c r="B130" s="136">
        <v>36.756279999999997</v>
      </c>
      <c r="C130" s="136">
        <v>84.919790000000006</v>
      </c>
      <c r="D130" s="136">
        <v>70.071250000000006</v>
      </c>
      <c r="E130" s="136">
        <v>4.2315630000000004</v>
      </c>
    </row>
    <row r="131" spans="1:5" x14ac:dyDescent="0.2">
      <c r="A131" s="136" t="s">
        <v>173</v>
      </c>
      <c r="B131" s="136">
        <v>80.975520000000003</v>
      </c>
      <c r="C131" s="136">
        <v>95.219660000000005</v>
      </c>
      <c r="D131" s="136">
        <v>97.032049999999998</v>
      </c>
      <c r="E131" s="136">
        <v>13.339980000000001</v>
      </c>
    </row>
    <row r="132" spans="1:5" x14ac:dyDescent="0.2">
      <c r="A132" s="136" t="s">
        <v>173</v>
      </c>
      <c r="B132" s="136">
        <v>46.651139999999998</v>
      </c>
      <c r="C132" s="136">
        <v>49.02919</v>
      </c>
      <c r="D132" s="136">
        <v>118.9431</v>
      </c>
      <c r="E132" s="136">
        <v>19.458559999999999</v>
      </c>
    </row>
    <row r="133" spans="1:5" x14ac:dyDescent="0.2">
      <c r="A133" s="136" t="s">
        <v>173</v>
      </c>
      <c r="B133" s="136">
        <v>161.64660000000001</v>
      </c>
      <c r="C133" s="136">
        <v>8.7611159999999995</v>
      </c>
      <c r="D133" s="136">
        <v>63.383650000000003</v>
      </c>
      <c r="E133" s="136">
        <v>8.7728830000000002</v>
      </c>
    </row>
    <row r="134" spans="1:5" x14ac:dyDescent="0.2">
      <c r="A134" s="136" t="s">
        <v>173</v>
      </c>
      <c r="B134" s="136">
        <v>96.479050000000001</v>
      </c>
      <c r="C134" s="136">
        <v>105.6246</v>
      </c>
      <c r="D134" s="136">
        <v>292.94589999999999</v>
      </c>
      <c r="E134" s="136">
        <v>14.185829999999999</v>
      </c>
    </row>
    <row r="135" spans="1:5" x14ac:dyDescent="0.2">
      <c r="A135" s="136" t="s">
        <v>173</v>
      </c>
      <c r="B135" s="136">
        <v>93.467230000000001</v>
      </c>
      <c r="C135" s="136">
        <v>17.89894</v>
      </c>
      <c r="D135" s="136">
        <v>181.0308</v>
      </c>
      <c r="E135" s="136">
        <v>1.011099</v>
      </c>
    </row>
    <row r="136" spans="1:5" x14ac:dyDescent="0.2">
      <c r="A136" s="136" t="s">
        <v>173</v>
      </c>
      <c r="B136" s="136">
        <v>70.291939999999997</v>
      </c>
      <c r="C136" s="136">
        <v>141.82650000000001</v>
      </c>
      <c r="D136" s="136">
        <v>35.706429999999997</v>
      </c>
      <c r="E136" s="136">
        <v>8.2788540000000008</v>
      </c>
    </row>
    <row r="137" spans="1:5" x14ac:dyDescent="0.2">
      <c r="A137" s="136" t="s">
        <v>173</v>
      </c>
      <c r="B137" s="136">
        <v>61.344149999999999</v>
      </c>
      <c r="C137" s="136">
        <v>16.413450000000001</v>
      </c>
      <c r="D137" s="136">
        <v>55.786259999999999</v>
      </c>
      <c r="E137" s="136">
        <v>16.301739999999999</v>
      </c>
    </row>
    <row r="138" spans="1:5" x14ac:dyDescent="0.2">
      <c r="A138" s="136" t="s">
        <v>173</v>
      </c>
      <c r="B138" s="136">
        <v>63.691070000000003</v>
      </c>
      <c r="C138" s="136">
        <v>46.353340000000003</v>
      </c>
      <c r="D138" s="136">
        <v>50.487119999999997</v>
      </c>
      <c r="E138" s="136">
        <v>1.523593</v>
      </c>
    </row>
    <row r="139" spans="1:5" x14ac:dyDescent="0.2">
      <c r="A139" s="136" t="s">
        <v>173</v>
      </c>
      <c r="B139" s="136">
        <v>48.207250000000002</v>
      </c>
      <c r="C139" s="136">
        <v>75.770359999999997</v>
      </c>
      <c r="D139" s="136">
        <v>53.992609999999999</v>
      </c>
      <c r="E139" s="136">
        <v>4.7013309999999997</v>
      </c>
    </row>
    <row r="140" spans="1:5" x14ac:dyDescent="0.2">
      <c r="A140" s="136" t="s">
        <v>173</v>
      </c>
      <c r="B140" s="136">
        <v>7.0284430000000002</v>
      </c>
      <c r="C140" s="136">
        <v>35.255389999999998</v>
      </c>
      <c r="D140" s="136">
        <v>3.4735230000000001</v>
      </c>
      <c r="E140" s="136">
        <v>61.26511</v>
      </c>
    </row>
    <row r="141" spans="1:5" x14ac:dyDescent="0.2">
      <c r="A141" s="136" t="s">
        <v>173</v>
      </c>
      <c r="B141" s="136">
        <v>64.355130000000003</v>
      </c>
      <c r="C141" s="136">
        <v>69.982259999999997</v>
      </c>
      <c r="D141" s="136">
        <v>11.386570000000001</v>
      </c>
      <c r="E141" s="136">
        <v>15.069839999999999</v>
      </c>
    </row>
    <row r="142" spans="1:5" x14ac:dyDescent="0.2">
      <c r="A142" s="136" t="s">
        <v>173</v>
      </c>
      <c r="B142" s="136">
        <v>162.75659999999999</v>
      </c>
      <c r="C142" s="136">
        <v>29.12312</v>
      </c>
      <c r="D142" s="136">
        <v>27.177949999999999</v>
      </c>
      <c r="E142" s="136">
        <v>6.1993150000000004</v>
      </c>
    </row>
    <row r="143" spans="1:5" x14ac:dyDescent="0.2">
      <c r="A143" s="136" t="s">
        <v>173</v>
      </c>
      <c r="B143" s="136">
        <v>197.6756</v>
      </c>
      <c r="C143" s="136">
        <v>41.511319999999998</v>
      </c>
      <c r="D143" s="136">
        <v>79.855770000000007</v>
      </c>
      <c r="E143" s="136">
        <v>5.1156189999999997</v>
      </c>
    </row>
    <row r="144" spans="1:5" x14ac:dyDescent="0.2">
      <c r="A144" s="136" t="s">
        <v>173</v>
      </c>
      <c r="B144" s="136">
        <v>4.1509340000000003</v>
      </c>
      <c r="C144" s="136">
        <v>97.032160000000005</v>
      </c>
      <c r="D144" s="136">
        <v>55.026670000000003</v>
      </c>
      <c r="E144" s="136">
        <v>57.809310000000004</v>
      </c>
    </row>
    <row r="145" spans="1:5" x14ac:dyDescent="0.2">
      <c r="A145" s="136" t="s">
        <v>173</v>
      </c>
      <c r="B145" s="136">
        <v>51.388460000000002</v>
      </c>
      <c r="C145" s="136">
        <v>25.404540000000001</v>
      </c>
      <c r="D145" s="136">
        <v>191.67410000000001</v>
      </c>
      <c r="E145" s="136">
        <v>35.910580000000003</v>
      </c>
    </row>
    <row r="146" spans="1:5" x14ac:dyDescent="0.2">
      <c r="A146" s="136" t="s">
        <v>173</v>
      </c>
      <c r="B146" s="136">
        <v>26.967040000000001</v>
      </c>
      <c r="C146" s="136">
        <v>14.83554</v>
      </c>
      <c r="D146" s="136">
        <v>88.928939999999997</v>
      </c>
      <c r="E146" s="136">
        <v>10.796189999999999</v>
      </c>
    </row>
    <row r="147" spans="1:5" x14ac:dyDescent="0.2">
      <c r="A147" s="136" t="s">
        <v>173</v>
      </c>
      <c r="B147" s="136">
        <v>72.421220000000005</v>
      </c>
      <c r="C147" s="136">
        <v>45.996870000000001</v>
      </c>
      <c r="D147" s="136">
        <v>197.52170000000001</v>
      </c>
      <c r="E147" s="136">
        <v>8.7006080000000008</v>
      </c>
    </row>
    <row r="148" spans="1:5" x14ac:dyDescent="0.2">
      <c r="A148" s="136" t="s">
        <v>173</v>
      </c>
      <c r="B148" s="136">
        <v>60.790610000000001</v>
      </c>
      <c r="C148" s="136">
        <v>22.295059999999999</v>
      </c>
      <c r="D148" s="136">
        <v>130.9248</v>
      </c>
      <c r="E148" s="136">
        <v>24.177029999999998</v>
      </c>
    </row>
    <row r="149" spans="1:5" x14ac:dyDescent="0.2">
      <c r="A149" s="136" t="s">
        <v>173</v>
      </c>
      <c r="B149" s="136">
        <v>24.949280000000002</v>
      </c>
      <c r="C149" s="136">
        <v>37.697539999999996</v>
      </c>
      <c r="D149" s="136">
        <v>56.833129999999997</v>
      </c>
      <c r="E149" s="136">
        <v>5.8952260000000001</v>
      </c>
    </row>
    <row r="150" spans="1:5" x14ac:dyDescent="0.2">
      <c r="A150" s="136" t="s">
        <v>173</v>
      </c>
      <c r="B150" s="136">
        <v>40.335889999999999</v>
      </c>
      <c r="C150" s="136">
        <v>30.555479999999999</v>
      </c>
      <c r="D150" s="136">
        <v>53.359520000000003</v>
      </c>
      <c r="E150" s="136">
        <v>26.630009999999999</v>
      </c>
    </row>
    <row r="151" spans="1:5" x14ac:dyDescent="0.2">
      <c r="A151" s="136" t="s">
        <v>173</v>
      </c>
      <c r="B151" s="136">
        <v>26.451239999999999</v>
      </c>
      <c r="C151" s="136">
        <v>110.4941</v>
      </c>
      <c r="D151" s="136">
        <v>7.0714059999999996</v>
      </c>
      <c r="E151" s="136">
        <v>48.884810000000002</v>
      </c>
    </row>
    <row r="152" spans="1:5" x14ac:dyDescent="0.2">
      <c r="A152" s="136" t="s">
        <v>173</v>
      </c>
      <c r="B152" s="136">
        <v>14.776210000000001</v>
      </c>
      <c r="C152" s="136">
        <v>12.09064</v>
      </c>
      <c r="D152" s="136">
        <v>45.627569999999999</v>
      </c>
      <c r="E152" s="136">
        <v>6.3734250000000001</v>
      </c>
    </row>
    <row r="153" spans="1:5" x14ac:dyDescent="0.2">
      <c r="A153" s="136" t="s">
        <v>173</v>
      </c>
      <c r="B153" s="136">
        <v>89.752250000000004</v>
      </c>
      <c r="C153" s="136">
        <v>51.363379999999999</v>
      </c>
      <c r="D153" s="136">
        <v>491.1592</v>
      </c>
      <c r="E153" s="136">
        <v>15.433109999999999</v>
      </c>
    </row>
    <row r="154" spans="1:5" x14ac:dyDescent="0.2">
      <c r="A154" s="136" t="s">
        <v>173</v>
      </c>
      <c r="B154" s="136">
        <v>27.672170000000001</v>
      </c>
      <c r="C154" s="136">
        <v>33.785139999999998</v>
      </c>
      <c r="D154" s="136">
        <v>180.6601</v>
      </c>
      <c r="E154" s="136">
        <v>47.208410000000001</v>
      </c>
    </row>
    <row r="155" spans="1:5" x14ac:dyDescent="0.2">
      <c r="A155" s="136" t="s">
        <v>173</v>
      </c>
      <c r="B155" s="136">
        <v>3.129375</v>
      </c>
      <c r="C155" s="136">
        <v>37.416029999999999</v>
      </c>
      <c r="D155" s="136">
        <v>17.182960000000001</v>
      </c>
      <c r="E155" s="136">
        <v>20.441659999999999</v>
      </c>
    </row>
    <row r="156" spans="1:5" x14ac:dyDescent="0.2">
      <c r="A156" s="136" t="s">
        <v>173</v>
      </c>
      <c r="B156" s="136">
        <v>13.83893</v>
      </c>
      <c r="C156" s="136">
        <v>22.427759999999999</v>
      </c>
      <c r="D156" s="136">
        <v>79.852919999999997</v>
      </c>
      <c r="E156" s="136">
        <v>4.5392539999999997</v>
      </c>
    </row>
    <row r="157" spans="1:5" x14ac:dyDescent="0.2">
      <c r="A157" s="136" t="s">
        <v>173</v>
      </c>
      <c r="B157" s="136">
        <v>50.04213</v>
      </c>
      <c r="C157" s="136">
        <v>11.838900000000001</v>
      </c>
      <c r="D157" s="136">
        <v>119.3464</v>
      </c>
      <c r="E157" s="136">
        <v>13.27524</v>
      </c>
    </row>
    <row r="158" spans="1:5" x14ac:dyDescent="0.2">
      <c r="A158" s="136" t="s">
        <v>173</v>
      </c>
      <c r="B158" s="136">
        <v>7.6595120000000003</v>
      </c>
      <c r="C158" s="136">
        <v>71.210279999999997</v>
      </c>
      <c r="D158" s="136">
        <v>32.892299999999999</v>
      </c>
      <c r="E158" s="136">
        <v>20.645769999999999</v>
      </c>
    </row>
    <row r="159" spans="1:5" x14ac:dyDescent="0.2">
      <c r="A159" s="136" t="s">
        <v>173</v>
      </c>
      <c r="B159" s="136">
        <v>82.666060000000002</v>
      </c>
      <c r="C159" s="136">
        <v>25.99372</v>
      </c>
      <c r="D159" s="136">
        <v>92.146730000000005</v>
      </c>
      <c r="E159" s="136">
        <v>18.85848</v>
      </c>
    </row>
    <row r="160" spans="1:5" x14ac:dyDescent="0.2">
      <c r="A160" s="136" t="s">
        <v>173</v>
      </c>
      <c r="B160" s="136">
        <v>341.89269999999999</v>
      </c>
      <c r="C160" s="136">
        <v>34.769280000000002</v>
      </c>
      <c r="D160" s="136">
        <v>150.84219999999999</v>
      </c>
      <c r="E160" s="136">
        <v>85.457859999999997</v>
      </c>
    </row>
    <row r="161" spans="1:5" x14ac:dyDescent="0.2">
      <c r="A161" s="136" t="s">
        <v>173</v>
      </c>
      <c r="B161" s="136">
        <v>77.13767</v>
      </c>
      <c r="C161" s="136">
        <v>17.461870000000001</v>
      </c>
      <c r="D161" s="136">
        <v>17.987939999999998</v>
      </c>
      <c r="E161" s="136">
        <v>21.186499999999999</v>
      </c>
    </row>
    <row r="162" spans="1:5" x14ac:dyDescent="0.2">
      <c r="A162" s="136" t="s">
        <v>173</v>
      </c>
      <c r="B162" s="136">
        <v>40.12133</v>
      </c>
      <c r="C162" s="136">
        <v>43.024679999999996</v>
      </c>
      <c r="D162" s="136">
        <v>50.484639999999999</v>
      </c>
      <c r="E162" s="136">
        <v>32.083410000000001</v>
      </c>
    </row>
    <row r="163" spans="1:5" x14ac:dyDescent="0.2">
      <c r="A163" s="136" t="s">
        <v>173</v>
      </c>
      <c r="B163" s="136">
        <v>160.6104</v>
      </c>
      <c r="C163" s="136">
        <v>31.978899999999999</v>
      </c>
      <c r="D163" s="136">
        <v>108.00660000000001</v>
      </c>
      <c r="E163" s="136">
        <v>1.799949</v>
      </c>
    </row>
    <row r="164" spans="1:5" x14ac:dyDescent="0.2">
      <c r="A164" s="136" t="s">
        <v>173</v>
      </c>
      <c r="B164" s="136">
        <v>110.134</v>
      </c>
      <c r="C164" s="136">
        <v>15.91516</v>
      </c>
      <c r="D164" s="136">
        <v>21.809760000000001</v>
      </c>
      <c r="E164" s="136">
        <v>65.547269999999997</v>
      </c>
    </row>
    <row r="165" spans="1:5" x14ac:dyDescent="0.2">
      <c r="A165" s="136" t="s">
        <v>173</v>
      </c>
      <c r="B165" s="136">
        <v>265.39550000000003</v>
      </c>
      <c r="C165" s="136">
        <v>77.029120000000006</v>
      </c>
      <c r="D165" s="136">
        <v>129.68</v>
      </c>
      <c r="E165" s="136">
        <v>4.2307689999999996</v>
      </c>
    </row>
    <row r="166" spans="1:5" x14ac:dyDescent="0.2">
      <c r="A166" s="136" t="s">
        <v>173</v>
      </c>
      <c r="B166" s="136">
        <v>31.058959999999999</v>
      </c>
      <c r="C166" s="136">
        <v>45.486939999999997</v>
      </c>
      <c r="D166" s="136">
        <v>10.836220000000001</v>
      </c>
      <c r="E166" s="136">
        <v>13.24658</v>
      </c>
    </row>
    <row r="167" spans="1:5" x14ac:dyDescent="0.2">
      <c r="A167" s="136" t="s">
        <v>173</v>
      </c>
      <c r="B167" s="136">
        <v>38.350090000000002</v>
      </c>
      <c r="C167" s="136">
        <v>23.477679999999999</v>
      </c>
      <c r="D167" s="136">
        <v>33.370600000000003</v>
      </c>
      <c r="E167" s="136">
        <v>18.995909999999999</v>
      </c>
    </row>
    <row r="168" spans="1:5" x14ac:dyDescent="0.2">
      <c r="A168" s="136" t="s">
        <v>173</v>
      </c>
      <c r="B168" s="136">
        <v>15.279960000000001</v>
      </c>
      <c r="C168" s="136">
        <v>20.96922</v>
      </c>
      <c r="D168" s="136">
        <v>64.749570000000006</v>
      </c>
      <c r="E168" s="136">
        <v>79.757310000000004</v>
      </c>
    </row>
    <row r="169" spans="1:5" x14ac:dyDescent="0.2">
      <c r="A169" s="136" t="s">
        <v>173</v>
      </c>
      <c r="B169" s="136">
        <v>67.593890000000002</v>
      </c>
      <c r="C169" s="136">
        <v>54.99342</v>
      </c>
      <c r="D169" s="136">
        <v>76.235680000000002</v>
      </c>
      <c r="E169" s="136">
        <v>21.276150000000001</v>
      </c>
    </row>
    <row r="170" spans="1:5" x14ac:dyDescent="0.2">
      <c r="A170" s="136" t="s">
        <v>173</v>
      </c>
      <c r="B170" s="136">
        <v>45.818820000000002</v>
      </c>
      <c r="C170" s="136">
        <v>143.86160000000001</v>
      </c>
      <c r="D170" s="136">
        <v>226.95179999999999</v>
      </c>
      <c r="E170" s="136">
        <v>50.357790000000001</v>
      </c>
    </row>
    <row r="171" spans="1:5" x14ac:dyDescent="0.2">
      <c r="A171" s="136" t="s">
        <v>173</v>
      </c>
      <c r="B171" s="136">
        <v>33.004069999999999</v>
      </c>
      <c r="C171" s="136">
        <v>41.623159999999999</v>
      </c>
      <c r="D171" s="136">
        <v>34.250779999999999</v>
      </c>
      <c r="E171" s="136">
        <v>16.223469999999999</v>
      </c>
    </row>
    <row r="172" spans="1:5" x14ac:dyDescent="0.2">
      <c r="A172" s="136" t="s">
        <v>173</v>
      </c>
      <c r="B172" s="136">
        <v>78.540559999999999</v>
      </c>
      <c r="C172" s="136">
        <v>7.5748800000000003</v>
      </c>
      <c r="D172" s="136">
        <v>85.884979999999999</v>
      </c>
      <c r="E172" s="136">
        <v>12.833299999999999</v>
      </c>
    </row>
    <row r="173" spans="1:5" x14ac:dyDescent="0.2">
      <c r="A173" s="136" t="s">
        <v>173</v>
      </c>
      <c r="B173" s="136">
        <v>8.4899059999999995</v>
      </c>
      <c r="C173" s="136">
        <v>90.220560000000006</v>
      </c>
      <c r="D173" s="136">
        <v>65.881060000000005</v>
      </c>
      <c r="E173" s="136">
        <v>79.620750000000001</v>
      </c>
    </row>
    <row r="174" spans="1:5" x14ac:dyDescent="0.2">
      <c r="A174" s="136" t="s">
        <v>173</v>
      </c>
      <c r="B174" s="136">
        <v>52.970010000000002</v>
      </c>
      <c r="C174" s="136">
        <v>43.850470000000001</v>
      </c>
      <c r="D174" s="136">
        <v>26.081769999999999</v>
      </c>
      <c r="E174" s="136">
        <v>52.570189999999997</v>
      </c>
    </row>
    <row r="175" spans="1:5" x14ac:dyDescent="0.2">
      <c r="A175" s="136" t="s">
        <v>173</v>
      </c>
      <c r="B175" s="136">
        <v>33.826590000000003</v>
      </c>
      <c r="C175" s="136">
        <v>20.503740000000001</v>
      </c>
      <c r="D175" s="136">
        <v>6.1016979999999998</v>
      </c>
      <c r="E175" s="136">
        <v>6.1227900000000002</v>
      </c>
    </row>
    <row r="176" spans="1:5" x14ac:dyDescent="0.2">
      <c r="A176" s="136" t="s">
        <v>173</v>
      </c>
      <c r="B176" s="136">
        <v>50.168840000000003</v>
      </c>
      <c r="C176" s="136">
        <v>11.80584</v>
      </c>
      <c r="D176" s="136">
        <v>49.377780000000001</v>
      </c>
      <c r="E176" s="136">
        <v>54.63167</v>
      </c>
    </row>
    <row r="177" spans="1:5" x14ac:dyDescent="0.2">
      <c r="A177" s="136" t="s">
        <v>173</v>
      </c>
      <c r="B177" s="136">
        <v>154.35310000000001</v>
      </c>
      <c r="C177" s="136">
        <v>49.039879999999997</v>
      </c>
      <c r="D177" s="136">
        <v>179.57939999999999</v>
      </c>
      <c r="E177" s="136">
        <v>13.54388</v>
      </c>
    </row>
    <row r="178" spans="1:5" x14ac:dyDescent="0.2">
      <c r="A178" s="136" t="s">
        <v>173</v>
      </c>
      <c r="B178" s="136">
        <v>22.504580000000001</v>
      </c>
      <c r="C178" s="136">
        <v>44.983530000000002</v>
      </c>
      <c r="D178" s="136">
        <v>62.900530000000003</v>
      </c>
      <c r="E178" s="136">
        <v>26.097799999999999</v>
      </c>
    </row>
    <row r="179" spans="1:5" x14ac:dyDescent="0.2">
      <c r="A179" s="136" t="s">
        <v>173</v>
      </c>
      <c r="B179" s="136">
        <v>69.987560000000002</v>
      </c>
      <c r="C179" s="136">
        <v>41.069589999999998</v>
      </c>
      <c r="D179" s="136">
        <v>18.372319999999998</v>
      </c>
      <c r="E179" s="136">
        <v>9.4699190000000009</v>
      </c>
    </row>
    <row r="180" spans="1:5" x14ac:dyDescent="0.2">
      <c r="A180" s="136" t="s">
        <v>173</v>
      </c>
      <c r="B180" s="136">
        <v>135.5181</v>
      </c>
      <c r="C180" s="136">
        <v>15.98789</v>
      </c>
      <c r="D180" s="136">
        <v>169.9769</v>
      </c>
      <c r="E180" s="136">
        <v>36.739600000000003</v>
      </c>
    </row>
    <row r="181" spans="1:5" x14ac:dyDescent="0.2">
      <c r="A181" s="136" t="s">
        <v>173</v>
      </c>
      <c r="B181" s="136">
        <v>188.03319999999999</v>
      </c>
      <c r="C181" s="136">
        <v>69.236270000000005</v>
      </c>
      <c r="D181" s="136">
        <v>23.556640000000002</v>
      </c>
      <c r="E181" s="136">
        <v>19.589300000000001</v>
      </c>
    </row>
    <row r="182" spans="1:5" x14ac:dyDescent="0.2">
      <c r="A182" s="136" t="s">
        <v>173</v>
      </c>
      <c r="B182" s="136">
        <v>32.774320000000003</v>
      </c>
      <c r="C182" s="136">
        <v>12.581160000000001</v>
      </c>
      <c r="D182" s="136">
        <v>78.585239999999999</v>
      </c>
      <c r="E182" s="136">
        <v>5.9499620000000002</v>
      </c>
    </row>
    <row r="183" spans="1:5" x14ac:dyDescent="0.2">
      <c r="A183" s="136" t="s">
        <v>173</v>
      </c>
      <c r="B183" s="136">
        <v>71.544349999999994</v>
      </c>
      <c r="C183" s="136">
        <v>79.891769999999994</v>
      </c>
      <c r="D183" s="136">
        <v>3.0049049999999999</v>
      </c>
      <c r="E183" s="136">
        <v>11.088520000000001</v>
      </c>
    </row>
    <row r="184" spans="1:5" x14ac:dyDescent="0.2">
      <c r="A184" s="136" t="s">
        <v>173</v>
      </c>
      <c r="B184" s="136">
        <v>59.392029999999998</v>
      </c>
      <c r="C184" s="136">
        <v>14.811780000000001</v>
      </c>
      <c r="D184" s="136">
        <v>10.99718</v>
      </c>
      <c r="E184" s="136">
        <v>14.25426</v>
      </c>
    </row>
    <row r="185" spans="1:5" x14ac:dyDescent="0.2">
      <c r="A185" s="136" t="s">
        <v>173</v>
      </c>
      <c r="B185" s="136">
        <v>7.2995910000000004</v>
      </c>
      <c r="C185" s="136">
        <v>15.35003</v>
      </c>
      <c r="D185" s="136">
        <v>74.084959999999995</v>
      </c>
      <c r="E185" s="136">
        <v>10.368209999999999</v>
      </c>
    </row>
    <row r="186" spans="1:5" x14ac:dyDescent="0.2">
      <c r="A186" s="136" t="s">
        <v>173</v>
      </c>
      <c r="B186" s="136">
        <v>93.569389999999999</v>
      </c>
      <c r="C186" s="136">
        <v>27.267379999999999</v>
      </c>
      <c r="D186" s="136">
        <v>96.383660000000006</v>
      </c>
      <c r="E186" s="136">
        <v>40.695270000000001</v>
      </c>
    </row>
    <row r="187" spans="1:5" x14ac:dyDescent="0.2">
      <c r="A187" s="136" t="s">
        <v>173</v>
      </c>
      <c r="B187" s="136">
        <v>60.88476</v>
      </c>
      <c r="C187" s="136">
        <v>28.295179999999998</v>
      </c>
      <c r="D187" s="136">
        <v>11.84761</v>
      </c>
      <c r="E187" s="136">
        <v>7.743957</v>
      </c>
    </row>
    <row r="188" spans="1:5" x14ac:dyDescent="0.2">
      <c r="A188" s="136" t="s">
        <v>173</v>
      </c>
      <c r="B188" s="136">
        <v>49.961440000000003</v>
      </c>
      <c r="C188" s="136">
        <v>94.574250000000006</v>
      </c>
      <c r="D188" s="136">
        <v>123.2831</v>
      </c>
      <c r="E188" s="136">
        <v>17.43723</v>
      </c>
    </row>
    <row r="189" spans="1:5" x14ac:dyDescent="0.2">
      <c r="A189" s="136" t="s">
        <v>173</v>
      </c>
      <c r="B189" s="136">
        <v>87.81223</v>
      </c>
      <c r="C189" s="136">
        <v>19.324999999999999</v>
      </c>
      <c r="D189" s="136">
        <v>53.921729999999997</v>
      </c>
      <c r="E189" s="136">
        <v>18.931899999999999</v>
      </c>
    </row>
    <row r="190" spans="1:5" x14ac:dyDescent="0.2">
      <c r="A190" s="136" t="s">
        <v>173</v>
      </c>
      <c r="B190" s="136">
        <v>27.850909999999999</v>
      </c>
      <c r="C190" s="136">
        <v>69.474720000000005</v>
      </c>
      <c r="D190" s="136">
        <v>314.47250000000003</v>
      </c>
      <c r="E190" s="136">
        <v>13.67798</v>
      </c>
    </row>
    <row r="191" spans="1:5" x14ac:dyDescent="0.2">
      <c r="A191" s="136" t="s">
        <v>173</v>
      </c>
      <c r="B191" s="136">
        <v>84.712310000000002</v>
      </c>
      <c r="C191" s="136">
        <v>48.722760000000001</v>
      </c>
      <c r="D191" s="136">
        <v>75.722639999999998</v>
      </c>
      <c r="E191" s="136">
        <v>8.7239830000000005</v>
      </c>
    </row>
    <row r="192" spans="1:5" x14ac:dyDescent="0.2">
      <c r="A192" s="136" t="s">
        <v>173</v>
      </c>
      <c r="B192" s="136">
        <v>73.023660000000007</v>
      </c>
      <c r="C192" s="136">
        <v>47.466799999999999</v>
      </c>
      <c r="D192" s="136">
        <v>116.88979999999999</v>
      </c>
      <c r="E192" s="136">
        <v>22.370909999999999</v>
      </c>
    </row>
    <row r="193" spans="1:5" x14ac:dyDescent="0.2">
      <c r="A193" s="136" t="s">
        <v>173</v>
      </c>
      <c r="B193" s="136">
        <v>40.491390000000003</v>
      </c>
      <c r="C193" s="136">
        <v>40.259529999999998</v>
      </c>
      <c r="D193" s="136">
        <v>113.7697</v>
      </c>
      <c r="E193" s="136">
        <v>8.0901429999999994</v>
      </c>
    </row>
    <row r="194" spans="1:5" x14ac:dyDescent="0.2">
      <c r="A194" s="136" t="s">
        <v>173</v>
      </c>
      <c r="B194" s="136">
        <v>66.463970000000003</v>
      </c>
      <c r="C194" s="136">
        <v>21.660260000000001</v>
      </c>
      <c r="D194" s="136">
        <v>75.272229999999993</v>
      </c>
      <c r="E194" s="136">
        <v>12.394959999999999</v>
      </c>
    </row>
    <row r="195" spans="1:5" x14ac:dyDescent="0.2">
      <c r="A195" s="136" t="s">
        <v>173</v>
      </c>
      <c r="B195" s="136">
        <v>48.231859999999998</v>
      </c>
      <c r="C195" s="136">
        <v>50.094079999999998</v>
      </c>
      <c r="D195" s="136">
        <v>34.75027</v>
      </c>
      <c r="E195" s="136">
        <v>42.528460000000003</v>
      </c>
    </row>
    <row r="196" spans="1:5" x14ac:dyDescent="0.2">
      <c r="A196" s="136" t="s">
        <v>173</v>
      </c>
      <c r="B196" s="136">
        <v>176.94569999999999</v>
      </c>
      <c r="C196" s="136">
        <v>56.745199999999997</v>
      </c>
      <c r="D196" s="136">
        <v>233.86320000000001</v>
      </c>
      <c r="E196" s="136">
        <v>11.47658</v>
      </c>
    </row>
    <row r="197" spans="1:5" x14ac:dyDescent="0.2">
      <c r="A197" s="136" t="s">
        <v>173</v>
      </c>
      <c r="B197" s="136">
        <v>145.4393</v>
      </c>
      <c r="C197" s="136">
        <v>14.0259</v>
      </c>
      <c r="D197" s="136">
        <v>199.0044</v>
      </c>
      <c r="E197" s="136">
        <v>17.609929999999999</v>
      </c>
    </row>
    <row r="198" spans="1:5" x14ac:dyDescent="0.2">
      <c r="A198" s="136" t="s">
        <v>173</v>
      </c>
      <c r="B198" s="136">
        <v>236.9914</v>
      </c>
      <c r="C198" s="136">
        <v>77.829070000000002</v>
      </c>
      <c r="D198" s="136">
        <v>94.138220000000004</v>
      </c>
      <c r="E198" s="136">
        <v>35.325490000000002</v>
      </c>
    </row>
    <row r="199" spans="1:5" x14ac:dyDescent="0.2">
      <c r="A199" s="136" t="s">
        <v>173</v>
      </c>
      <c r="B199" s="136">
        <v>91.176760000000002</v>
      </c>
      <c r="C199" s="136">
        <v>55.04607</v>
      </c>
      <c r="D199" s="136">
        <v>86.775509999999997</v>
      </c>
      <c r="E199" s="136">
        <v>20.058430000000001</v>
      </c>
    </row>
    <row r="200" spans="1:5" x14ac:dyDescent="0.2">
      <c r="A200" s="136" t="s">
        <v>173</v>
      </c>
      <c r="B200" s="136">
        <v>62.943089999999998</v>
      </c>
      <c r="C200" s="136">
        <v>79.349440000000001</v>
      </c>
      <c r="D200" s="136">
        <v>10.128209999999999</v>
      </c>
      <c r="E200" s="136">
        <v>5.028276</v>
      </c>
    </row>
    <row r="201" spans="1:5" x14ac:dyDescent="0.2">
      <c r="A201" s="136" t="s">
        <v>173</v>
      </c>
      <c r="B201" s="136">
        <v>36.865699999999997</v>
      </c>
      <c r="C201" s="136">
        <v>2.5722749999999999</v>
      </c>
      <c r="D201" s="136">
        <v>37.761769999999999</v>
      </c>
      <c r="E201" s="136">
        <v>8.9995019999999997</v>
      </c>
    </row>
    <row r="202" spans="1:5" x14ac:dyDescent="0.2">
      <c r="A202" s="136" t="s">
        <v>173</v>
      </c>
      <c r="B202" s="136">
        <v>51.197180000000003</v>
      </c>
      <c r="C202" s="136">
        <v>42.455419999999997</v>
      </c>
      <c r="D202" s="136">
        <v>87.934939999999997</v>
      </c>
      <c r="E202" s="136">
        <v>9.2740259999999992</v>
      </c>
    </row>
    <row r="203" spans="1:5" x14ac:dyDescent="0.2">
      <c r="A203" s="136" t="s">
        <v>173</v>
      </c>
      <c r="B203" s="136">
        <v>54.378250000000001</v>
      </c>
      <c r="C203" s="136">
        <v>66.941779999999994</v>
      </c>
      <c r="D203" s="136">
        <v>32.833260000000003</v>
      </c>
      <c r="E203" s="136">
        <v>44.479030000000002</v>
      </c>
    </row>
    <row r="204" spans="1:5" x14ac:dyDescent="0.2">
      <c r="A204" s="136" t="s">
        <v>173</v>
      </c>
      <c r="B204" s="136">
        <v>92.096199999999996</v>
      </c>
      <c r="C204" s="136">
        <v>80.679829999999995</v>
      </c>
      <c r="D204" s="136">
        <v>39.49344</v>
      </c>
      <c r="E204" s="136">
        <v>0.90183899999999995</v>
      </c>
    </row>
    <row r="205" spans="1:5" x14ac:dyDescent="0.2">
      <c r="A205" s="136" t="s">
        <v>173</v>
      </c>
      <c r="B205" s="136">
        <v>55.31315</v>
      </c>
      <c r="C205" s="136">
        <v>15.1982</v>
      </c>
      <c r="D205" s="136">
        <v>18.203420000000001</v>
      </c>
      <c r="E205" s="136">
        <v>5.3922460000000001</v>
      </c>
    </row>
    <row r="206" spans="1:5" x14ac:dyDescent="0.2">
      <c r="A206" s="136" t="s">
        <v>173</v>
      </c>
      <c r="B206" s="136">
        <v>72.402569999999997</v>
      </c>
      <c r="C206" s="136">
        <v>25.748529999999999</v>
      </c>
      <c r="D206" s="136">
        <v>108.6653</v>
      </c>
      <c r="E206" s="136">
        <v>4.2505680000000003</v>
      </c>
    </row>
    <row r="207" spans="1:5" x14ac:dyDescent="0.2">
      <c r="A207" s="136" t="s">
        <v>173</v>
      </c>
      <c r="B207" s="136">
        <v>144.5112</v>
      </c>
      <c r="C207" s="136">
        <v>30.067150000000002</v>
      </c>
      <c r="D207" s="136">
        <v>43.039589999999997</v>
      </c>
      <c r="E207" s="136">
        <v>45.583590000000001</v>
      </c>
    </row>
    <row r="208" spans="1:5" x14ac:dyDescent="0.2">
      <c r="A208" s="136" t="s">
        <v>173</v>
      </c>
      <c r="B208" s="136">
        <v>41.275019999999998</v>
      </c>
      <c r="C208" s="136">
        <v>13.562469999999999</v>
      </c>
      <c r="D208" s="136">
        <v>28.225909999999999</v>
      </c>
      <c r="E208" s="136">
        <v>5.3242019999999997</v>
      </c>
    </row>
    <row r="209" spans="1:5" x14ac:dyDescent="0.2">
      <c r="A209" s="136" t="s">
        <v>173</v>
      </c>
      <c r="B209" s="136">
        <v>280.49180000000001</v>
      </c>
      <c r="C209" s="136">
        <v>31.146850000000001</v>
      </c>
      <c r="D209" s="136">
        <v>28.84207</v>
      </c>
      <c r="E209" s="136">
        <v>6.3860320000000002</v>
      </c>
    </row>
    <row r="210" spans="1:5" x14ac:dyDescent="0.2">
      <c r="A210" s="136" t="s">
        <v>173</v>
      </c>
      <c r="B210" s="136">
        <v>61.636229999999998</v>
      </c>
      <c r="C210" s="136">
        <v>29.513539999999999</v>
      </c>
      <c r="D210" s="136">
        <v>77.344849999999994</v>
      </c>
      <c r="E210" s="136">
        <v>64.810029999999998</v>
      </c>
    </row>
    <row r="211" spans="1:5" x14ac:dyDescent="0.2">
      <c r="A211" s="136" t="s">
        <v>173</v>
      </c>
      <c r="B211" s="136">
        <v>28.918659999999999</v>
      </c>
      <c r="C211" s="136">
        <v>18.004149999999999</v>
      </c>
      <c r="D211" s="136">
        <v>35.004730000000002</v>
      </c>
      <c r="E211" s="136">
        <v>11.15859</v>
      </c>
    </row>
    <row r="212" spans="1:5" x14ac:dyDescent="0.2">
      <c r="A212" s="136" t="s">
        <v>173</v>
      </c>
      <c r="B212" s="136">
        <v>19.652640000000002</v>
      </c>
      <c r="C212" s="136">
        <v>22.706479999999999</v>
      </c>
      <c r="D212" s="136">
        <v>51.386009999999999</v>
      </c>
      <c r="E212" s="136">
        <v>5.4214399999999996</v>
      </c>
    </row>
    <row r="213" spans="1:5" x14ac:dyDescent="0.2">
      <c r="A213" s="136" t="s">
        <v>173</v>
      </c>
      <c r="B213" s="136">
        <v>145.85310000000001</v>
      </c>
      <c r="C213" s="136">
        <v>11.78533</v>
      </c>
      <c r="D213" s="136">
        <v>150.49680000000001</v>
      </c>
      <c r="E213" s="136">
        <v>21.153949999999998</v>
      </c>
    </row>
    <row r="214" spans="1:5" x14ac:dyDescent="0.2">
      <c r="A214" s="136" t="s">
        <v>173</v>
      </c>
      <c r="B214" s="136">
        <v>16.117339999999999</v>
      </c>
      <c r="C214" s="136">
        <v>92.068759999999997</v>
      </c>
      <c r="D214" s="136">
        <v>12.886060000000001</v>
      </c>
      <c r="E214" s="136">
        <v>20.5014</v>
      </c>
    </row>
    <row r="215" spans="1:5" x14ac:dyDescent="0.2">
      <c r="A215" s="136" t="s">
        <v>173</v>
      </c>
      <c r="B215" s="136">
        <v>43.98068</v>
      </c>
      <c r="C215" s="136">
        <v>41.07882</v>
      </c>
      <c r="D215" s="136">
        <v>35.813369999999999</v>
      </c>
      <c r="E215" s="136">
        <v>6.029693</v>
      </c>
    </row>
    <row r="216" spans="1:5" x14ac:dyDescent="0.2">
      <c r="A216" s="136" t="s">
        <v>173</v>
      </c>
      <c r="B216" s="136">
        <v>192.87029999999999</v>
      </c>
      <c r="C216" s="136">
        <v>16.81908</v>
      </c>
      <c r="D216" s="136">
        <v>26.77647</v>
      </c>
      <c r="E216" s="136">
        <v>22.394480000000001</v>
      </c>
    </row>
    <row r="217" spans="1:5" x14ac:dyDescent="0.2">
      <c r="A217" s="136" t="s">
        <v>173</v>
      </c>
      <c r="B217" s="136">
        <v>117.2334</v>
      </c>
      <c r="C217" s="136">
        <v>46.242899999999999</v>
      </c>
      <c r="D217" s="136">
        <v>15.780010000000001</v>
      </c>
      <c r="E217" s="136">
        <v>5.6397690000000003</v>
      </c>
    </row>
    <row r="218" spans="1:5" x14ac:dyDescent="0.2">
      <c r="A218" s="136" t="s">
        <v>173</v>
      </c>
      <c r="B218" s="136">
        <v>170.0436</v>
      </c>
      <c r="C218" s="136">
        <v>3.005681</v>
      </c>
      <c r="D218" s="136">
        <v>34.137099999999997</v>
      </c>
      <c r="E218" s="136">
        <v>67.373999999999995</v>
      </c>
    </row>
    <row r="219" spans="1:5" x14ac:dyDescent="0.2">
      <c r="A219" s="136" t="s">
        <v>173</v>
      </c>
      <c r="B219" s="136">
        <v>87.490170000000006</v>
      </c>
      <c r="C219" s="136">
        <v>30.51014</v>
      </c>
      <c r="D219" s="136">
        <v>22.939029999999999</v>
      </c>
      <c r="E219" s="136">
        <v>31.539770000000001</v>
      </c>
    </row>
    <row r="220" spans="1:5" x14ac:dyDescent="0.2">
      <c r="A220" s="136" t="s">
        <v>173</v>
      </c>
      <c r="B220" s="136">
        <v>35.549990000000001</v>
      </c>
      <c r="C220" s="136">
        <v>51.492240000000002</v>
      </c>
      <c r="D220" s="136">
        <v>12.444699999999999</v>
      </c>
      <c r="E220" s="136">
        <v>7.7588049999999997</v>
      </c>
    </row>
    <row r="221" spans="1:5" x14ac:dyDescent="0.2">
      <c r="A221" s="136" t="s">
        <v>173</v>
      </c>
      <c r="B221" s="136">
        <v>19.753959999999999</v>
      </c>
      <c r="C221" s="136">
        <v>63.357520000000001</v>
      </c>
      <c r="D221" s="136">
        <v>113.61</v>
      </c>
      <c r="E221" s="136">
        <v>21.91405</v>
      </c>
    </row>
    <row r="222" spans="1:5" x14ac:dyDescent="0.2">
      <c r="A222" s="136" t="s">
        <v>173</v>
      </c>
      <c r="B222" s="136">
        <v>57.890349999999998</v>
      </c>
      <c r="C222" s="136">
        <v>54.518210000000003</v>
      </c>
      <c r="D222" s="136">
        <v>4.9871590000000001</v>
      </c>
      <c r="E222" s="136">
        <v>0.77949999999999997</v>
      </c>
    </row>
    <row r="223" spans="1:5" x14ac:dyDescent="0.2">
      <c r="A223" s="136" t="s">
        <v>173</v>
      </c>
      <c r="B223" s="136">
        <v>18.719740000000002</v>
      </c>
      <c r="C223" s="136">
        <v>5.8747590000000001</v>
      </c>
      <c r="D223" s="136">
        <v>30.235430000000001</v>
      </c>
      <c r="E223" s="136">
        <v>40.020000000000003</v>
      </c>
    </row>
    <row r="224" spans="1:5" x14ac:dyDescent="0.2">
      <c r="A224" s="136" t="s">
        <v>173</v>
      </c>
      <c r="B224" s="136">
        <v>134.0068</v>
      </c>
      <c r="C224" s="136">
        <v>68.440899999999999</v>
      </c>
      <c r="D224" s="136">
        <v>13.206289999999999</v>
      </c>
      <c r="E224" s="136">
        <v>4.4475559999999996</v>
      </c>
    </row>
    <row r="225" spans="1:5" x14ac:dyDescent="0.2">
      <c r="A225" s="136" t="s">
        <v>173</v>
      </c>
      <c r="B225" s="136">
        <v>45.290970000000002</v>
      </c>
      <c r="C225" s="136">
        <v>68.507230000000007</v>
      </c>
      <c r="D225" s="136">
        <v>27.820699999999999</v>
      </c>
      <c r="E225" s="136">
        <v>48.94173</v>
      </c>
    </row>
    <row r="226" spans="1:5" x14ac:dyDescent="0.2">
      <c r="A226" s="136" t="s">
        <v>173</v>
      </c>
      <c r="B226" s="136">
        <v>151.45670000000001</v>
      </c>
      <c r="C226" s="136">
        <v>100.2749</v>
      </c>
      <c r="D226" s="136">
        <v>34.076920000000001</v>
      </c>
      <c r="E226" s="136">
        <v>17.046309999999998</v>
      </c>
    </row>
    <row r="227" spans="1:5" x14ac:dyDescent="0.2">
      <c r="A227" s="136" t="s">
        <v>173</v>
      </c>
      <c r="B227" s="136">
        <v>3.6409859999999998</v>
      </c>
      <c r="C227" s="136">
        <v>53.112299999999998</v>
      </c>
      <c r="D227" s="136">
        <v>94.181349999999995</v>
      </c>
      <c r="E227" s="136">
        <v>25.924019999999999</v>
      </c>
    </row>
    <row r="228" spans="1:5" x14ac:dyDescent="0.2">
      <c r="A228" s="136" t="s">
        <v>173</v>
      </c>
      <c r="B228" s="136">
        <v>82.414749999999998</v>
      </c>
      <c r="C228" s="136">
        <v>26.894449999999999</v>
      </c>
      <c r="D228" s="136">
        <v>57.583910000000003</v>
      </c>
      <c r="E228" s="136">
        <v>9.6761870000000005</v>
      </c>
    </row>
    <row r="229" spans="1:5" x14ac:dyDescent="0.2">
      <c r="A229" s="136" t="s">
        <v>173</v>
      </c>
      <c r="B229" s="136">
        <v>22.329619999999998</v>
      </c>
      <c r="C229" s="136">
        <v>99.040170000000003</v>
      </c>
      <c r="D229" s="136">
        <v>127.9829</v>
      </c>
      <c r="E229" s="136">
        <v>12.6096</v>
      </c>
    </row>
    <row r="230" spans="1:5" x14ac:dyDescent="0.2">
      <c r="A230" s="136" t="s">
        <v>173</v>
      </c>
      <c r="B230" s="136">
        <v>59.027520000000003</v>
      </c>
      <c r="C230" s="136">
        <v>14.30744</v>
      </c>
      <c r="D230" s="136">
        <v>71.241519999999994</v>
      </c>
      <c r="E230" s="136">
        <v>3.8820890000000001</v>
      </c>
    </row>
    <row r="231" spans="1:5" x14ac:dyDescent="0.2">
      <c r="A231" s="136" t="s">
        <v>173</v>
      </c>
      <c r="B231" s="136">
        <v>73.496939999999995</v>
      </c>
      <c r="C231" s="136">
        <v>114.4222</v>
      </c>
      <c r="D231" s="136">
        <v>24.57019</v>
      </c>
      <c r="E231" s="136">
        <v>1.3961030000000001</v>
      </c>
    </row>
    <row r="232" spans="1:5" x14ac:dyDescent="0.2">
      <c r="A232" s="136" t="s">
        <v>173</v>
      </c>
      <c r="B232" s="136">
        <v>84.755039999999994</v>
      </c>
      <c r="C232" s="136">
        <v>35.101019999999998</v>
      </c>
      <c r="D232" s="136">
        <v>116.7392</v>
      </c>
      <c r="E232" s="136">
        <v>3.4567760000000001</v>
      </c>
    </row>
    <row r="233" spans="1:5" x14ac:dyDescent="0.2">
      <c r="A233" s="136" t="s">
        <v>173</v>
      </c>
      <c r="B233" s="136">
        <v>7.8974900000000003</v>
      </c>
      <c r="C233" s="136">
        <v>0.74141400000000002</v>
      </c>
      <c r="D233" s="136">
        <v>55.09366</v>
      </c>
      <c r="E233" s="136">
        <v>0.54145799999999999</v>
      </c>
    </row>
    <row r="234" spans="1:5" x14ac:dyDescent="0.2">
      <c r="A234" s="136" t="s">
        <v>173</v>
      </c>
      <c r="B234" s="136">
        <v>79.921009999999995</v>
      </c>
      <c r="C234" s="136">
        <v>29.848020000000002</v>
      </c>
      <c r="D234" s="136">
        <v>222.8922</v>
      </c>
      <c r="E234" s="136">
        <v>14.36265</v>
      </c>
    </row>
    <row r="235" spans="1:5" x14ac:dyDescent="0.2">
      <c r="A235" s="136" t="s">
        <v>173</v>
      </c>
      <c r="B235" s="136">
        <v>44.57499</v>
      </c>
      <c r="C235" s="136">
        <v>168.02440000000001</v>
      </c>
      <c r="D235" s="136">
        <v>18.37651</v>
      </c>
      <c r="E235" s="136">
        <v>8.8780769999999993</v>
      </c>
    </row>
    <row r="236" spans="1:5" x14ac:dyDescent="0.2">
      <c r="A236" s="136" t="s">
        <v>173</v>
      </c>
      <c r="B236" s="136">
        <v>98.260120000000001</v>
      </c>
      <c r="C236" s="136">
        <v>33.136040000000001</v>
      </c>
      <c r="D236" s="136">
        <v>39.579839999999997</v>
      </c>
      <c r="E236" s="136">
        <v>55.534590000000001</v>
      </c>
    </row>
    <row r="237" spans="1:5" x14ac:dyDescent="0.2">
      <c r="A237" s="136" t="s">
        <v>173</v>
      </c>
      <c r="B237" s="136">
        <v>122.87690000000001</v>
      </c>
      <c r="C237" s="136">
        <v>15.30598</v>
      </c>
      <c r="D237" s="136">
        <v>67.620199999999997</v>
      </c>
      <c r="E237" s="136">
        <v>25.856739999999999</v>
      </c>
    </row>
    <row r="238" spans="1:5" x14ac:dyDescent="0.2">
      <c r="A238" s="136" t="s">
        <v>173</v>
      </c>
      <c r="B238" s="136">
        <v>135.73179999999999</v>
      </c>
      <c r="C238" s="136">
        <v>16.677700000000002</v>
      </c>
      <c r="D238" s="136">
        <v>52.826210000000003</v>
      </c>
      <c r="E238" s="136">
        <v>11.389559999999999</v>
      </c>
    </row>
    <row r="239" spans="1:5" x14ac:dyDescent="0.2">
      <c r="A239" s="136" t="s">
        <v>173</v>
      </c>
      <c r="B239" s="136">
        <v>76.544719999999998</v>
      </c>
      <c r="C239" s="136">
        <v>57.63599</v>
      </c>
      <c r="D239" s="136">
        <v>62.11683</v>
      </c>
      <c r="E239" s="136">
        <v>3.1490300000000002</v>
      </c>
    </row>
    <row r="240" spans="1:5" x14ac:dyDescent="0.2">
      <c r="A240" s="136" t="s">
        <v>173</v>
      </c>
      <c r="B240" s="136">
        <v>80.005679999999998</v>
      </c>
      <c r="C240" s="136">
        <v>29.951229999999999</v>
      </c>
      <c r="D240" s="136">
        <v>73.112570000000005</v>
      </c>
      <c r="E240" s="136">
        <v>14.429259999999999</v>
      </c>
    </row>
    <row r="241" spans="1:5" x14ac:dyDescent="0.2">
      <c r="A241" s="136" t="s">
        <v>173</v>
      </c>
      <c r="B241" s="136">
        <v>232.79239999999999</v>
      </c>
      <c r="C241" s="136">
        <v>14.700189999999999</v>
      </c>
      <c r="D241" s="136">
        <v>17.618919999999999</v>
      </c>
      <c r="E241" s="136">
        <v>3.4248370000000001</v>
      </c>
    </row>
    <row r="242" spans="1:5" x14ac:dyDescent="0.2">
      <c r="A242" s="136" t="s">
        <v>173</v>
      </c>
      <c r="B242" s="136">
        <v>8.4636139999999997</v>
      </c>
      <c r="C242" s="136">
        <v>10.27375</v>
      </c>
      <c r="D242" s="136">
        <v>30.056239999999999</v>
      </c>
      <c r="E242" s="136">
        <v>9.6452679999999997</v>
      </c>
    </row>
    <row r="243" spans="1:5" x14ac:dyDescent="0.2">
      <c r="A243" s="136" t="s">
        <v>173</v>
      </c>
      <c r="B243" s="136">
        <v>204.76329999999999</v>
      </c>
      <c r="C243" s="136">
        <v>11.206009999999999</v>
      </c>
      <c r="D243" s="136">
        <v>6.3601700000000001</v>
      </c>
      <c r="E243" s="136">
        <v>13.151859999999999</v>
      </c>
    </row>
    <row r="244" spans="1:5" x14ac:dyDescent="0.2">
      <c r="A244" s="136" t="s">
        <v>173</v>
      </c>
      <c r="B244" s="136">
        <v>29.976209999999998</v>
      </c>
      <c r="C244" s="136">
        <v>4.1930019999999999</v>
      </c>
      <c r="D244" s="136">
        <v>28.795909999999999</v>
      </c>
      <c r="E244" s="136">
        <v>20.280110000000001</v>
      </c>
    </row>
    <row r="245" spans="1:5" x14ac:dyDescent="0.2">
      <c r="A245" s="136" t="s">
        <v>173</v>
      </c>
      <c r="B245" s="136">
        <v>40.617040000000003</v>
      </c>
      <c r="C245" s="136">
        <v>58.367240000000002</v>
      </c>
      <c r="D245" s="136">
        <v>105.7184</v>
      </c>
      <c r="E245" s="136">
        <v>9.1357769999999991</v>
      </c>
    </row>
    <row r="246" spans="1:5" x14ac:dyDescent="0.2">
      <c r="A246" s="136" t="s">
        <v>173</v>
      </c>
      <c r="B246" s="136">
        <v>63.403210000000001</v>
      </c>
      <c r="C246" s="136">
        <v>33.762279999999997</v>
      </c>
      <c r="D246" s="136">
        <v>52.997900000000001</v>
      </c>
      <c r="E246" s="136">
        <v>3.8136060000000001</v>
      </c>
    </row>
    <row r="247" spans="1:5" x14ac:dyDescent="0.2">
      <c r="A247" s="136" t="s">
        <v>173</v>
      </c>
      <c r="B247" s="136">
        <v>83.401049999999998</v>
      </c>
      <c r="C247" s="136">
        <v>34.538179999999997</v>
      </c>
      <c r="D247" s="136">
        <v>77.706819999999993</v>
      </c>
      <c r="E247" s="136">
        <v>33.57029</v>
      </c>
    </row>
    <row r="248" spans="1:5" x14ac:dyDescent="0.2">
      <c r="A248" s="136" t="s">
        <v>173</v>
      </c>
      <c r="B248" s="136">
        <v>10.385109999999999</v>
      </c>
      <c r="C248" s="136">
        <v>26.055099999999999</v>
      </c>
      <c r="D248" s="136">
        <v>62.334420000000001</v>
      </c>
      <c r="E248" s="136">
        <v>1.8863019999999999</v>
      </c>
    </row>
    <row r="249" spans="1:5" x14ac:dyDescent="0.2">
      <c r="A249" s="136" t="s">
        <v>173</v>
      </c>
      <c r="B249" s="136">
        <v>54.301119999999997</v>
      </c>
      <c r="C249" s="136">
        <v>30.460360000000001</v>
      </c>
      <c r="D249" s="136">
        <v>182.28479999999999</v>
      </c>
      <c r="E249" s="136">
        <v>41.26932</v>
      </c>
    </row>
    <row r="250" spans="1:5" x14ac:dyDescent="0.2">
      <c r="A250" s="136" t="s">
        <v>173</v>
      </c>
      <c r="B250" s="136">
        <v>23.661840000000002</v>
      </c>
      <c r="C250" s="136">
        <v>8.7090999999999994</v>
      </c>
      <c r="D250" s="136">
        <v>157.11170000000001</v>
      </c>
      <c r="E250" s="136">
        <v>1.022397</v>
      </c>
    </row>
    <row r="251" spans="1:5" x14ac:dyDescent="0.2">
      <c r="A251" s="136" t="s">
        <v>173</v>
      </c>
      <c r="B251" s="136">
        <v>25.70017</v>
      </c>
      <c r="C251" s="136">
        <v>56.536630000000002</v>
      </c>
      <c r="D251" s="136">
        <v>60.327979999999997</v>
      </c>
      <c r="E251" s="136">
        <v>49.174160000000001</v>
      </c>
    </row>
    <row r="252" spans="1:5" x14ac:dyDescent="0.2">
      <c r="A252" s="136" t="s">
        <v>173</v>
      </c>
      <c r="B252" s="136">
        <v>68.229069999999993</v>
      </c>
      <c r="C252" s="136">
        <v>50.409559999999999</v>
      </c>
      <c r="D252" s="136">
        <v>32.222799999999999</v>
      </c>
      <c r="E252" s="136">
        <v>29.36731</v>
      </c>
    </row>
    <row r="253" spans="1:5" x14ac:dyDescent="0.2">
      <c r="A253" s="136" t="s">
        <v>173</v>
      </c>
      <c r="B253" s="136">
        <v>127.75360000000001</v>
      </c>
      <c r="C253" s="136">
        <v>102.5587</v>
      </c>
      <c r="D253" s="136">
        <v>81.975170000000006</v>
      </c>
      <c r="E253" s="136">
        <v>28.774740000000001</v>
      </c>
    </row>
    <row r="254" spans="1:5" x14ac:dyDescent="0.2">
      <c r="A254" s="136" t="s">
        <v>173</v>
      </c>
      <c r="B254" s="136">
        <v>12.19961</v>
      </c>
      <c r="C254" s="136">
        <v>30.02243</v>
      </c>
      <c r="D254" s="136">
        <v>45.5563</v>
      </c>
      <c r="E254" s="136">
        <v>0.32710899999999998</v>
      </c>
    </row>
    <row r="255" spans="1:5" x14ac:dyDescent="0.2">
      <c r="A255" s="136" t="s">
        <v>173</v>
      </c>
      <c r="B255" s="136">
        <v>17.139220000000002</v>
      </c>
      <c r="C255" s="136">
        <v>7.1112310000000001</v>
      </c>
      <c r="D255" s="136">
        <v>39.660170000000001</v>
      </c>
      <c r="E255" s="136">
        <v>2.5433599999999998</v>
      </c>
    </row>
    <row r="256" spans="1:5" x14ac:dyDescent="0.2">
      <c r="A256" s="136" t="s">
        <v>173</v>
      </c>
      <c r="B256" s="136">
        <v>49.733499999999999</v>
      </c>
      <c r="C256" s="136">
        <v>63.23612</v>
      </c>
      <c r="D256" s="136">
        <v>116.7325</v>
      </c>
      <c r="E256" s="136">
        <v>1.926293</v>
      </c>
    </row>
    <row r="257" spans="1:5" x14ac:dyDescent="0.2">
      <c r="A257" s="136" t="s">
        <v>173</v>
      </c>
      <c r="B257" s="136">
        <v>17.767340000000001</v>
      </c>
      <c r="C257" s="136">
        <v>16.578980000000001</v>
      </c>
      <c r="D257" s="136">
        <v>28.37454</v>
      </c>
      <c r="E257" s="136">
        <v>9.5137269999999994</v>
      </c>
    </row>
    <row r="258" spans="1:5" x14ac:dyDescent="0.2">
      <c r="A258" s="136" t="s">
        <v>173</v>
      </c>
      <c r="B258" s="136">
        <v>98.066400000000002</v>
      </c>
      <c r="C258" s="136">
        <v>21.56035</v>
      </c>
      <c r="D258" s="136">
        <v>10.83428</v>
      </c>
      <c r="E258" s="136">
        <v>81.687870000000004</v>
      </c>
    </row>
    <row r="259" spans="1:5" x14ac:dyDescent="0.2">
      <c r="A259" s="136" t="s">
        <v>173</v>
      </c>
      <c r="B259" s="136">
        <v>16.419119999999999</v>
      </c>
      <c r="C259" s="136">
        <v>17.03678</v>
      </c>
      <c r="D259" s="136">
        <v>64.976100000000002</v>
      </c>
      <c r="E259" s="136">
        <v>26.574929999999998</v>
      </c>
    </row>
    <row r="260" spans="1:5" x14ac:dyDescent="0.2">
      <c r="A260" s="136" t="s">
        <v>173</v>
      </c>
      <c r="B260" s="136">
        <v>57.72269</v>
      </c>
      <c r="C260" s="136">
        <v>74.025139999999993</v>
      </c>
      <c r="D260" s="136">
        <v>8.0547249999999995</v>
      </c>
      <c r="E260" s="136">
        <v>2.92245</v>
      </c>
    </row>
    <row r="261" spans="1:5" x14ac:dyDescent="0.2">
      <c r="A261" s="136" t="s">
        <v>173</v>
      </c>
      <c r="B261" s="136">
        <v>14.395709999999999</v>
      </c>
      <c r="C261" s="136">
        <v>64.512439999999998</v>
      </c>
      <c r="D261" s="136">
        <v>49.714100000000002</v>
      </c>
      <c r="E261" s="136">
        <v>69.728290000000001</v>
      </c>
    </row>
    <row r="262" spans="1:5" x14ac:dyDescent="0.2">
      <c r="A262" s="136" t="s">
        <v>173</v>
      </c>
      <c r="B262" s="136">
        <v>52.909320000000001</v>
      </c>
      <c r="C262" s="136">
        <v>50.748100000000001</v>
      </c>
      <c r="D262" s="136">
        <v>17.856560000000002</v>
      </c>
      <c r="E262" s="136">
        <v>2.640647</v>
      </c>
    </row>
    <row r="263" spans="1:5" x14ac:dyDescent="0.2">
      <c r="A263" s="136" t="s">
        <v>173</v>
      </c>
      <c r="B263" s="136">
        <v>19.079470000000001</v>
      </c>
      <c r="C263" s="136">
        <v>83.447890000000001</v>
      </c>
      <c r="D263" s="136">
        <v>12.83915</v>
      </c>
      <c r="E263" s="136">
        <v>7.8182010000000002</v>
      </c>
    </row>
    <row r="264" spans="1:5" x14ac:dyDescent="0.2">
      <c r="A264" s="136" t="s">
        <v>173</v>
      </c>
      <c r="B264" s="136">
        <v>81.605509999999995</v>
      </c>
      <c r="C264" s="136">
        <v>43.51679</v>
      </c>
      <c r="D264" s="136">
        <v>105.696</v>
      </c>
      <c r="E264" s="136">
        <v>46.491349999999997</v>
      </c>
    </row>
    <row r="265" spans="1:5" x14ac:dyDescent="0.2">
      <c r="A265" s="136" t="s">
        <v>173</v>
      </c>
      <c r="B265" s="136">
        <v>38.16337</v>
      </c>
      <c r="C265" s="136">
        <v>19.697859999999999</v>
      </c>
      <c r="D265" s="136">
        <v>127.08029999999999</v>
      </c>
      <c r="E265" s="136">
        <v>17.160710000000002</v>
      </c>
    </row>
    <row r="266" spans="1:5" x14ac:dyDescent="0.2">
      <c r="A266" s="136" t="s">
        <v>173</v>
      </c>
      <c r="B266" s="136">
        <v>103.8573</v>
      </c>
      <c r="C266" s="136">
        <v>5.2340520000000001</v>
      </c>
      <c r="D266" s="136">
        <v>87.530249999999995</v>
      </c>
      <c r="E266" s="136">
        <v>14.48892</v>
      </c>
    </row>
    <row r="267" spans="1:5" x14ac:dyDescent="0.2">
      <c r="A267" s="136" t="s">
        <v>173</v>
      </c>
      <c r="B267" s="136">
        <v>143.8869</v>
      </c>
      <c r="C267" s="136">
        <v>23.762</v>
      </c>
      <c r="D267" s="136">
        <v>9.7406109999999995</v>
      </c>
      <c r="E267" s="136">
        <v>0.56527300000000003</v>
      </c>
    </row>
    <row r="268" spans="1:5" x14ac:dyDescent="0.2">
      <c r="A268" s="136" t="s">
        <v>173</v>
      </c>
      <c r="B268" s="136">
        <v>47.354129999999998</v>
      </c>
      <c r="C268" s="136">
        <v>13.19186</v>
      </c>
      <c r="D268" s="136">
        <v>10.11814</v>
      </c>
      <c r="E268" s="136">
        <v>42.329079999999998</v>
      </c>
    </row>
    <row r="269" spans="1:5" x14ac:dyDescent="0.2">
      <c r="A269" s="136" t="s">
        <v>173</v>
      </c>
      <c r="B269" s="136">
        <v>96.187780000000004</v>
      </c>
      <c r="C269" s="136">
        <v>52.193710000000003</v>
      </c>
      <c r="D269" s="136">
        <v>98.226129999999998</v>
      </c>
      <c r="E269" s="136">
        <v>6.1288309999999999</v>
      </c>
    </row>
    <row r="270" spans="1:5" x14ac:dyDescent="0.2">
      <c r="A270" s="136" t="s">
        <v>173</v>
      </c>
      <c r="B270" s="136">
        <v>184.56790000000001</v>
      </c>
      <c r="C270" s="136">
        <v>79.511700000000005</v>
      </c>
      <c r="D270" s="136">
        <v>67.282089999999997</v>
      </c>
      <c r="E270" s="136">
        <v>8.2353330000000007</v>
      </c>
    </row>
    <row r="271" spans="1:5" x14ac:dyDescent="0.2">
      <c r="A271" s="136" t="s">
        <v>173</v>
      </c>
      <c r="B271" s="136">
        <v>166.02539999999999</v>
      </c>
      <c r="C271" s="136">
        <v>29.76033</v>
      </c>
      <c r="D271" s="136">
        <v>48.595970000000001</v>
      </c>
      <c r="E271" s="136">
        <v>12.772600000000001</v>
      </c>
    </row>
    <row r="272" spans="1:5" x14ac:dyDescent="0.2">
      <c r="A272" s="136" t="s">
        <v>173</v>
      </c>
      <c r="B272" s="136">
        <v>34.156840000000003</v>
      </c>
      <c r="C272" s="136">
        <v>11.182689999999999</v>
      </c>
      <c r="D272" s="136">
        <v>222.31890000000001</v>
      </c>
      <c r="E272" s="136">
        <v>6.9885190000000001</v>
      </c>
    </row>
    <row r="273" spans="1:5" x14ac:dyDescent="0.2">
      <c r="A273" s="136" t="s">
        <v>173</v>
      </c>
      <c r="B273" s="136">
        <v>160.267</v>
      </c>
      <c r="C273" s="136">
        <v>17.327169999999999</v>
      </c>
      <c r="D273" s="136">
        <v>43.843380000000003</v>
      </c>
      <c r="E273" s="136">
        <v>2.0383710000000002</v>
      </c>
    </row>
    <row r="274" spans="1:5" x14ac:dyDescent="0.2">
      <c r="A274" s="136" t="s">
        <v>173</v>
      </c>
      <c r="B274" s="136">
        <v>41.230200000000004</v>
      </c>
      <c r="C274" s="136">
        <v>9.3431739999999994</v>
      </c>
      <c r="D274" s="136">
        <v>32.070689999999999</v>
      </c>
      <c r="E274" s="136">
        <v>9.9234449999999992</v>
      </c>
    </row>
    <row r="275" spans="1:5" x14ac:dyDescent="0.2">
      <c r="A275" s="136" t="s">
        <v>173</v>
      </c>
      <c r="B275" s="136">
        <v>51.707599999999999</v>
      </c>
      <c r="C275" s="136">
        <v>21.749610000000001</v>
      </c>
      <c r="D275" s="136">
        <v>16.556270000000001</v>
      </c>
      <c r="E275" s="136">
        <v>13.21218</v>
      </c>
    </row>
    <row r="276" spans="1:5" x14ac:dyDescent="0.2">
      <c r="A276" s="136" t="s">
        <v>173</v>
      </c>
      <c r="B276" s="136">
        <v>119.4872</v>
      </c>
      <c r="C276" s="136">
        <v>7.1710739999999999</v>
      </c>
      <c r="D276" s="136">
        <v>202.89869999999999</v>
      </c>
      <c r="E276" s="136">
        <v>40.853009999999998</v>
      </c>
    </row>
    <row r="277" spans="1:5" x14ac:dyDescent="0.2">
      <c r="A277" s="136" t="s">
        <v>173</v>
      </c>
      <c r="B277" s="136">
        <v>19.49625</v>
      </c>
      <c r="C277" s="136">
        <v>143.9991</v>
      </c>
      <c r="D277" s="136">
        <v>16.069400000000002</v>
      </c>
      <c r="E277" s="136">
        <v>77.301029999999997</v>
      </c>
    </row>
    <row r="278" spans="1:5" x14ac:dyDescent="0.2">
      <c r="A278" s="136" t="s">
        <v>173</v>
      </c>
      <c r="B278" s="136">
        <v>12.87387</v>
      </c>
      <c r="C278" s="136">
        <v>47.45</v>
      </c>
      <c r="D278" s="136">
        <v>128.53380000000001</v>
      </c>
      <c r="E278" s="136">
        <v>28.404</v>
      </c>
    </row>
    <row r="279" spans="1:5" x14ac:dyDescent="0.2">
      <c r="A279" s="136" t="s">
        <v>173</v>
      </c>
      <c r="B279" s="136">
        <v>57.722999999999999</v>
      </c>
      <c r="C279" s="136">
        <v>27.096779999999999</v>
      </c>
      <c r="D279" s="136">
        <v>90.330269999999999</v>
      </c>
      <c r="E279" s="136">
        <v>25.15277</v>
      </c>
    </row>
    <row r="280" spans="1:5" x14ac:dyDescent="0.2">
      <c r="A280" s="136" t="s">
        <v>173</v>
      </c>
      <c r="B280" s="136">
        <v>16.296119999999998</v>
      </c>
      <c r="C280" s="136">
        <v>105.7008</v>
      </c>
      <c r="D280" s="136">
        <v>24.796790000000001</v>
      </c>
      <c r="E280" s="136">
        <v>29.844380000000001</v>
      </c>
    </row>
    <row r="281" spans="1:5" x14ac:dyDescent="0.2">
      <c r="A281" s="136" t="s">
        <v>173</v>
      </c>
      <c r="B281" s="136">
        <v>117.2932</v>
      </c>
      <c r="C281" s="136">
        <v>41.899560000000001</v>
      </c>
      <c r="D281" s="136">
        <v>35.380960000000002</v>
      </c>
      <c r="E281" s="136">
        <v>0.179648</v>
      </c>
    </row>
    <row r="282" spans="1:5" x14ac:dyDescent="0.2">
      <c r="A282" s="136" t="s">
        <v>173</v>
      </c>
      <c r="B282" s="136">
        <v>39.399920000000002</v>
      </c>
      <c r="C282" s="136">
        <v>40.075980000000001</v>
      </c>
      <c r="D282" s="136">
        <v>48.833410000000001</v>
      </c>
      <c r="E282" s="136">
        <v>0.96529399999999999</v>
      </c>
    </row>
    <row r="283" spans="1:5" x14ac:dyDescent="0.2">
      <c r="A283" s="136" t="s">
        <v>173</v>
      </c>
      <c r="B283" s="136">
        <v>222.5789</v>
      </c>
      <c r="C283" s="136">
        <v>35.532179999999997</v>
      </c>
      <c r="D283" s="136">
        <v>52.3553</v>
      </c>
      <c r="E283" s="136">
        <v>0.77958300000000003</v>
      </c>
    </row>
    <row r="284" spans="1:5" x14ac:dyDescent="0.2">
      <c r="A284" s="136" t="s">
        <v>173</v>
      </c>
      <c r="B284" s="136">
        <v>33.314970000000002</v>
      </c>
      <c r="C284" s="136">
        <v>20.771070000000002</v>
      </c>
      <c r="D284" s="136">
        <v>0.40215899999999999</v>
      </c>
      <c r="E284" s="136">
        <v>2.8149829999999998</v>
      </c>
    </row>
    <row r="285" spans="1:5" x14ac:dyDescent="0.2">
      <c r="A285" s="136" t="s">
        <v>173</v>
      </c>
      <c r="B285" s="136">
        <v>70.76437</v>
      </c>
      <c r="C285" s="136">
        <v>5.6456150000000003</v>
      </c>
      <c r="D285" s="136">
        <v>41.439520000000002</v>
      </c>
      <c r="E285" s="136">
        <v>1.3118449999999999</v>
      </c>
    </row>
    <row r="286" spans="1:5" x14ac:dyDescent="0.2">
      <c r="A286" s="136" t="s">
        <v>173</v>
      </c>
      <c r="B286" s="136">
        <v>74.344830000000002</v>
      </c>
      <c r="C286" s="136">
        <v>73.002859999999998</v>
      </c>
      <c r="D286" s="136">
        <v>80.570620000000005</v>
      </c>
      <c r="E286" s="136">
        <v>38.836480000000002</v>
      </c>
    </row>
    <row r="287" spans="1:5" x14ac:dyDescent="0.2">
      <c r="A287" s="136" t="s">
        <v>173</v>
      </c>
      <c r="B287" s="136">
        <v>31.48095</v>
      </c>
      <c r="C287" s="136">
        <v>10.7653</v>
      </c>
      <c r="D287" s="136">
        <v>197.28469999999999</v>
      </c>
      <c r="E287" s="136">
        <v>12.115919999999999</v>
      </c>
    </row>
    <row r="288" spans="1:5" x14ac:dyDescent="0.2">
      <c r="A288" s="136" t="s">
        <v>173</v>
      </c>
      <c r="B288" s="136">
        <v>125.19459999999999</v>
      </c>
      <c r="C288" s="136">
        <v>10.36896</v>
      </c>
      <c r="D288" s="136">
        <v>59.166849999999997</v>
      </c>
      <c r="E288" s="136">
        <v>7.8574570000000001</v>
      </c>
    </row>
    <row r="289" spans="1:5" x14ac:dyDescent="0.2">
      <c r="A289" s="136" t="s">
        <v>173</v>
      </c>
      <c r="B289" s="136">
        <v>51.115090000000002</v>
      </c>
      <c r="C289" s="136">
        <v>55.066699999999997</v>
      </c>
      <c r="D289" s="136">
        <v>71.381479999999996</v>
      </c>
      <c r="E289" s="136">
        <v>40.657739999999997</v>
      </c>
    </row>
    <row r="290" spans="1:5" x14ac:dyDescent="0.2">
      <c r="A290" s="136" t="s">
        <v>173</v>
      </c>
      <c r="B290" s="136">
        <v>211.8612</v>
      </c>
      <c r="C290" s="136">
        <v>51.058689999999999</v>
      </c>
      <c r="D290" s="136">
        <v>96.102149999999995</v>
      </c>
      <c r="E290" s="136">
        <v>7.42964</v>
      </c>
    </row>
    <row r="291" spans="1:5" x14ac:dyDescent="0.2">
      <c r="A291" s="136" t="s">
        <v>173</v>
      </c>
      <c r="B291" s="136">
        <v>63.514699999999998</v>
      </c>
      <c r="C291" s="136">
        <v>8.5501050000000003</v>
      </c>
      <c r="D291" s="136">
        <v>258.6857</v>
      </c>
      <c r="E291" s="136">
        <v>28.731839999999998</v>
      </c>
    </row>
    <row r="292" spans="1:5" x14ac:dyDescent="0.2">
      <c r="A292" s="136" t="s">
        <v>173</v>
      </c>
      <c r="B292" s="136">
        <v>14.81569</v>
      </c>
      <c r="C292" s="136">
        <v>62.81606</v>
      </c>
      <c r="D292" s="136">
        <v>19.92793</v>
      </c>
      <c r="E292" s="136">
        <v>23.43037</v>
      </c>
    </row>
    <row r="293" spans="1:5" x14ac:dyDescent="0.2">
      <c r="A293" s="136" t="s">
        <v>173</v>
      </c>
      <c r="B293" s="136">
        <v>35.290320000000001</v>
      </c>
      <c r="C293" s="136">
        <v>70.655370000000005</v>
      </c>
      <c r="D293" s="136">
        <v>50.828800000000001</v>
      </c>
      <c r="E293" s="136">
        <v>19.529229999999998</v>
      </c>
    </row>
    <row r="294" spans="1:5" x14ac:dyDescent="0.2">
      <c r="A294" s="136" t="s">
        <v>173</v>
      </c>
      <c r="B294" s="136">
        <v>74.124070000000003</v>
      </c>
      <c r="C294" s="136">
        <v>8.5015029999999996</v>
      </c>
      <c r="D294" s="136">
        <v>25.9391</v>
      </c>
      <c r="E294" s="136">
        <v>18.761520000000001</v>
      </c>
    </row>
    <row r="295" spans="1:5" x14ac:dyDescent="0.2">
      <c r="A295" s="136" t="s">
        <v>173</v>
      </c>
      <c r="B295" s="136">
        <v>40.373609999999999</v>
      </c>
      <c r="C295" s="136">
        <v>59.989840000000001</v>
      </c>
      <c r="D295" s="136">
        <v>14.12392</v>
      </c>
      <c r="E295" s="136">
        <v>14.5235</v>
      </c>
    </row>
    <row r="296" spans="1:5" x14ac:dyDescent="0.2">
      <c r="A296" s="136" t="s">
        <v>173</v>
      </c>
      <c r="B296" s="136">
        <v>50.548319999999997</v>
      </c>
      <c r="C296" s="136">
        <v>30.36599</v>
      </c>
      <c r="D296" s="136">
        <v>13.891999999999999</v>
      </c>
      <c r="E296" s="136">
        <v>3.6638280000000001</v>
      </c>
    </row>
    <row r="297" spans="1:5" x14ac:dyDescent="0.2">
      <c r="A297" s="136" t="s">
        <v>173</v>
      </c>
      <c r="B297" s="136">
        <v>215.20750000000001</v>
      </c>
      <c r="C297" s="136">
        <v>17.927630000000001</v>
      </c>
      <c r="D297" s="136">
        <v>29.531860000000002</v>
      </c>
      <c r="E297" s="136">
        <v>61.115879999999997</v>
      </c>
    </row>
    <row r="298" spans="1:5" x14ac:dyDescent="0.2">
      <c r="A298" s="136" t="s">
        <v>173</v>
      </c>
      <c r="B298" s="136">
        <v>142.79419999999999</v>
      </c>
      <c r="C298" s="136">
        <v>54.551949999999998</v>
      </c>
      <c r="D298" s="136">
        <v>146.6592</v>
      </c>
      <c r="E298" s="136">
        <v>4.8304869999999998</v>
      </c>
    </row>
    <row r="299" spans="1:5" x14ac:dyDescent="0.2">
      <c r="A299" s="136" t="s">
        <v>173</v>
      </c>
      <c r="B299" s="136">
        <v>57.324089999999998</v>
      </c>
      <c r="C299" s="136">
        <v>50.296329999999998</v>
      </c>
      <c r="D299" s="136">
        <v>30.36158</v>
      </c>
      <c r="E299" s="136">
        <v>18.303999999999998</v>
      </c>
    </row>
    <row r="300" spans="1:5" x14ac:dyDescent="0.2">
      <c r="A300" s="136" t="s">
        <v>173</v>
      </c>
      <c r="B300" s="136">
        <v>44.441719999999997</v>
      </c>
      <c r="C300" s="136">
        <v>32.208419999999997</v>
      </c>
      <c r="D300" s="136">
        <v>36.86018</v>
      </c>
      <c r="E300" s="136">
        <v>16.635169999999999</v>
      </c>
    </row>
    <row r="301" spans="1:5" x14ac:dyDescent="0.2">
      <c r="A301" s="136" t="s">
        <v>173</v>
      </c>
      <c r="B301" s="136">
        <v>37.536380000000001</v>
      </c>
      <c r="C301" s="136">
        <v>114.59829999999999</v>
      </c>
      <c r="D301" s="136">
        <v>110.8693</v>
      </c>
      <c r="E301" s="136">
        <v>21.7654</v>
      </c>
    </row>
    <row r="302" spans="1:5" x14ac:dyDescent="0.2">
      <c r="A302" s="136" t="s">
        <v>173</v>
      </c>
      <c r="B302" s="136">
        <v>92.904349999999994</v>
      </c>
      <c r="C302" s="136">
        <v>13.07746</v>
      </c>
      <c r="D302" s="136">
        <v>38.164749999999998</v>
      </c>
      <c r="E302" s="136">
        <v>10.35322</v>
      </c>
    </row>
    <row r="303" spans="1:5" x14ac:dyDescent="0.2">
      <c r="A303" s="136" t="s">
        <v>173</v>
      </c>
      <c r="B303" s="136">
        <v>33.835889999999999</v>
      </c>
      <c r="C303" s="136">
        <v>89.212329999999994</v>
      </c>
      <c r="D303" s="136">
        <v>61.968699999999998</v>
      </c>
      <c r="E303" s="136">
        <v>8.5308759999999992</v>
      </c>
    </row>
    <row r="304" spans="1:5" x14ac:dyDescent="0.2">
      <c r="A304" s="136" t="s">
        <v>173</v>
      </c>
      <c r="B304" s="136">
        <v>67.076769999999996</v>
      </c>
      <c r="C304" s="136">
        <v>31.534870000000002</v>
      </c>
      <c r="D304" s="136">
        <v>27.443950000000001</v>
      </c>
      <c r="E304" s="136">
        <v>23.915050000000001</v>
      </c>
    </row>
    <row r="305" spans="1:5" x14ac:dyDescent="0.2">
      <c r="A305" s="136" t="s">
        <v>173</v>
      </c>
      <c r="B305" s="136">
        <v>33.202530000000003</v>
      </c>
      <c r="C305" s="136">
        <v>18.630230000000001</v>
      </c>
      <c r="D305" s="136">
        <v>68.913359999999997</v>
      </c>
      <c r="E305" s="136">
        <v>9.5777990000000006</v>
      </c>
    </row>
    <row r="306" spans="1:5" x14ac:dyDescent="0.2">
      <c r="A306" s="136" t="s">
        <v>173</v>
      </c>
      <c r="B306" s="136">
        <v>18.584959999999999</v>
      </c>
      <c r="C306" s="136">
        <v>33.425080000000001</v>
      </c>
      <c r="D306" s="136">
        <v>90.269829999999999</v>
      </c>
      <c r="E306" s="136">
        <v>40.022120000000001</v>
      </c>
    </row>
    <row r="307" spans="1:5" x14ac:dyDescent="0.2">
      <c r="A307" s="136" t="s">
        <v>173</v>
      </c>
      <c r="B307" s="136">
        <v>141.95079999999999</v>
      </c>
      <c r="C307" s="136">
        <v>134.9742</v>
      </c>
      <c r="D307" s="136">
        <v>72.707310000000007</v>
      </c>
      <c r="E307" s="136">
        <v>5.2063480000000002</v>
      </c>
    </row>
    <row r="308" spans="1:5" x14ac:dyDescent="0.2">
      <c r="A308" s="136" t="s">
        <v>173</v>
      </c>
      <c r="B308" s="136">
        <v>85.678790000000006</v>
      </c>
      <c r="C308" s="136">
        <v>45.364339999999999</v>
      </c>
      <c r="D308" s="136">
        <v>181.01259999999999</v>
      </c>
      <c r="E308" s="136">
        <v>16.065989999999999</v>
      </c>
    </row>
    <row r="309" spans="1:5" x14ac:dyDescent="0.2">
      <c r="A309" s="136" t="s">
        <v>173</v>
      </c>
      <c r="B309" s="136">
        <v>35.737180000000002</v>
      </c>
      <c r="C309" s="136">
        <v>37.87021</v>
      </c>
      <c r="D309" s="136">
        <v>66.783469999999994</v>
      </c>
      <c r="E309" s="136">
        <v>27.260390000000001</v>
      </c>
    </row>
    <row r="310" spans="1:5" x14ac:dyDescent="0.2">
      <c r="A310" s="136" t="s">
        <v>173</v>
      </c>
      <c r="B310" s="136">
        <v>64.124750000000006</v>
      </c>
      <c r="C310" s="136">
        <v>15.83466</v>
      </c>
      <c r="D310" s="136">
        <v>90.10454</v>
      </c>
      <c r="E310" s="136">
        <v>17.621210000000001</v>
      </c>
    </row>
    <row r="311" spans="1:5" x14ac:dyDescent="0.2">
      <c r="A311" s="136" t="s">
        <v>173</v>
      </c>
      <c r="B311" s="136">
        <v>95.926169999999999</v>
      </c>
      <c r="C311" s="136">
        <v>57.880009999999999</v>
      </c>
      <c r="D311" s="136">
        <v>44.69388</v>
      </c>
      <c r="E311" s="136">
        <v>9.2159019999999998</v>
      </c>
    </row>
    <row r="312" spans="1:5" x14ac:dyDescent="0.2">
      <c r="A312" s="136" t="s">
        <v>173</v>
      </c>
      <c r="B312" s="136">
        <v>121.2503</v>
      </c>
      <c r="C312" s="136">
        <v>91.568370000000002</v>
      </c>
      <c r="D312" s="136">
        <v>48.916469999999997</v>
      </c>
      <c r="E312" s="136">
        <v>15.31556</v>
      </c>
    </row>
    <row r="313" spans="1:5" x14ac:dyDescent="0.2">
      <c r="A313" s="136" t="s">
        <v>173</v>
      </c>
      <c r="B313" s="136">
        <v>5.9272289999999996</v>
      </c>
      <c r="C313" s="136">
        <v>37.50797</v>
      </c>
      <c r="D313" s="136">
        <v>71.142790000000005</v>
      </c>
      <c r="E313" s="136">
        <v>27.57302</v>
      </c>
    </row>
    <row r="314" spans="1:5" x14ac:dyDescent="0.2">
      <c r="A314" s="136" t="s">
        <v>173</v>
      </c>
      <c r="B314" s="136">
        <v>48.640509999999999</v>
      </c>
      <c r="C314" s="136">
        <v>51.071570000000001</v>
      </c>
      <c r="D314" s="136">
        <v>104.5579</v>
      </c>
      <c r="E314" s="136">
        <v>1.5216240000000001</v>
      </c>
    </row>
    <row r="315" spans="1:5" x14ac:dyDescent="0.2">
      <c r="A315" s="136" t="s">
        <v>173</v>
      </c>
      <c r="B315" s="136">
        <v>44.241149999999998</v>
      </c>
      <c r="C315" s="136">
        <v>9.0785640000000001</v>
      </c>
      <c r="D315" s="136">
        <v>138.18039999999999</v>
      </c>
      <c r="E315" s="136">
        <v>30.779440000000001</v>
      </c>
    </row>
    <row r="316" spans="1:5" x14ac:dyDescent="0.2">
      <c r="A316" s="136" t="s">
        <v>173</v>
      </c>
      <c r="B316" s="136">
        <v>9.5992829999999998</v>
      </c>
      <c r="C316" s="136">
        <v>23.813289999999999</v>
      </c>
      <c r="D316" s="136">
        <v>17.470469999999999</v>
      </c>
      <c r="E316" s="136">
        <v>21.725570000000001</v>
      </c>
    </row>
    <row r="317" spans="1:5" x14ac:dyDescent="0.2">
      <c r="A317" s="136" t="s">
        <v>173</v>
      </c>
      <c r="B317" s="136">
        <v>31.919730000000001</v>
      </c>
      <c r="C317" s="136">
        <v>27.82657</v>
      </c>
      <c r="D317" s="136">
        <v>77.202520000000007</v>
      </c>
      <c r="E317" s="136">
        <v>82.548910000000006</v>
      </c>
    </row>
    <row r="318" spans="1:5" x14ac:dyDescent="0.2">
      <c r="A318" s="136" t="s">
        <v>173</v>
      </c>
      <c r="B318" s="136">
        <v>151.78110000000001</v>
      </c>
      <c r="C318" s="136">
        <v>40.630369999999999</v>
      </c>
      <c r="D318" s="136">
        <v>47.95879</v>
      </c>
      <c r="E318" s="136">
        <v>29.70712</v>
      </c>
    </row>
    <row r="319" spans="1:5" x14ac:dyDescent="0.2">
      <c r="A319" s="136" t="s">
        <v>173</v>
      </c>
      <c r="B319" s="136">
        <v>116.8556</v>
      </c>
      <c r="C319" s="136">
        <v>23.169250000000002</v>
      </c>
      <c r="D319" s="136">
        <v>126.6931</v>
      </c>
      <c r="E319" s="136">
        <v>27.24794</v>
      </c>
    </row>
    <row r="320" spans="1:5" x14ac:dyDescent="0.2">
      <c r="A320" s="136" t="s">
        <v>173</v>
      </c>
      <c r="B320" s="136">
        <v>254.91030000000001</v>
      </c>
      <c r="C320" s="136">
        <v>18.432030000000001</v>
      </c>
      <c r="D320" s="136">
        <v>65.702610000000007</v>
      </c>
      <c r="E320" s="136">
        <v>6.1312309999999997</v>
      </c>
    </row>
    <row r="321" spans="1:5" x14ac:dyDescent="0.2">
      <c r="A321" s="136" t="s">
        <v>173</v>
      </c>
      <c r="B321" s="136">
        <v>30.80658</v>
      </c>
      <c r="C321" s="136">
        <v>74.16431</v>
      </c>
      <c r="D321" s="136">
        <v>111.96899999999999</v>
      </c>
      <c r="E321" s="136">
        <v>135.00960000000001</v>
      </c>
    </row>
    <row r="322" spans="1:5" x14ac:dyDescent="0.2">
      <c r="A322" s="136" t="s">
        <v>173</v>
      </c>
      <c r="B322" s="136">
        <v>61.448880000000003</v>
      </c>
      <c r="C322" s="136">
        <v>28.459479999999999</v>
      </c>
      <c r="D322" s="136">
        <v>53.83916</v>
      </c>
      <c r="E322" s="136">
        <v>11.21862</v>
      </c>
    </row>
    <row r="323" spans="1:5" x14ac:dyDescent="0.2">
      <c r="A323" s="136" t="s">
        <v>173</v>
      </c>
      <c r="B323" s="136">
        <v>84.622</v>
      </c>
      <c r="C323" s="136">
        <v>35.238849999999999</v>
      </c>
      <c r="D323" s="136">
        <v>84.129519999999999</v>
      </c>
      <c r="E323" s="136">
        <v>2.1166450000000001</v>
      </c>
    </row>
    <row r="324" spans="1:5" x14ac:dyDescent="0.2">
      <c r="A324" s="136" t="s">
        <v>173</v>
      </c>
      <c r="B324" s="136">
        <v>74.123270000000005</v>
      </c>
      <c r="C324" s="136">
        <v>28.4529</v>
      </c>
      <c r="D324" s="136">
        <v>120.8237</v>
      </c>
      <c r="E324" s="136">
        <v>11.097250000000001</v>
      </c>
    </row>
    <row r="325" spans="1:5" x14ac:dyDescent="0.2">
      <c r="A325" s="136" t="s">
        <v>173</v>
      </c>
      <c r="B325" s="136">
        <v>23.8642</v>
      </c>
      <c r="C325" s="136">
        <v>6.2545599999999997</v>
      </c>
      <c r="D325" s="136">
        <v>108.003</v>
      </c>
      <c r="E325" s="136">
        <v>1.4591890000000001</v>
      </c>
    </row>
    <row r="326" spans="1:5" x14ac:dyDescent="0.2">
      <c r="A326" s="136" t="s">
        <v>173</v>
      </c>
      <c r="B326" s="136">
        <v>128.9203</v>
      </c>
      <c r="C326" s="136">
        <v>12.15807</v>
      </c>
      <c r="D326" s="136">
        <v>22.199870000000001</v>
      </c>
      <c r="E326" s="136">
        <v>18.975370000000002</v>
      </c>
    </row>
    <row r="327" spans="1:5" x14ac:dyDescent="0.2">
      <c r="A327" s="136" t="s">
        <v>173</v>
      </c>
      <c r="B327" s="136">
        <v>209.5694</v>
      </c>
      <c r="C327" s="136">
        <v>81.775000000000006</v>
      </c>
      <c r="D327" s="136">
        <v>35.169460000000001</v>
      </c>
      <c r="E327" s="136">
        <v>26.92746</v>
      </c>
    </row>
    <row r="328" spans="1:5" x14ac:dyDescent="0.2">
      <c r="A328" s="136" t="s">
        <v>173</v>
      </c>
      <c r="B328" s="136">
        <v>88.72063</v>
      </c>
      <c r="C328" s="136">
        <v>46.947319999999998</v>
      </c>
      <c r="D328" s="136">
        <v>103.28319999999999</v>
      </c>
      <c r="E328" s="136">
        <v>20.565860000000001</v>
      </c>
    </row>
    <row r="329" spans="1:5" x14ac:dyDescent="0.2">
      <c r="A329" s="136" t="s">
        <v>173</v>
      </c>
      <c r="B329" s="136">
        <v>182.20580000000001</v>
      </c>
      <c r="C329" s="136">
        <v>57.307949999999998</v>
      </c>
      <c r="D329" s="136">
        <v>127.23</v>
      </c>
      <c r="E329" s="136">
        <v>17.8278</v>
      </c>
    </row>
    <row r="330" spans="1:5" x14ac:dyDescent="0.2">
      <c r="A330" s="136" t="s">
        <v>173</v>
      </c>
      <c r="B330" s="136">
        <v>45.46848</v>
      </c>
      <c r="C330" s="136">
        <v>40.050240000000002</v>
      </c>
      <c r="D330" s="136">
        <v>10.114549999999999</v>
      </c>
      <c r="E330" s="136">
        <v>42.909770000000002</v>
      </c>
    </row>
    <row r="331" spans="1:5" x14ac:dyDescent="0.2">
      <c r="A331" s="136" t="s">
        <v>173</v>
      </c>
      <c r="B331" s="136">
        <v>20.342580000000002</v>
      </c>
      <c r="C331" s="136">
        <v>72.271500000000003</v>
      </c>
      <c r="D331" s="136">
        <v>52.735010000000003</v>
      </c>
      <c r="E331" s="136">
        <v>17.27553</v>
      </c>
    </row>
    <row r="332" spans="1:5" x14ac:dyDescent="0.2">
      <c r="A332" s="136" t="s">
        <v>173</v>
      </c>
      <c r="B332" s="136">
        <v>9.7540449999999996</v>
      </c>
      <c r="C332" s="136">
        <v>139.2679</v>
      </c>
      <c r="D332" s="136">
        <v>37.648569999999999</v>
      </c>
      <c r="E332" s="136">
        <v>4.1580640000000004</v>
      </c>
    </row>
    <row r="333" spans="1:5" x14ac:dyDescent="0.2">
      <c r="A333" s="136" t="s">
        <v>173</v>
      </c>
      <c r="B333" s="136">
        <v>99.289299999999997</v>
      </c>
      <c r="C333" s="136">
        <v>12.425459999999999</v>
      </c>
      <c r="D333" s="136">
        <v>232.4375</v>
      </c>
      <c r="E333" s="136">
        <v>2.6239119999999998</v>
      </c>
    </row>
    <row r="334" spans="1:5" x14ac:dyDescent="0.2">
      <c r="A334" s="136" t="s">
        <v>173</v>
      </c>
      <c r="B334" s="136">
        <v>177.84370000000001</v>
      </c>
      <c r="C334" s="136">
        <v>66.608249999999998</v>
      </c>
      <c r="D334" s="136">
        <v>29.901389999999999</v>
      </c>
      <c r="E334" s="136">
        <v>20.92315</v>
      </c>
    </row>
    <row r="335" spans="1:5" x14ac:dyDescent="0.2">
      <c r="A335" s="136" t="s">
        <v>173</v>
      </c>
      <c r="B335" s="136">
        <v>64.529910000000001</v>
      </c>
      <c r="C335" s="136">
        <v>90.825770000000006</v>
      </c>
      <c r="D335" s="136">
        <v>129.00880000000001</v>
      </c>
      <c r="E335" s="136">
        <v>17.847740000000002</v>
      </c>
    </row>
    <row r="336" spans="1:5" x14ac:dyDescent="0.2">
      <c r="A336" s="136" t="s">
        <v>173</v>
      </c>
      <c r="B336" s="136">
        <v>41.08276</v>
      </c>
      <c r="C336" s="136">
        <v>59.32526</v>
      </c>
      <c r="D336" s="136">
        <v>25.729590000000002</v>
      </c>
      <c r="E336" s="136">
        <v>5.4294370000000001</v>
      </c>
    </row>
    <row r="337" spans="1:5" x14ac:dyDescent="0.2">
      <c r="A337" s="136" t="s">
        <v>173</v>
      </c>
      <c r="B337" s="136">
        <v>43.770350000000001</v>
      </c>
      <c r="C337" s="136">
        <v>26.53445</v>
      </c>
      <c r="D337" s="136">
        <v>136.04150000000001</v>
      </c>
      <c r="E337" s="136">
        <v>1.9440519999999999</v>
      </c>
    </row>
    <row r="338" spans="1:5" x14ac:dyDescent="0.2">
      <c r="A338" s="136" t="s">
        <v>173</v>
      </c>
      <c r="B338" s="136">
        <v>65.216260000000005</v>
      </c>
      <c r="C338" s="136">
        <v>30.402930000000001</v>
      </c>
      <c r="D338" s="136">
        <v>31.97899</v>
      </c>
      <c r="E338" s="136">
        <v>17.782699999999998</v>
      </c>
    </row>
    <row r="339" spans="1:5" x14ac:dyDescent="0.2">
      <c r="A339" s="136" t="s">
        <v>173</v>
      </c>
      <c r="B339" s="136">
        <v>12.360250000000001</v>
      </c>
      <c r="C339" s="136">
        <v>39.782899999999998</v>
      </c>
      <c r="D339" s="136">
        <v>5.713984</v>
      </c>
      <c r="E339" s="136">
        <v>2.2080009999999999</v>
      </c>
    </row>
    <row r="340" spans="1:5" x14ac:dyDescent="0.2">
      <c r="A340" s="136" t="s">
        <v>173</v>
      </c>
      <c r="B340" s="136">
        <v>13.98728</v>
      </c>
      <c r="C340" s="136">
        <v>38.518569999999997</v>
      </c>
      <c r="D340" s="136">
        <v>20.160640000000001</v>
      </c>
      <c r="E340" s="136">
        <v>8.9580169999999999</v>
      </c>
    </row>
    <row r="341" spans="1:5" x14ac:dyDescent="0.2">
      <c r="A341" s="136" t="s">
        <v>173</v>
      </c>
      <c r="B341" s="136">
        <v>83.070999999999998</v>
      </c>
      <c r="C341" s="136">
        <v>12.67728</v>
      </c>
      <c r="D341" s="136">
        <v>22.695810000000002</v>
      </c>
      <c r="E341" s="136">
        <v>31.0303</v>
      </c>
    </row>
    <row r="342" spans="1:5" x14ac:dyDescent="0.2">
      <c r="A342" s="136" t="s">
        <v>173</v>
      </c>
      <c r="B342" s="136">
        <v>88.026880000000006</v>
      </c>
      <c r="C342" s="136">
        <v>19.167929999999998</v>
      </c>
      <c r="D342" s="136">
        <v>25.651959999999999</v>
      </c>
      <c r="E342" s="136">
        <v>23.896159999999998</v>
      </c>
    </row>
    <row r="343" spans="1:5" x14ac:dyDescent="0.2">
      <c r="A343" s="136" t="s">
        <v>173</v>
      </c>
      <c r="B343" s="136">
        <v>213.79900000000001</v>
      </c>
      <c r="C343" s="136">
        <v>31.029170000000001</v>
      </c>
      <c r="D343" s="136">
        <v>169.76220000000001</v>
      </c>
      <c r="E343" s="136">
        <v>1.6404289999999999</v>
      </c>
    </row>
    <row r="344" spans="1:5" x14ac:dyDescent="0.2">
      <c r="A344" s="136" t="s">
        <v>173</v>
      </c>
      <c r="B344" s="136">
        <v>153.20830000000001</v>
      </c>
      <c r="C344" s="136">
        <v>38.924379999999999</v>
      </c>
      <c r="D344" s="136">
        <v>79.187089999999998</v>
      </c>
      <c r="E344" s="136">
        <v>23.091259999999998</v>
      </c>
    </row>
    <row r="345" spans="1:5" x14ac:dyDescent="0.2">
      <c r="A345" s="136" t="s">
        <v>173</v>
      </c>
      <c r="B345" s="136">
        <v>46.893549999999998</v>
      </c>
      <c r="C345" s="136">
        <v>12.612629999999999</v>
      </c>
      <c r="D345" s="136">
        <v>56.664999999999999</v>
      </c>
      <c r="E345" s="136">
        <v>6.6091620000000004</v>
      </c>
    </row>
    <row r="346" spans="1:5" x14ac:dyDescent="0.2">
      <c r="A346" s="136" t="s">
        <v>173</v>
      </c>
      <c r="B346" s="136">
        <v>15.452360000000001</v>
      </c>
      <c r="C346" s="136">
        <v>30.233429999999998</v>
      </c>
      <c r="D346" s="136">
        <v>6.9187620000000001</v>
      </c>
      <c r="E346" s="136">
        <v>17.84665</v>
      </c>
    </row>
    <row r="347" spans="1:5" x14ac:dyDescent="0.2">
      <c r="A347" s="136" t="s">
        <v>173</v>
      </c>
      <c r="B347" s="136">
        <v>57.848779999999998</v>
      </c>
      <c r="C347" s="136">
        <v>19.584140000000001</v>
      </c>
      <c r="D347" s="136">
        <v>73.176339999999996</v>
      </c>
      <c r="E347" s="136">
        <v>30.623830000000002</v>
      </c>
    </row>
    <row r="348" spans="1:5" x14ac:dyDescent="0.2">
      <c r="A348" s="136" t="s">
        <v>173</v>
      </c>
      <c r="B348" s="136">
        <v>35.388860000000001</v>
      </c>
      <c r="C348" s="136">
        <v>52.490389999999998</v>
      </c>
      <c r="D348" s="136">
        <v>85.17559</v>
      </c>
      <c r="E348" s="136">
        <v>2.4825270000000002</v>
      </c>
    </row>
    <row r="349" spans="1:5" x14ac:dyDescent="0.2">
      <c r="A349" s="136" t="s">
        <v>173</v>
      </c>
      <c r="B349" s="136">
        <v>54.588459999999998</v>
      </c>
      <c r="C349" s="136">
        <v>33.64875</v>
      </c>
      <c r="D349" s="136">
        <v>2.8499150000000002</v>
      </c>
      <c r="E349" s="136">
        <v>20.135840000000002</v>
      </c>
    </row>
    <row r="350" spans="1:5" x14ac:dyDescent="0.2">
      <c r="A350" s="136" t="s">
        <v>173</v>
      </c>
      <c r="B350" s="136">
        <v>56.725340000000003</v>
      </c>
      <c r="C350" s="136">
        <v>23.769649999999999</v>
      </c>
      <c r="D350" s="136">
        <v>116.46939999999999</v>
      </c>
      <c r="E350" s="136">
        <v>31.952100000000002</v>
      </c>
    </row>
    <row r="351" spans="1:5" x14ac:dyDescent="0.2">
      <c r="A351" s="136" t="s">
        <v>173</v>
      </c>
      <c r="B351" s="136">
        <v>71.809960000000004</v>
      </c>
      <c r="C351" s="136">
        <v>25.534320000000001</v>
      </c>
      <c r="D351" s="136">
        <v>10.322430000000001</v>
      </c>
      <c r="E351" s="136">
        <v>46.02205</v>
      </c>
    </row>
    <row r="352" spans="1:5" x14ac:dyDescent="0.2">
      <c r="A352" s="136" t="s">
        <v>173</v>
      </c>
      <c r="B352" s="136">
        <v>312.88229999999999</v>
      </c>
      <c r="C352" s="136">
        <v>25.953970000000002</v>
      </c>
      <c r="D352" s="136">
        <v>198.95699999999999</v>
      </c>
      <c r="E352" s="136">
        <v>12.265269999999999</v>
      </c>
    </row>
    <row r="353" spans="1:5" x14ac:dyDescent="0.2">
      <c r="A353" s="136" t="s">
        <v>173</v>
      </c>
      <c r="B353" s="136">
        <v>370.0326</v>
      </c>
      <c r="C353" s="136">
        <v>17.306270000000001</v>
      </c>
      <c r="D353" s="136">
        <v>45.539940000000001</v>
      </c>
      <c r="E353" s="136">
        <v>20.228670000000001</v>
      </c>
    </row>
    <row r="354" spans="1:5" x14ac:dyDescent="0.2">
      <c r="A354" s="136" t="s">
        <v>173</v>
      </c>
      <c r="B354" s="136">
        <v>17.13139</v>
      </c>
      <c r="C354" s="136">
        <v>62.657769999999999</v>
      </c>
      <c r="D354" s="136">
        <v>64.382720000000006</v>
      </c>
      <c r="E354" s="136">
        <v>10.784649999999999</v>
      </c>
    </row>
    <row r="355" spans="1:5" x14ac:dyDescent="0.2">
      <c r="A355" s="136" t="s">
        <v>173</v>
      </c>
      <c r="B355" s="136">
        <v>89.891210000000001</v>
      </c>
      <c r="C355" s="136">
        <v>15.38278</v>
      </c>
      <c r="D355" s="136">
        <v>47.830579999999998</v>
      </c>
      <c r="E355" s="136">
        <v>82.1297</v>
      </c>
    </row>
    <row r="356" spans="1:5" x14ac:dyDescent="0.2">
      <c r="A356" s="136" t="s">
        <v>173</v>
      </c>
      <c r="B356" s="136">
        <v>140.81229999999999</v>
      </c>
      <c r="C356" s="136">
        <v>19.7578</v>
      </c>
      <c r="D356" s="136">
        <v>182.8811</v>
      </c>
      <c r="E356" s="136">
        <v>5.8134750000000004</v>
      </c>
    </row>
    <row r="357" spans="1:5" x14ac:dyDescent="0.2">
      <c r="A357" s="136" t="s">
        <v>173</v>
      </c>
      <c r="B357" s="136">
        <v>147.67750000000001</v>
      </c>
      <c r="C357" s="136">
        <v>99.773679999999999</v>
      </c>
      <c r="D357" s="136">
        <v>49.274059999999999</v>
      </c>
      <c r="E357" s="136">
        <v>31.54965</v>
      </c>
    </row>
    <row r="358" spans="1:5" x14ac:dyDescent="0.2">
      <c r="A358" s="136" t="s">
        <v>173</v>
      </c>
      <c r="B358" s="136">
        <v>57.517960000000002</v>
      </c>
      <c r="C358" s="136">
        <v>86.339939999999999</v>
      </c>
      <c r="D358" s="136">
        <v>21.14517</v>
      </c>
      <c r="E358" s="136">
        <v>19.68553</v>
      </c>
    </row>
    <row r="359" spans="1:5" x14ac:dyDescent="0.2">
      <c r="A359" s="136" t="s">
        <v>173</v>
      </c>
      <c r="B359" s="136">
        <v>205.76150000000001</v>
      </c>
      <c r="C359" s="136">
        <v>38.69267</v>
      </c>
      <c r="D359" s="136">
        <v>31.550640000000001</v>
      </c>
      <c r="E359" s="136">
        <v>10.20504</v>
      </c>
    </row>
    <row r="360" spans="1:5" x14ac:dyDescent="0.2">
      <c r="A360" s="136" t="s">
        <v>173</v>
      </c>
      <c r="B360" s="136">
        <v>28.767949999999999</v>
      </c>
      <c r="C360" s="136">
        <v>23.221419999999998</v>
      </c>
      <c r="D360" s="136">
        <v>55.670839999999998</v>
      </c>
      <c r="E360" s="136">
        <v>3.4080910000000002</v>
      </c>
    </row>
    <row r="361" spans="1:5" x14ac:dyDescent="0.2">
      <c r="A361" s="136" t="s">
        <v>173</v>
      </c>
      <c r="B361" s="136">
        <v>54.506819999999998</v>
      </c>
      <c r="C361" s="136">
        <v>5.6784730000000003</v>
      </c>
      <c r="D361" s="136">
        <v>50.89958</v>
      </c>
      <c r="E361" s="136">
        <v>1.5940620000000001</v>
      </c>
    </row>
    <row r="362" spans="1:5" x14ac:dyDescent="0.2">
      <c r="A362" s="136" t="s">
        <v>173</v>
      </c>
      <c r="B362" s="136">
        <v>47.322009999999999</v>
      </c>
      <c r="C362" s="136">
        <v>32.817100000000003</v>
      </c>
      <c r="D362" s="136">
        <v>74.710949999999997</v>
      </c>
      <c r="E362" s="136">
        <v>71.232680000000002</v>
      </c>
    </row>
    <row r="363" spans="1:5" x14ac:dyDescent="0.2">
      <c r="A363" s="136" t="s">
        <v>173</v>
      </c>
      <c r="B363" s="136">
        <v>82.737260000000006</v>
      </c>
      <c r="C363" s="136">
        <v>34.95975</v>
      </c>
      <c r="D363" s="136">
        <v>8.8346599999999995</v>
      </c>
      <c r="E363" s="136">
        <v>13.9092</v>
      </c>
    </row>
    <row r="364" spans="1:5" x14ac:dyDescent="0.2">
      <c r="A364" s="136" t="s">
        <v>173</v>
      </c>
      <c r="B364" s="136">
        <v>60.77317</v>
      </c>
      <c r="C364" s="136">
        <v>36.752600000000001</v>
      </c>
      <c r="D364" s="136">
        <v>142.40969999999999</v>
      </c>
      <c r="E364" s="136">
        <v>8.1940109999999997</v>
      </c>
    </row>
    <row r="365" spans="1:5" x14ac:dyDescent="0.2">
      <c r="A365" s="136" t="s">
        <v>173</v>
      </c>
      <c r="B365" s="136">
        <v>11.486359999999999</v>
      </c>
      <c r="C365" s="136">
        <v>67.789460000000005</v>
      </c>
      <c r="D365" s="136">
        <v>55.830779999999997</v>
      </c>
      <c r="E365" s="136">
        <v>7.6173310000000001</v>
      </c>
    </row>
    <row r="366" spans="1:5" x14ac:dyDescent="0.2">
      <c r="A366" s="136" t="s">
        <v>173</v>
      </c>
      <c r="B366" s="136">
        <v>284.73219999999998</v>
      </c>
      <c r="C366" s="136">
        <v>50.735869999999998</v>
      </c>
      <c r="D366" s="136">
        <v>225.22</v>
      </c>
      <c r="E366" s="136">
        <v>15.022919999999999</v>
      </c>
    </row>
    <row r="367" spans="1:5" x14ac:dyDescent="0.2">
      <c r="A367" s="136" t="s">
        <v>173</v>
      </c>
      <c r="B367" s="136">
        <v>116.4037</v>
      </c>
      <c r="C367" s="136">
        <v>16.657689999999999</v>
      </c>
      <c r="D367" s="136">
        <v>33.58914</v>
      </c>
      <c r="E367" s="136">
        <v>79.367379999999997</v>
      </c>
    </row>
    <row r="368" spans="1:5" x14ac:dyDescent="0.2">
      <c r="A368" s="136" t="s">
        <v>173</v>
      </c>
      <c r="B368" s="136">
        <v>65.145870000000002</v>
      </c>
      <c r="C368" s="136">
        <v>44.608449999999998</v>
      </c>
      <c r="D368" s="136">
        <v>9.1430000000000007</v>
      </c>
      <c r="E368" s="136">
        <v>15.58634</v>
      </c>
    </row>
    <row r="369" spans="1:5" x14ac:dyDescent="0.2">
      <c r="A369" s="136" t="s">
        <v>173</v>
      </c>
      <c r="B369" s="136">
        <v>44.969250000000002</v>
      </c>
      <c r="C369" s="136">
        <v>85.378649999999993</v>
      </c>
      <c r="D369" s="136">
        <v>71.831299999999999</v>
      </c>
      <c r="E369" s="136">
        <v>32.05545</v>
      </c>
    </row>
    <row r="370" spans="1:5" x14ac:dyDescent="0.2">
      <c r="A370" s="136" t="s">
        <v>173</v>
      </c>
      <c r="B370" s="136">
        <v>49.064349999999997</v>
      </c>
      <c r="C370" s="136">
        <v>30.791630000000001</v>
      </c>
      <c r="D370" s="136">
        <v>128.0478</v>
      </c>
      <c r="E370" s="136">
        <v>52.488059999999997</v>
      </c>
    </row>
    <row r="371" spans="1:5" x14ac:dyDescent="0.2">
      <c r="A371" s="136" t="s">
        <v>173</v>
      </c>
      <c r="B371" s="136">
        <v>117.9182</v>
      </c>
      <c r="C371" s="136">
        <v>89.807209999999998</v>
      </c>
      <c r="D371" s="136">
        <v>93.847740000000002</v>
      </c>
      <c r="E371" s="136">
        <v>2.9444659999999998</v>
      </c>
    </row>
    <row r="372" spans="1:5" x14ac:dyDescent="0.2">
      <c r="A372" s="136" t="s">
        <v>173</v>
      </c>
      <c r="B372" s="136">
        <v>49.163649999999997</v>
      </c>
      <c r="C372" s="136">
        <v>40.387770000000003</v>
      </c>
      <c r="D372" s="136">
        <v>11.84595</v>
      </c>
      <c r="E372" s="136">
        <v>10.491630000000001</v>
      </c>
    </row>
    <row r="373" spans="1:5" x14ac:dyDescent="0.2">
      <c r="A373" s="136" t="s">
        <v>173</v>
      </c>
      <c r="B373" s="136">
        <v>51.761159999999997</v>
      </c>
      <c r="C373" s="136">
        <v>65.438059999999993</v>
      </c>
      <c r="D373" s="136">
        <v>104.5603</v>
      </c>
      <c r="E373" s="136">
        <v>105.803</v>
      </c>
    </row>
    <row r="374" spans="1:5" x14ac:dyDescent="0.2">
      <c r="A374" s="136" t="s">
        <v>173</v>
      </c>
      <c r="B374" s="136">
        <v>93.459310000000002</v>
      </c>
      <c r="C374" s="136">
        <v>42.231870000000001</v>
      </c>
      <c r="D374" s="136">
        <v>31.007339999999999</v>
      </c>
      <c r="E374" s="136">
        <v>20.372319999999998</v>
      </c>
    </row>
    <row r="375" spans="1:5" x14ac:dyDescent="0.2">
      <c r="A375" s="136" t="s">
        <v>173</v>
      </c>
      <c r="B375" s="136">
        <v>174.3939</v>
      </c>
      <c r="C375" s="136">
        <v>13.854660000000001</v>
      </c>
      <c r="D375" s="136">
        <v>84.962509999999995</v>
      </c>
      <c r="E375" s="136">
        <v>11.183070000000001</v>
      </c>
    </row>
    <row r="376" spans="1:5" x14ac:dyDescent="0.2">
      <c r="A376" s="136" t="s">
        <v>173</v>
      </c>
      <c r="B376" s="136">
        <v>13.08657</v>
      </c>
      <c r="C376" s="136">
        <v>29.702100000000002</v>
      </c>
      <c r="D376" s="136">
        <v>83.123660000000001</v>
      </c>
      <c r="E376" s="136">
        <v>3.4050690000000001</v>
      </c>
    </row>
    <row r="377" spans="1:5" x14ac:dyDescent="0.2">
      <c r="A377" s="136" t="s">
        <v>173</v>
      </c>
      <c r="B377" s="136">
        <v>44.119770000000003</v>
      </c>
      <c r="C377" s="136">
        <v>41.450409999999998</v>
      </c>
      <c r="D377" s="136">
        <v>92.970920000000007</v>
      </c>
      <c r="E377" s="136">
        <v>15.544750000000001</v>
      </c>
    </row>
    <row r="378" spans="1:5" x14ac:dyDescent="0.2">
      <c r="A378" s="136" t="s">
        <v>173</v>
      </c>
      <c r="B378" s="136">
        <v>54.71208</v>
      </c>
      <c r="C378" s="136">
        <v>20.863720000000001</v>
      </c>
      <c r="D378" s="136">
        <v>164.22200000000001</v>
      </c>
      <c r="E378" s="136">
        <v>4.484502</v>
      </c>
    </row>
    <row r="379" spans="1:5" x14ac:dyDescent="0.2">
      <c r="A379" s="136" t="s">
        <v>173</v>
      </c>
      <c r="B379" s="136">
        <v>447.13659999999999</v>
      </c>
      <c r="C379" s="136">
        <v>54.991500000000002</v>
      </c>
      <c r="D379" s="136">
        <v>77.543369999999996</v>
      </c>
      <c r="E379" s="136">
        <v>3.4732859999999999</v>
      </c>
    </row>
    <row r="380" spans="1:5" x14ac:dyDescent="0.2">
      <c r="A380" s="136" t="s">
        <v>173</v>
      </c>
      <c r="B380" s="136">
        <v>28.14489</v>
      </c>
      <c r="C380" s="136">
        <v>20.005549999999999</v>
      </c>
      <c r="D380" s="136">
        <v>72.676439999999999</v>
      </c>
      <c r="E380" s="136">
        <v>23.578119999999998</v>
      </c>
    </row>
    <row r="381" spans="1:5" x14ac:dyDescent="0.2">
      <c r="A381" s="136" t="s">
        <v>173</v>
      </c>
      <c r="B381" s="136">
        <v>61.174709999999997</v>
      </c>
      <c r="C381" s="136">
        <v>64.681690000000003</v>
      </c>
      <c r="D381" s="136">
        <v>25.351790000000001</v>
      </c>
      <c r="E381" s="136">
        <v>42.3767</v>
      </c>
    </row>
    <row r="382" spans="1:5" x14ac:dyDescent="0.2">
      <c r="A382" s="136" t="s">
        <v>173</v>
      </c>
      <c r="B382" s="136">
        <v>60.336269999999999</v>
      </c>
      <c r="C382" s="136">
        <v>18.347270000000002</v>
      </c>
      <c r="D382" s="136">
        <v>109.91719999999999</v>
      </c>
      <c r="E382" s="136">
        <v>16.622959999999999</v>
      </c>
    </row>
    <row r="383" spans="1:5" x14ac:dyDescent="0.2">
      <c r="A383" s="136" t="s">
        <v>173</v>
      </c>
      <c r="B383" s="136">
        <v>101.2899</v>
      </c>
      <c r="C383" s="136">
        <v>77.566980000000001</v>
      </c>
      <c r="D383" s="136">
        <v>18.369700000000002</v>
      </c>
      <c r="E383" s="136">
        <v>24.383310000000002</v>
      </c>
    </row>
    <row r="384" spans="1:5" x14ac:dyDescent="0.2">
      <c r="A384" s="136" t="s">
        <v>173</v>
      </c>
      <c r="B384" s="136">
        <v>30.452940000000002</v>
      </c>
      <c r="C384" s="136">
        <v>15.09717</v>
      </c>
      <c r="D384" s="136">
        <v>131.70699999999999</v>
      </c>
      <c r="E384" s="136">
        <v>1.5527230000000001</v>
      </c>
    </row>
    <row r="385" spans="1:5" x14ac:dyDescent="0.2">
      <c r="A385" s="136" t="s">
        <v>173</v>
      </c>
      <c r="B385" s="136">
        <v>18.249600000000001</v>
      </c>
      <c r="C385" s="136">
        <v>49.34834</v>
      </c>
      <c r="D385" s="136">
        <v>8.1484140000000007</v>
      </c>
      <c r="E385" s="136">
        <v>18.34094</v>
      </c>
    </row>
    <row r="386" spans="1:5" x14ac:dyDescent="0.2">
      <c r="A386" s="136" t="s">
        <v>173</v>
      </c>
      <c r="B386" s="136">
        <v>207.99979999999999</v>
      </c>
      <c r="C386" s="136">
        <v>69.463710000000006</v>
      </c>
      <c r="D386" s="136">
        <v>6.9809000000000001</v>
      </c>
      <c r="E386" s="136">
        <v>10.713480000000001</v>
      </c>
    </row>
    <row r="387" spans="1:5" x14ac:dyDescent="0.2">
      <c r="A387" s="136" t="s">
        <v>173</v>
      </c>
      <c r="B387" s="136">
        <v>81.857740000000007</v>
      </c>
      <c r="C387" s="136">
        <v>62.947310000000002</v>
      </c>
      <c r="D387" s="136">
        <v>19.363019999999999</v>
      </c>
      <c r="E387" s="136">
        <v>53.401739999999997</v>
      </c>
    </row>
    <row r="388" spans="1:5" x14ac:dyDescent="0.2">
      <c r="A388" s="136" t="s">
        <v>173</v>
      </c>
      <c r="B388" s="136">
        <v>138.59370000000001</v>
      </c>
      <c r="C388" s="136">
        <v>94.387820000000005</v>
      </c>
      <c r="D388" s="136">
        <v>28.624040000000001</v>
      </c>
      <c r="E388" s="136">
        <v>25.19314</v>
      </c>
    </row>
    <row r="389" spans="1:5" x14ac:dyDescent="0.2">
      <c r="A389" s="136" t="s">
        <v>173</v>
      </c>
      <c r="B389" s="136">
        <v>278.95960000000002</v>
      </c>
      <c r="C389" s="136">
        <v>23.16911</v>
      </c>
      <c r="D389" s="136">
        <v>29.65277</v>
      </c>
      <c r="E389" s="136">
        <v>2.7432789999999998</v>
      </c>
    </row>
    <row r="390" spans="1:5" x14ac:dyDescent="0.2">
      <c r="A390" s="136" t="s">
        <v>173</v>
      </c>
      <c r="B390" s="136">
        <v>17.16882</v>
      </c>
      <c r="C390" s="136">
        <v>25.831189999999999</v>
      </c>
      <c r="D390" s="136">
        <v>38.061129999999999</v>
      </c>
      <c r="E390" s="136">
        <v>16.049430000000001</v>
      </c>
    </row>
    <row r="391" spans="1:5" x14ac:dyDescent="0.2">
      <c r="A391" s="136" t="s">
        <v>173</v>
      </c>
      <c r="B391" s="136">
        <v>23.955069999999999</v>
      </c>
      <c r="C391" s="136">
        <v>18.27411</v>
      </c>
      <c r="D391" s="136">
        <v>110.845</v>
      </c>
      <c r="E391" s="136">
        <v>9.4565459999999995</v>
      </c>
    </row>
    <row r="392" spans="1:5" x14ac:dyDescent="0.2">
      <c r="A392" s="136" t="s">
        <v>173</v>
      </c>
      <c r="B392" s="136">
        <v>11.965540000000001</v>
      </c>
      <c r="C392" s="136">
        <v>104.65689999999999</v>
      </c>
      <c r="D392" s="136">
        <v>33.145620000000001</v>
      </c>
      <c r="E392" s="136">
        <v>10.256589999999999</v>
      </c>
    </row>
    <row r="393" spans="1:5" x14ac:dyDescent="0.2">
      <c r="A393" s="136" t="s">
        <v>173</v>
      </c>
      <c r="B393" s="136">
        <v>70.906710000000004</v>
      </c>
      <c r="C393" s="136">
        <v>4.129308</v>
      </c>
      <c r="D393" s="136">
        <v>118.28830000000001</v>
      </c>
      <c r="E393" s="136">
        <v>19.40484</v>
      </c>
    </row>
    <row r="394" spans="1:5" x14ac:dyDescent="0.2">
      <c r="A394" s="136" t="s">
        <v>173</v>
      </c>
      <c r="B394" s="136">
        <v>22.54607</v>
      </c>
      <c r="C394" s="136">
        <v>116.0483</v>
      </c>
      <c r="D394" s="136">
        <v>91.677890000000005</v>
      </c>
      <c r="E394" s="136">
        <v>5.4743329999999997</v>
      </c>
    </row>
    <row r="395" spans="1:5" x14ac:dyDescent="0.2">
      <c r="A395" s="136" t="s">
        <v>173</v>
      </c>
      <c r="B395" s="136">
        <v>14.02643</v>
      </c>
      <c r="C395" s="136">
        <v>4.3702930000000002</v>
      </c>
      <c r="D395" s="136">
        <v>17.97466</v>
      </c>
      <c r="E395" s="136">
        <v>1.833377</v>
      </c>
    </row>
    <row r="396" spans="1:5" x14ac:dyDescent="0.2">
      <c r="A396" s="136" t="s">
        <v>173</v>
      </c>
      <c r="B396" s="136">
        <v>58.263420000000004</v>
      </c>
      <c r="C396" s="136">
        <v>46.526760000000003</v>
      </c>
      <c r="D396" s="136">
        <v>26.748280000000001</v>
      </c>
      <c r="E396" s="136">
        <v>18.922249999999998</v>
      </c>
    </row>
    <row r="397" spans="1:5" x14ac:dyDescent="0.2">
      <c r="A397" s="136" t="s">
        <v>173</v>
      </c>
      <c r="B397" s="136">
        <v>45.514620000000001</v>
      </c>
      <c r="C397" s="136">
        <v>121.89490000000001</v>
      </c>
      <c r="D397" s="136">
        <v>124.76560000000001</v>
      </c>
      <c r="E397" s="136">
        <v>2.541401</v>
      </c>
    </row>
    <row r="398" spans="1:5" x14ac:dyDescent="0.2">
      <c r="A398" s="136" t="s">
        <v>173</v>
      </c>
      <c r="B398" s="136">
        <v>33.14611</v>
      </c>
      <c r="C398" s="136">
        <v>55.795020000000001</v>
      </c>
      <c r="D398" s="136">
        <v>13.65419</v>
      </c>
      <c r="E398" s="136">
        <v>1.2896300000000001</v>
      </c>
    </row>
    <row r="399" spans="1:5" x14ac:dyDescent="0.2">
      <c r="A399" s="136" t="s">
        <v>173</v>
      </c>
      <c r="B399" s="136">
        <v>22.988659999999999</v>
      </c>
      <c r="C399" s="136">
        <v>75.365099999999998</v>
      </c>
      <c r="D399" s="136">
        <v>61.877719999999997</v>
      </c>
      <c r="E399" s="136">
        <v>119.98</v>
      </c>
    </row>
    <row r="400" spans="1:5" x14ac:dyDescent="0.2">
      <c r="A400" s="136" t="s">
        <v>173</v>
      </c>
      <c r="B400" s="136">
        <v>191.63980000000001</v>
      </c>
      <c r="C400" s="136">
        <v>38.164479999999998</v>
      </c>
      <c r="D400" s="136">
        <v>46.754309999999997</v>
      </c>
      <c r="E400" s="136">
        <v>0.81763200000000003</v>
      </c>
    </row>
    <row r="401" spans="1:5" x14ac:dyDescent="0.2">
      <c r="A401" s="136" t="s">
        <v>173</v>
      </c>
      <c r="B401" s="136">
        <v>73.476389999999995</v>
      </c>
      <c r="C401" s="136">
        <v>69.843909999999994</v>
      </c>
      <c r="D401" s="136">
        <v>152.31360000000001</v>
      </c>
      <c r="E401" s="136">
        <v>70.227850000000004</v>
      </c>
    </row>
    <row r="402" spans="1:5" x14ac:dyDescent="0.2">
      <c r="A402" s="136" t="s">
        <v>173</v>
      </c>
      <c r="B402" s="136">
        <v>84.806200000000004</v>
      </c>
      <c r="C402" s="136">
        <v>37.720579999999998</v>
      </c>
      <c r="D402" s="136">
        <v>31.422350000000002</v>
      </c>
      <c r="E402" s="136">
        <v>29.624300000000002</v>
      </c>
    </row>
    <row r="403" spans="1:5" x14ac:dyDescent="0.2">
      <c r="A403" s="136" t="s">
        <v>173</v>
      </c>
      <c r="B403" s="136">
        <v>168.21299999999999</v>
      </c>
      <c r="C403" s="136">
        <v>43.958550000000002</v>
      </c>
      <c r="D403" s="136">
        <v>47.84704</v>
      </c>
      <c r="E403" s="136">
        <v>29.893319999999999</v>
      </c>
    </row>
    <row r="404" spans="1:5" x14ac:dyDescent="0.2">
      <c r="A404" s="136" t="s">
        <v>173</v>
      </c>
      <c r="B404" s="136">
        <v>89.390119999999996</v>
      </c>
      <c r="C404" s="136">
        <v>50.06738</v>
      </c>
      <c r="D404" s="136">
        <v>45.013660000000002</v>
      </c>
      <c r="E404" s="136">
        <v>28.756550000000001</v>
      </c>
    </row>
    <row r="405" spans="1:5" x14ac:dyDescent="0.2">
      <c r="A405" s="136" t="s">
        <v>173</v>
      </c>
      <c r="B405" s="136">
        <v>138.26050000000001</v>
      </c>
      <c r="C405" s="136">
        <v>52.11862</v>
      </c>
      <c r="D405" s="136">
        <v>157.4333</v>
      </c>
      <c r="E405" s="136">
        <v>7.2299300000000004</v>
      </c>
    </row>
    <row r="406" spans="1:5" x14ac:dyDescent="0.2">
      <c r="A406" s="136" t="s">
        <v>173</v>
      </c>
      <c r="B406" s="136">
        <v>187.12620000000001</v>
      </c>
      <c r="C406" s="136">
        <v>9.4577880000000007</v>
      </c>
      <c r="D406" s="136">
        <v>26.303519999999999</v>
      </c>
      <c r="E406" s="136">
        <v>10.718019999999999</v>
      </c>
    </row>
    <row r="407" spans="1:5" x14ac:dyDescent="0.2">
      <c r="A407" s="136" t="s">
        <v>173</v>
      </c>
      <c r="B407" s="136">
        <v>100.80589999999999</v>
      </c>
      <c r="C407" s="136">
        <v>51.698680000000003</v>
      </c>
      <c r="D407" s="136">
        <v>30.25421</v>
      </c>
      <c r="E407" s="136">
        <v>5.4268960000000002</v>
      </c>
    </row>
    <row r="408" spans="1:5" x14ac:dyDescent="0.2">
      <c r="A408" s="136" t="s">
        <v>173</v>
      </c>
      <c r="B408" s="136">
        <v>72.801079999999999</v>
      </c>
      <c r="C408" s="136">
        <v>51.60474</v>
      </c>
      <c r="D408" s="136">
        <v>5.952032</v>
      </c>
      <c r="E408" s="136">
        <v>18.77412</v>
      </c>
    </row>
    <row r="409" spans="1:5" x14ac:dyDescent="0.2">
      <c r="A409" s="136" t="s">
        <v>173</v>
      </c>
      <c r="B409" s="136">
        <v>265.79629999999997</v>
      </c>
      <c r="C409" s="136">
        <v>54.783009999999997</v>
      </c>
      <c r="D409" s="136">
        <v>82.658010000000004</v>
      </c>
      <c r="E409" s="136">
        <v>35.25188</v>
      </c>
    </row>
    <row r="410" spans="1:5" x14ac:dyDescent="0.2">
      <c r="A410" s="136" t="s">
        <v>173</v>
      </c>
      <c r="B410" s="136">
        <v>67.120009999999994</v>
      </c>
      <c r="C410" s="136">
        <v>18.618559999999999</v>
      </c>
      <c r="D410" s="136">
        <v>13.727449999999999</v>
      </c>
      <c r="E410" s="136">
        <v>8.9098500000000005</v>
      </c>
    </row>
    <row r="411" spans="1:5" x14ac:dyDescent="0.2">
      <c r="A411" s="136" t="s">
        <v>173</v>
      </c>
      <c r="B411" s="136">
        <v>47.14376</v>
      </c>
      <c r="C411" s="136">
        <v>9.0513200000000005</v>
      </c>
      <c r="D411" s="136">
        <v>48.395429999999998</v>
      </c>
      <c r="E411" s="136">
        <v>15.84154</v>
      </c>
    </row>
    <row r="412" spans="1:5" x14ac:dyDescent="0.2">
      <c r="A412" s="136" t="s">
        <v>173</v>
      </c>
      <c r="B412" s="136">
        <v>36.876820000000002</v>
      </c>
      <c r="C412" s="136">
        <v>10.9406</v>
      </c>
      <c r="D412" s="136">
        <v>67.2637</v>
      </c>
      <c r="E412" s="136">
        <v>4.9671209999999997</v>
      </c>
    </row>
    <row r="413" spans="1:5" x14ac:dyDescent="0.2">
      <c r="A413" s="136" t="s">
        <v>173</v>
      </c>
      <c r="B413" s="136">
        <v>14.735390000000001</v>
      </c>
      <c r="C413" s="136">
        <v>48.293970000000002</v>
      </c>
      <c r="D413" s="136">
        <v>160.44659999999999</v>
      </c>
      <c r="E413" s="136">
        <v>11.40363</v>
      </c>
    </row>
    <row r="414" spans="1:5" x14ac:dyDescent="0.2">
      <c r="A414" s="136" t="s">
        <v>173</v>
      </c>
      <c r="B414" s="136">
        <v>28.76098</v>
      </c>
      <c r="C414" s="136">
        <v>78.423969999999997</v>
      </c>
      <c r="D414" s="136">
        <v>112.5761</v>
      </c>
      <c r="E414" s="136">
        <v>4.1323749999999997</v>
      </c>
    </row>
    <row r="415" spans="1:5" x14ac:dyDescent="0.2">
      <c r="A415" s="136" t="s">
        <v>173</v>
      </c>
      <c r="B415" s="136">
        <v>80.838840000000005</v>
      </c>
      <c r="C415" s="136">
        <v>62.633159999999997</v>
      </c>
      <c r="D415" s="136">
        <v>9.9511839999999996</v>
      </c>
      <c r="E415" s="136">
        <v>0.37771500000000002</v>
      </c>
    </row>
    <row r="416" spans="1:5" x14ac:dyDescent="0.2">
      <c r="A416" s="136" t="s">
        <v>173</v>
      </c>
      <c r="B416" s="136">
        <v>5.444</v>
      </c>
      <c r="C416" s="136">
        <v>63.508450000000003</v>
      </c>
      <c r="D416" s="136">
        <v>82.771519999999995</v>
      </c>
      <c r="E416" s="136">
        <v>19.73676</v>
      </c>
    </row>
    <row r="417" spans="1:5" x14ac:dyDescent="0.2">
      <c r="A417" s="136" t="s">
        <v>173</v>
      </c>
      <c r="B417" s="136">
        <v>84.184420000000003</v>
      </c>
      <c r="C417" s="136">
        <v>17.591999999999999</v>
      </c>
      <c r="D417" s="136">
        <v>65.77364</v>
      </c>
      <c r="E417" s="136">
        <v>3.1265710000000002</v>
      </c>
    </row>
    <row r="418" spans="1:5" x14ac:dyDescent="0.2">
      <c r="A418" s="136" t="s">
        <v>173</v>
      </c>
      <c r="B418" s="136">
        <v>59.0563</v>
      </c>
      <c r="C418" s="136">
        <v>11.20149</v>
      </c>
      <c r="D418" s="136">
        <v>99.615260000000006</v>
      </c>
      <c r="E418" s="136">
        <v>20.067150000000002</v>
      </c>
    </row>
    <row r="419" spans="1:5" x14ac:dyDescent="0.2">
      <c r="A419" s="136" t="s">
        <v>173</v>
      </c>
      <c r="B419" s="136">
        <v>32.025979999999997</v>
      </c>
      <c r="C419" s="136">
        <v>145.45089999999999</v>
      </c>
      <c r="D419" s="136">
        <v>42.971110000000003</v>
      </c>
      <c r="E419" s="136">
        <v>8.4642920000000004</v>
      </c>
    </row>
    <row r="420" spans="1:5" x14ac:dyDescent="0.2">
      <c r="A420" s="136" t="s">
        <v>173</v>
      </c>
      <c r="B420" s="136">
        <v>59.87003</v>
      </c>
      <c r="C420" s="136">
        <v>25.471209999999999</v>
      </c>
      <c r="D420" s="136">
        <v>62.255319999999998</v>
      </c>
      <c r="E420" s="136">
        <v>3.6551239999999998</v>
      </c>
    </row>
    <row r="421" spans="1:5" x14ac:dyDescent="0.2">
      <c r="A421" s="136" t="s">
        <v>173</v>
      </c>
      <c r="B421" s="136">
        <v>129.32810000000001</v>
      </c>
      <c r="C421" s="136">
        <v>47.552590000000002</v>
      </c>
      <c r="D421" s="136">
        <v>60.5456</v>
      </c>
      <c r="E421" s="136">
        <v>4.4805450000000002</v>
      </c>
    </row>
    <row r="422" spans="1:5" x14ac:dyDescent="0.2">
      <c r="A422" s="136" t="s">
        <v>173</v>
      </c>
      <c r="B422" s="136">
        <v>109.10339999999999</v>
      </c>
      <c r="C422" s="136">
        <v>36.26878</v>
      </c>
      <c r="D422" s="136">
        <v>43.189529999999998</v>
      </c>
      <c r="E422" s="136">
        <v>6.5895510000000002</v>
      </c>
    </row>
    <row r="423" spans="1:5" x14ac:dyDescent="0.2">
      <c r="A423" s="136" t="s">
        <v>173</v>
      </c>
      <c r="B423" s="136">
        <v>25.791229999999999</v>
      </c>
      <c r="C423" s="136">
        <v>19.09477</v>
      </c>
      <c r="D423" s="136">
        <v>81.263069999999999</v>
      </c>
      <c r="E423" s="136">
        <v>2.2623340000000001</v>
      </c>
    </row>
    <row r="424" spans="1:5" x14ac:dyDescent="0.2">
      <c r="A424" s="136" t="s">
        <v>173</v>
      </c>
      <c r="B424" s="136">
        <v>76.294039999999995</v>
      </c>
      <c r="C424" s="136">
        <v>65.552629999999994</v>
      </c>
      <c r="D424" s="136">
        <v>97.948459999999997</v>
      </c>
      <c r="E424" s="136">
        <v>3.4208780000000001</v>
      </c>
    </row>
    <row r="425" spans="1:5" x14ac:dyDescent="0.2">
      <c r="A425" s="136" t="s">
        <v>173</v>
      </c>
      <c r="B425" s="136">
        <v>61.95984</v>
      </c>
      <c r="C425" s="136">
        <v>106.1939</v>
      </c>
      <c r="D425" s="136">
        <v>86.18141</v>
      </c>
      <c r="E425" s="136">
        <v>21.551570000000002</v>
      </c>
    </row>
    <row r="426" spans="1:5" x14ac:dyDescent="0.2">
      <c r="A426" s="136" t="s">
        <v>173</v>
      </c>
      <c r="B426" s="136">
        <v>32.390210000000003</v>
      </c>
      <c r="C426" s="136">
        <v>46.477969999999999</v>
      </c>
      <c r="D426" s="136">
        <v>22.529949999999999</v>
      </c>
      <c r="E426" s="136">
        <v>20.683070000000001</v>
      </c>
    </row>
    <row r="427" spans="1:5" x14ac:dyDescent="0.2">
      <c r="A427" s="136" t="s">
        <v>173</v>
      </c>
      <c r="B427" s="136">
        <v>92.166520000000006</v>
      </c>
      <c r="C427" s="136">
        <v>31.508469999999999</v>
      </c>
      <c r="D427" s="136">
        <v>154.4091</v>
      </c>
      <c r="E427" s="136">
        <v>10.659840000000001</v>
      </c>
    </row>
    <row r="428" spans="1:5" x14ac:dyDescent="0.2">
      <c r="A428" s="136" t="s">
        <v>173</v>
      </c>
      <c r="B428" s="136">
        <v>126.39870000000001</v>
      </c>
      <c r="C428" s="136">
        <v>15.44177</v>
      </c>
      <c r="D428" s="136">
        <v>51.834980000000002</v>
      </c>
      <c r="E428" s="136">
        <v>19.257709999999999</v>
      </c>
    </row>
    <row r="429" spans="1:5" x14ac:dyDescent="0.2">
      <c r="A429" s="136" t="s">
        <v>173</v>
      </c>
      <c r="B429" s="136">
        <v>219.84479999999999</v>
      </c>
      <c r="C429" s="136">
        <v>10.11548</v>
      </c>
      <c r="D429" s="136">
        <v>43.294699999999999</v>
      </c>
      <c r="E429" s="136">
        <v>4.1242260000000002</v>
      </c>
    </row>
    <row r="430" spans="1:5" x14ac:dyDescent="0.2">
      <c r="A430" s="136" t="s">
        <v>173</v>
      </c>
      <c r="B430" s="136">
        <v>183.553</v>
      </c>
      <c r="C430" s="136">
        <v>8.2078740000000003</v>
      </c>
      <c r="D430" s="136">
        <v>4.9379460000000002</v>
      </c>
      <c r="E430" s="136">
        <v>7.2331880000000002</v>
      </c>
    </row>
    <row r="431" spans="1:5" x14ac:dyDescent="0.2">
      <c r="A431" s="136" t="s">
        <v>173</v>
      </c>
      <c r="B431" s="136">
        <v>21.702030000000001</v>
      </c>
      <c r="C431" s="136">
        <v>56.328800000000001</v>
      </c>
      <c r="D431" s="136">
        <v>164.40180000000001</v>
      </c>
      <c r="E431" s="136">
        <v>9.8188089999999999</v>
      </c>
    </row>
    <row r="432" spans="1:5" x14ac:dyDescent="0.2">
      <c r="A432" s="136" t="s">
        <v>173</v>
      </c>
      <c r="B432" s="136">
        <v>75.699389999999994</v>
      </c>
      <c r="C432" s="136">
        <v>18.443539999999999</v>
      </c>
      <c r="D432" s="136">
        <v>38.196260000000002</v>
      </c>
      <c r="E432" s="136">
        <v>26.990020000000001</v>
      </c>
    </row>
    <row r="433" spans="1:5" x14ac:dyDescent="0.2">
      <c r="A433" s="136" t="s">
        <v>173</v>
      </c>
      <c r="B433" s="136">
        <v>156.11940000000001</v>
      </c>
      <c r="C433" s="136">
        <v>51.967570000000002</v>
      </c>
      <c r="D433" s="136">
        <v>73.209440000000001</v>
      </c>
      <c r="E433" s="136">
        <v>1.999849</v>
      </c>
    </row>
    <row r="434" spans="1:5" x14ac:dyDescent="0.2">
      <c r="A434" s="136" t="s">
        <v>173</v>
      </c>
      <c r="B434" s="136">
        <v>84.536550000000005</v>
      </c>
      <c r="C434" s="136">
        <v>8.3175399999999993</v>
      </c>
      <c r="D434" s="136">
        <v>34.028019999999998</v>
      </c>
      <c r="E434" s="136">
        <v>2.8161619999999998</v>
      </c>
    </row>
    <row r="435" spans="1:5" x14ac:dyDescent="0.2">
      <c r="A435" s="136" t="s">
        <v>173</v>
      </c>
      <c r="B435" s="136">
        <v>54.913699999999999</v>
      </c>
      <c r="C435" s="136">
        <v>53.532359999999997</v>
      </c>
      <c r="D435" s="136">
        <v>100.63200000000001</v>
      </c>
      <c r="E435" s="136">
        <v>32.344830000000002</v>
      </c>
    </row>
    <row r="436" spans="1:5" x14ac:dyDescent="0.2">
      <c r="A436" s="136" t="s">
        <v>173</v>
      </c>
      <c r="B436" s="136">
        <v>144.7012</v>
      </c>
      <c r="C436" s="136">
        <v>40.571680000000001</v>
      </c>
      <c r="D436" s="136">
        <v>29.53519</v>
      </c>
      <c r="E436" s="136">
        <v>3.00813</v>
      </c>
    </row>
    <row r="437" spans="1:5" x14ac:dyDescent="0.2">
      <c r="A437" s="136" t="s">
        <v>173</v>
      </c>
      <c r="B437" s="136">
        <v>78.390900000000002</v>
      </c>
      <c r="C437" s="136">
        <v>38.143360000000001</v>
      </c>
      <c r="D437" s="136">
        <v>22.691269999999999</v>
      </c>
      <c r="E437" s="136">
        <v>28.635210000000001</v>
      </c>
    </row>
    <row r="438" spans="1:5" x14ac:dyDescent="0.2">
      <c r="A438" s="136" t="s">
        <v>173</v>
      </c>
      <c r="B438" s="136">
        <v>104.5735</v>
      </c>
      <c r="C438" s="136">
        <v>27.729700000000001</v>
      </c>
      <c r="D438" s="136">
        <v>30.440460000000002</v>
      </c>
      <c r="E438" s="136">
        <v>20.389949999999999</v>
      </c>
    </row>
    <row r="439" spans="1:5" x14ac:dyDescent="0.2">
      <c r="A439" s="136" t="s">
        <v>173</v>
      </c>
      <c r="B439" s="136">
        <v>23.38419</v>
      </c>
      <c r="C439" s="136">
        <v>114.81</v>
      </c>
      <c r="D439" s="136">
        <v>145.26410000000001</v>
      </c>
      <c r="E439" s="136">
        <v>0.78098400000000001</v>
      </c>
    </row>
    <row r="440" spans="1:5" x14ac:dyDescent="0.2">
      <c r="A440" s="136" t="s">
        <v>173</v>
      </c>
      <c r="B440" s="136">
        <v>238.39109999999999</v>
      </c>
      <c r="C440" s="136">
        <v>16.333950000000002</v>
      </c>
      <c r="D440" s="136">
        <v>13.413500000000001</v>
      </c>
      <c r="E440" s="136">
        <v>1.3186469999999999</v>
      </c>
    </row>
    <row r="441" spans="1:5" x14ac:dyDescent="0.2">
      <c r="A441" s="136" t="s">
        <v>173</v>
      </c>
      <c r="B441" s="136">
        <v>21.572939999999999</v>
      </c>
      <c r="C441" s="136">
        <v>24.765640000000001</v>
      </c>
      <c r="D441" s="136">
        <v>70.854839999999996</v>
      </c>
      <c r="E441" s="136">
        <v>7.1504919999999998</v>
      </c>
    </row>
    <row r="442" spans="1:5" x14ac:dyDescent="0.2">
      <c r="A442" s="136" t="s">
        <v>173</v>
      </c>
      <c r="B442" s="136">
        <v>37.812690000000003</v>
      </c>
      <c r="C442" s="136">
        <v>63.855370000000001</v>
      </c>
      <c r="D442" s="136">
        <v>71.801389999999998</v>
      </c>
      <c r="E442" s="136">
        <v>43.325139999999998</v>
      </c>
    </row>
    <row r="443" spans="1:5" x14ac:dyDescent="0.2">
      <c r="A443" s="136" t="s">
        <v>173</v>
      </c>
      <c r="B443" s="136">
        <v>75.359200000000001</v>
      </c>
      <c r="C443" s="136">
        <v>46.927729999999997</v>
      </c>
      <c r="D443" s="136">
        <v>106.886</v>
      </c>
      <c r="E443" s="136">
        <v>7.1490109999999998</v>
      </c>
    </row>
    <row r="444" spans="1:5" x14ac:dyDescent="0.2">
      <c r="A444" s="136" t="s">
        <v>173</v>
      </c>
      <c r="B444" s="136">
        <v>88.233230000000006</v>
      </c>
      <c r="C444" s="136">
        <v>21.040859999999999</v>
      </c>
      <c r="D444" s="136">
        <v>29.077529999999999</v>
      </c>
      <c r="E444" s="136">
        <v>45.00761</v>
      </c>
    </row>
    <row r="445" spans="1:5" x14ac:dyDescent="0.2">
      <c r="A445" s="136" t="s">
        <v>173</v>
      </c>
      <c r="B445" s="136">
        <v>42.100099999999998</v>
      </c>
      <c r="C445" s="136">
        <v>58.305349999999997</v>
      </c>
      <c r="D445" s="136">
        <v>137.33600000000001</v>
      </c>
      <c r="E445" s="136">
        <v>3.889615</v>
      </c>
    </row>
    <row r="446" spans="1:5" x14ac:dyDescent="0.2">
      <c r="A446" s="136" t="s">
        <v>173</v>
      </c>
      <c r="B446" s="136">
        <v>22.515360000000001</v>
      </c>
      <c r="C446" s="136">
        <v>52.46546</v>
      </c>
      <c r="D446" s="136">
        <v>24.045390000000001</v>
      </c>
      <c r="E446" s="136">
        <v>35.66686</v>
      </c>
    </row>
    <row r="447" spans="1:5" x14ac:dyDescent="0.2">
      <c r="A447" s="136" t="s">
        <v>173</v>
      </c>
      <c r="B447" s="136">
        <v>212.2011</v>
      </c>
      <c r="C447" s="136">
        <v>94.075509999999994</v>
      </c>
      <c r="D447" s="136">
        <v>23.231539999999999</v>
      </c>
      <c r="E447" s="136">
        <v>65.487909999999999</v>
      </c>
    </row>
    <row r="448" spans="1:5" x14ac:dyDescent="0.2">
      <c r="A448" s="136" t="s">
        <v>173</v>
      </c>
      <c r="B448" s="136">
        <v>143.7637</v>
      </c>
      <c r="C448" s="136">
        <v>41.594450000000002</v>
      </c>
      <c r="D448" s="136">
        <v>216.20660000000001</v>
      </c>
      <c r="E448" s="136">
        <v>27.421250000000001</v>
      </c>
    </row>
    <row r="449" spans="1:5" x14ac:dyDescent="0.2">
      <c r="A449" s="136" t="s">
        <v>173</v>
      </c>
      <c r="B449" s="136">
        <v>27.75009</v>
      </c>
      <c r="C449" s="136">
        <v>24.143090000000001</v>
      </c>
      <c r="D449" s="136">
        <v>25.827929999999999</v>
      </c>
      <c r="E449" s="136">
        <v>13.84315</v>
      </c>
    </row>
    <row r="450" spans="1:5" x14ac:dyDescent="0.2">
      <c r="A450" s="136" t="s">
        <v>173</v>
      </c>
      <c r="B450" s="136">
        <v>34.945239999999998</v>
      </c>
      <c r="C450" s="136">
        <v>31.050709999999999</v>
      </c>
      <c r="D450" s="136">
        <v>25.077020000000001</v>
      </c>
      <c r="E450" s="136">
        <v>39.397300000000001</v>
      </c>
    </row>
    <row r="451" spans="1:5" x14ac:dyDescent="0.2">
      <c r="A451" s="136" t="s">
        <v>173</v>
      </c>
      <c r="B451" s="136">
        <v>116.73399999999999</v>
      </c>
      <c r="C451" s="136">
        <v>17.58644</v>
      </c>
      <c r="D451" s="136">
        <v>11.477320000000001</v>
      </c>
      <c r="E451" s="136">
        <v>0.80040599999999995</v>
      </c>
    </row>
    <row r="452" spans="1:5" x14ac:dyDescent="0.2">
      <c r="A452" s="136" t="s">
        <v>173</v>
      </c>
      <c r="B452" s="136">
        <v>47.118130000000001</v>
      </c>
      <c r="C452" s="136">
        <v>33.458840000000002</v>
      </c>
      <c r="D452" s="136">
        <v>201.67740000000001</v>
      </c>
      <c r="E452" s="136">
        <v>18.826339999999998</v>
      </c>
    </row>
    <row r="453" spans="1:5" x14ac:dyDescent="0.2">
      <c r="A453" s="136" t="s">
        <v>173</v>
      </c>
      <c r="B453" s="136">
        <v>15.263450000000001</v>
      </c>
      <c r="C453" s="136">
        <v>51.65258</v>
      </c>
      <c r="D453" s="136">
        <v>152.04419999999999</v>
      </c>
      <c r="E453" s="136">
        <v>2.9446949999999998</v>
      </c>
    </row>
    <row r="454" spans="1:5" x14ac:dyDescent="0.2">
      <c r="A454" s="136" t="s">
        <v>173</v>
      </c>
      <c r="B454" s="136">
        <v>22.77224</v>
      </c>
      <c r="C454" s="136">
        <v>18.40136</v>
      </c>
      <c r="D454" s="136">
        <v>3.748329</v>
      </c>
      <c r="E454" s="136">
        <v>11.13467</v>
      </c>
    </row>
    <row r="455" spans="1:5" x14ac:dyDescent="0.2">
      <c r="A455" s="136" t="s">
        <v>173</v>
      </c>
      <c r="B455" s="136">
        <v>67.21687</v>
      </c>
      <c r="C455" s="136">
        <v>14.281739999999999</v>
      </c>
      <c r="D455" s="136">
        <v>37.746209999999998</v>
      </c>
      <c r="E455" s="136">
        <v>39.352969999999999</v>
      </c>
    </row>
    <row r="456" spans="1:5" x14ac:dyDescent="0.2">
      <c r="A456" s="136" t="s">
        <v>173</v>
      </c>
      <c r="B456" s="136">
        <v>1.2446459999999999</v>
      </c>
      <c r="C456" s="136">
        <v>3.9991180000000002</v>
      </c>
      <c r="D456" s="136">
        <v>103.99250000000001</v>
      </c>
      <c r="E456" s="136">
        <v>10.53098</v>
      </c>
    </row>
    <row r="457" spans="1:5" x14ac:dyDescent="0.2">
      <c r="A457" s="136" t="s">
        <v>173</v>
      </c>
      <c r="B457" s="136">
        <v>27.44426</v>
      </c>
      <c r="C457" s="136">
        <v>49.127070000000003</v>
      </c>
      <c r="D457" s="136">
        <v>63.299250000000001</v>
      </c>
      <c r="E457" s="136">
        <v>17.920829999999999</v>
      </c>
    </row>
    <row r="458" spans="1:5" x14ac:dyDescent="0.2">
      <c r="A458" s="136" t="s">
        <v>173</v>
      </c>
      <c r="B458" s="136">
        <v>119.2239</v>
      </c>
      <c r="C458" s="136">
        <v>18.81776</v>
      </c>
      <c r="D458" s="136">
        <v>25.6509</v>
      </c>
      <c r="E458" s="136">
        <v>22.554839999999999</v>
      </c>
    </row>
    <row r="459" spans="1:5" x14ac:dyDescent="0.2">
      <c r="A459" s="136" t="s">
        <v>173</v>
      </c>
      <c r="B459" s="136">
        <v>77.597890000000007</v>
      </c>
      <c r="C459" s="136">
        <v>16.248850000000001</v>
      </c>
      <c r="D459" s="136">
        <v>84.365889999999993</v>
      </c>
      <c r="E459" s="136">
        <v>105.57389999999999</v>
      </c>
    </row>
    <row r="460" spans="1:5" x14ac:dyDescent="0.2">
      <c r="A460" s="136" t="s">
        <v>173</v>
      </c>
      <c r="B460" s="136">
        <v>28.405180000000001</v>
      </c>
      <c r="C460" s="136">
        <v>9.4815140000000007</v>
      </c>
      <c r="D460" s="136">
        <v>153.8998</v>
      </c>
      <c r="E460" s="136">
        <v>4.5549229999999996</v>
      </c>
    </row>
    <row r="461" spans="1:5" x14ac:dyDescent="0.2">
      <c r="A461" s="136" t="s">
        <v>173</v>
      </c>
      <c r="B461" s="136">
        <v>8.4029439999999997</v>
      </c>
      <c r="C461" s="136">
        <v>30.95112</v>
      </c>
      <c r="D461" s="136">
        <v>129.20339999999999</v>
      </c>
      <c r="E461" s="136">
        <v>5.9815990000000001</v>
      </c>
    </row>
    <row r="462" spans="1:5" x14ac:dyDescent="0.2">
      <c r="A462" s="136" t="s">
        <v>173</v>
      </c>
      <c r="B462" s="136">
        <v>119.9783</v>
      </c>
      <c r="C462" s="136">
        <v>19.470279999999999</v>
      </c>
      <c r="D462" s="136">
        <v>78.782139999999998</v>
      </c>
      <c r="E462" s="136">
        <v>4.655951</v>
      </c>
    </row>
    <row r="463" spans="1:5" x14ac:dyDescent="0.2">
      <c r="A463" s="136" t="s">
        <v>173</v>
      </c>
      <c r="B463" s="136">
        <v>178.38890000000001</v>
      </c>
      <c r="C463" s="136">
        <v>38.598260000000003</v>
      </c>
      <c r="D463" s="136">
        <v>46.918410000000002</v>
      </c>
      <c r="E463" s="136">
        <v>6.9430959999999997</v>
      </c>
    </row>
    <row r="464" spans="1:5" x14ac:dyDescent="0.2">
      <c r="A464" s="136" t="s">
        <v>173</v>
      </c>
      <c r="B464" s="136">
        <v>67.659599999999998</v>
      </c>
      <c r="C464" s="136">
        <v>0.76487000000000005</v>
      </c>
      <c r="D464" s="136">
        <v>168.55680000000001</v>
      </c>
      <c r="E464" s="136">
        <v>52.807299999999998</v>
      </c>
    </row>
    <row r="465" spans="1:5" x14ac:dyDescent="0.2">
      <c r="A465" s="136" t="s">
        <v>173</v>
      </c>
      <c r="B465" s="136">
        <v>12.0921</v>
      </c>
      <c r="C465" s="136">
        <v>57.416609999999999</v>
      </c>
      <c r="D465" s="136">
        <v>81.68468</v>
      </c>
      <c r="E465" s="136">
        <v>9.1575150000000001</v>
      </c>
    </row>
    <row r="466" spans="1:5" x14ac:dyDescent="0.2">
      <c r="A466" s="136" t="s">
        <v>173</v>
      </c>
      <c r="B466" s="136">
        <v>49.901519999999998</v>
      </c>
      <c r="C466" s="136">
        <v>60.336730000000003</v>
      </c>
      <c r="D466" s="136">
        <v>84.16628</v>
      </c>
      <c r="E466" s="136">
        <v>3.0240360000000002</v>
      </c>
    </row>
    <row r="467" spans="1:5" x14ac:dyDescent="0.2">
      <c r="A467" s="136" t="s">
        <v>173</v>
      </c>
      <c r="B467" s="136">
        <v>154.43600000000001</v>
      </c>
      <c r="C467" s="136">
        <v>31.592230000000001</v>
      </c>
      <c r="D467" s="136">
        <v>95.319820000000007</v>
      </c>
      <c r="E467" s="136">
        <v>9.0077750000000005</v>
      </c>
    </row>
    <row r="468" spans="1:5" x14ac:dyDescent="0.2">
      <c r="A468" s="136" t="s">
        <v>173</v>
      </c>
      <c r="B468" s="136">
        <v>42.149030000000003</v>
      </c>
      <c r="C468" s="136">
        <v>62.33484</v>
      </c>
      <c r="D468" s="136">
        <v>189.1473</v>
      </c>
      <c r="E468" s="136">
        <v>5.8903629999999998</v>
      </c>
    </row>
    <row r="469" spans="1:5" x14ac:dyDescent="0.2">
      <c r="A469" s="136" t="s">
        <v>173</v>
      </c>
      <c r="B469" s="136">
        <v>50.314959999999999</v>
      </c>
      <c r="C469" s="136">
        <v>25.2636</v>
      </c>
      <c r="D469" s="136">
        <v>92.014210000000006</v>
      </c>
      <c r="E469" s="136">
        <v>14.95485</v>
      </c>
    </row>
    <row r="470" spans="1:5" x14ac:dyDescent="0.2">
      <c r="A470" s="136" t="s">
        <v>173</v>
      </c>
      <c r="B470" s="136">
        <v>29.713560000000001</v>
      </c>
      <c r="C470" s="136">
        <v>57.427019999999999</v>
      </c>
      <c r="D470" s="136">
        <v>45.59798</v>
      </c>
      <c r="E470" s="136">
        <v>15.396610000000001</v>
      </c>
    </row>
    <row r="471" spans="1:5" x14ac:dyDescent="0.2">
      <c r="A471" s="136" t="s">
        <v>173</v>
      </c>
      <c r="B471" s="136">
        <v>17.559629999999999</v>
      </c>
      <c r="C471" s="136">
        <v>10.721120000000001</v>
      </c>
      <c r="D471" s="136">
        <v>129.2732</v>
      </c>
      <c r="E471" s="136">
        <v>3.6808510000000001</v>
      </c>
    </row>
    <row r="472" spans="1:5" x14ac:dyDescent="0.2">
      <c r="A472" s="136" t="s">
        <v>173</v>
      </c>
      <c r="B472" s="136">
        <v>14.485620000000001</v>
      </c>
      <c r="C472" s="136">
        <v>6.6992909999999997</v>
      </c>
      <c r="D472" s="136">
        <v>106.3999</v>
      </c>
      <c r="E472" s="136">
        <v>1.5148889999999999</v>
      </c>
    </row>
    <row r="473" spans="1:5" x14ac:dyDescent="0.2">
      <c r="A473" s="136" t="s">
        <v>173</v>
      </c>
      <c r="B473" s="136">
        <v>49.040900000000001</v>
      </c>
      <c r="C473" s="136">
        <v>32.785919999999997</v>
      </c>
      <c r="D473" s="136">
        <v>102.32689999999999</v>
      </c>
      <c r="E473" s="136">
        <v>15.588990000000001</v>
      </c>
    </row>
    <row r="474" spans="1:5" x14ac:dyDescent="0.2">
      <c r="A474" s="136" t="s">
        <v>173</v>
      </c>
      <c r="B474" s="136">
        <v>23.890830000000001</v>
      </c>
      <c r="C474" s="136">
        <v>36.10915</v>
      </c>
      <c r="D474" s="136">
        <v>88.626519999999999</v>
      </c>
      <c r="E474" s="136">
        <v>1.0643469999999999</v>
      </c>
    </row>
    <row r="475" spans="1:5" x14ac:dyDescent="0.2">
      <c r="A475" s="136" t="s">
        <v>173</v>
      </c>
      <c r="B475" s="136">
        <v>49.544020000000003</v>
      </c>
      <c r="C475" s="136">
        <v>17.079689999999999</v>
      </c>
      <c r="D475" s="136">
        <v>139.87649999999999</v>
      </c>
      <c r="E475" s="136">
        <v>14.89681</v>
      </c>
    </row>
    <row r="476" spans="1:5" x14ac:dyDescent="0.2">
      <c r="A476" s="136" t="s">
        <v>173</v>
      </c>
      <c r="B476" s="136">
        <v>35.222079999999998</v>
      </c>
      <c r="C476" s="136">
        <v>91.42604</v>
      </c>
      <c r="D476" s="136">
        <v>221.45439999999999</v>
      </c>
      <c r="E476" s="136">
        <v>59.11797</v>
      </c>
    </row>
    <row r="477" spans="1:5" x14ac:dyDescent="0.2">
      <c r="A477" s="136" t="s">
        <v>173</v>
      </c>
      <c r="B477" s="136">
        <v>8.2615479999999994</v>
      </c>
      <c r="C477" s="136">
        <v>91.891970000000001</v>
      </c>
      <c r="D477" s="136">
        <v>1.492372</v>
      </c>
      <c r="E477" s="136">
        <v>46.21293</v>
      </c>
    </row>
    <row r="478" spans="1:5" x14ac:dyDescent="0.2">
      <c r="A478" s="136" t="s">
        <v>173</v>
      </c>
      <c r="B478" s="136">
        <v>153.67060000000001</v>
      </c>
      <c r="C478" s="136">
        <v>18.37885</v>
      </c>
      <c r="D478" s="136">
        <v>37.392270000000003</v>
      </c>
      <c r="E478" s="136">
        <v>19.740300000000001</v>
      </c>
    </row>
    <row r="479" spans="1:5" x14ac:dyDescent="0.2">
      <c r="A479" s="136" t="s">
        <v>173</v>
      </c>
      <c r="B479" s="136">
        <v>178.31219999999999</v>
      </c>
      <c r="C479" s="136">
        <v>48.904820000000001</v>
      </c>
      <c r="D479" s="136">
        <v>124.7753</v>
      </c>
      <c r="E479" s="136">
        <v>12.46143</v>
      </c>
    </row>
    <row r="480" spans="1:5" x14ac:dyDescent="0.2">
      <c r="A480" s="136" t="s">
        <v>173</v>
      </c>
      <c r="B480" s="136">
        <v>255.58019999999999</v>
      </c>
      <c r="C480" s="136">
        <v>19.504200000000001</v>
      </c>
      <c r="D480" s="136">
        <v>26.56981</v>
      </c>
      <c r="E480" s="136">
        <v>26.174759999999999</v>
      </c>
    </row>
    <row r="481" spans="1:5" x14ac:dyDescent="0.2">
      <c r="A481" s="136" t="s">
        <v>173</v>
      </c>
      <c r="B481" s="136">
        <v>420.0505</v>
      </c>
      <c r="C481" s="136">
        <v>23.838100000000001</v>
      </c>
      <c r="D481" s="136">
        <v>55.568579999999997</v>
      </c>
      <c r="E481" s="136">
        <v>2.0753780000000002</v>
      </c>
    </row>
    <row r="482" spans="1:5" x14ac:dyDescent="0.2">
      <c r="A482" s="136" t="s">
        <v>173</v>
      </c>
      <c r="B482" s="136">
        <v>126.932</v>
      </c>
      <c r="C482" s="136">
        <v>33.754600000000003</v>
      </c>
      <c r="D482" s="136">
        <v>79.559340000000006</v>
      </c>
      <c r="E482" s="136">
        <v>25.844889999999999</v>
      </c>
    </row>
    <row r="483" spans="1:5" x14ac:dyDescent="0.2">
      <c r="A483" s="136" t="s">
        <v>173</v>
      </c>
      <c r="B483" s="136">
        <v>293.13560000000001</v>
      </c>
      <c r="C483" s="136">
        <v>24.759180000000001</v>
      </c>
      <c r="D483" s="136">
        <v>48.168959999999998</v>
      </c>
      <c r="E483" s="136">
        <v>8.9814729999999994</v>
      </c>
    </row>
    <row r="484" spans="1:5" x14ac:dyDescent="0.2">
      <c r="A484" s="136" t="s">
        <v>173</v>
      </c>
      <c r="B484" s="136">
        <v>14.069520000000001</v>
      </c>
      <c r="C484" s="136">
        <v>19.39113</v>
      </c>
      <c r="D484" s="136">
        <v>73.446910000000003</v>
      </c>
      <c r="E484" s="136">
        <v>39.487929999999999</v>
      </c>
    </row>
    <row r="485" spans="1:5" x14ac:dyDescent="0.2">
      <c r="A485" s="136" t="s">
        <v>173</v>
      </c>
      <c r="B485" s="136">
        <v>39.488219999999998</v>
      </c>
      <c r="C485" s="136">
        <v>41.63044</v>
      </c>
      <c r="D485" s="136">
        <v>117.21129999999999</v>
      </c>
      <c r="E485" s="136">
        <v>22.97092</v>
      </c>
    </row>
    <row r="486" spans="1:5" x14ac:dyDescent="0.2">
      <c r="A486" s="136" t="s">
        <v>173</v>
      </c>
      <c r="B486" s="136">
        <v>99.336410000000001</v>
      </c>
      <c r="C486" s="136">
        <v>28.07347</v>
      </c>
      <c r="D486" s="136">
        <v>64.493480000000005</v>
      </c>
      <c r="E486" s="136">
        <v>33.69397</v>
      </c>
    </row>
    <row r="487" spans="1:5" x14ac:dyDescent="0.2">
      <c r="A487" s="136" t="s">
        <v>173</v>
      </c>
      <c r="B487" s="136">
        <v>22.604430000000001</v>
      </c>
      <c r="C487" s="136">
        <v>61.7453</v>
      </c>
      <c r="D487" s="136">
        <v>85.021510000000006</v>
      </c>
      <c r="E487" s="136">
        <v>6.3369879999999998</v>
      </c>
    </row>
    <row r="488" spans="1:5" x14ac:dyDescent="0.2">
      <c r="A488" s="136" t="s">
        <v>173</v>
      </c>
      <c r="B488" s="136">
        <v>32.542679999999997</v>
      </c>
      <c r="C488" s="136">
        <v>28.342410000000001</v>
      </c>
      <c r="D488" s="136">
        <v>45.363399999999999</v>
      </c>
      <c r="E488" s="136">
        <v>18.60669</v>
      </c>
    </row>
    <row r="489" spans="1:5" x14ac:dyDescent="0.2">
      <c r="A489" s="136" t="s">
        <v>173</v>
      </c>
      <c r="B489" s="136">
        <v>19.291709999999998</v>
      </c>
      <c r="C489" s="136">
        <v>38.339649999999999</v>
      </c>
      <c r="D489" s="136">
        <v>88.35042</v>
      </c>
      <c r="E489" s="136">
        <v>9.676024</v>
      </c>
    </row>
    <row r="490" spans="1:5" x14ac:dyDescent="0.2">
      <c r="A490" s="136" t="s">
        <v>173</v>
      </c>
      <c r="B490" s="136">
        <v>99.337959999999995</v>
      </c>
      <c r="C490" s="136">
        <v>94.176940000000002</v>
      </c>
      <c r="D490" s="136">
        <v>61.964370000000002</v>
      </c>
      <c r="E490" s="136">
        <v>5.9376170000000004</v>
      </c>
    </row>
    <row r="491" spans="1:5" x14ac:dyDescent="0.2">
      <c r="A491" s="136" t="s">
        <v>173</v>
      </c>
      <c r="B491" s="136">
        <v>121.8083</v>
      </c>
      <c r="C491" s="136">
        <v>19.15879</v>
      </c>
      <c r="D491" s="136">
        <v>134.00989999999999</v>
      </c>
      <c r="E491" s="136">
        <v>54.311950000000003</v>
      </c>
    </row>
    <row r="492" spans="1:5" x14ac:dyDescent="0.2">
      <c r="A492" s="136" t="s">
        <v>173</v>
      </c>
      <c r="B492" s="136">
        <v>52.18441</v>
      </c>
      <c r="C492" s="136">
        <v>6.7338370000000003</v>
      </c>
      <c r="D492" s="136">
        <v>24.794889999999999</v>
      </c>
      <c r="E492" s="136">
        <v>11.54152</v>
      </c>
    </row>
    <row r="493" spans="1:5" x14ac:dyDescent="0.2">
      <c r="A493" s="136" t="s">
        <v>173</v>
      </c>
      <c r="B493" s="136">
        <v>15.38364</v>
      </c>
      <c r="C493" s="136">
        <v>61.906089999999999</v>
      </c>
      <c r="D493" s="136">
        <v>44.333120000000001</v>
      </c>
      <c r="E493" s="136">
        <v>0.67157199999999995</v>
      </c>
    </row>
    <row r="494" spans="1:5" x14ac:dyDescent="0.2">
      <c r="A494" s="136" t="s">
        <v>173</v>
      </c>
      <c r="B494" s="136">
        <v>46.613950000000003</v>
      </c>
      <c r="C494" s="136">
        <v>157.52269999999999</v>
      </c>
      <c r="D494" s="136">
        <v>28.128550000000001</v>
      </c>
      <c r="E494" s="136">
        <v>17.977959999999999</v>
      </c>
    </row>
    <row r="495" spans="1:5" x14ac:dyDescent="0.2">
      <c r="A495" s="136" t="s">
        <v>173</v>
      </c>
      <c r="B495" s="136">
        <v>22.203309999999998</v>
      </c>
      <c r="C495" s="136">
        <v>5.4723179999999996</v>
      </c>
      <c r="D495" s="136">
        <v>8.8370510000000007</v>
      </c>
      <c r="E495" s="136">
        <v>15.63083</v>
      </c>
    </row>
    <row r="496" spans="1:5" x14ac:dyDescent="0.2">
      <c r="A496" s="136" t="s">
        <v>173</v>
      </c>
      <c r="B496" s="136">
        <v>46.78931</v>
      </c>
      <c r="C496" s="136">
        <v>18.029240000000001</v>
      </c>
      <c r="D496" s="136">
        <v>13.42775</v>
      </c>
      <c r="E496" s="136">
        <v>17.011790000000001</v>
      </c>
    </row>
    <row r="497" spans="1:5" x14ac:dyDescent="0.2">
      <c r="A497" s="136" t="s">
        <v>173</v>
      </c>
      <c r="B497" s="136">
        <v>125.9267</v>
      </c>
      <c r="C497" s="136">
        <v>15.44403</v>
      </c>
      <c r="D497" s="136">
        <v>242.89060000000001</v>
      </c>
      <c r="E497" s="136">
        <v>10.746230000000001</v>
      </c>
    </row>
    <row r="498" spans="1:5" x14ac:dyDescent="0.2">
      <c r="A498" s="136" t="s">
        <v>173</v>
      </c>
      <c r="B498" s="136">
        <v>123.53530000000001</v>
      </c>
      <c r="C498" s="136">
        <v>12.84282</v>
      </c>
      <c r="D498" s="136">
        <v>248.10409999999999</v>
      </c>
      <c r="E498" s="136">
        <v>16.136790000000001</v>
      </c>
    </row>
    <row r="499" spans="1:5" x14ac:dyDescent="0.2">
      <c r="A499" s="136" t="s">
        <v>173</v>
      </c>
      <c r="B499" s="136">
        <v>68.123580000000004</v>
      </c>
      <c r="C499" s="136">
        <v>89.088419999999999</v>
      </c>
      <c r="D499" s="136">
        <v>79.149690000000007</v>
      </c>
      <c r="E499" s="136">
        <v>4.6440049999999999</v>
      </c>
    </row>
    <row r="500" spans="1:5" x14ac:dyDescent="0.2">
      <c r="A500" s="136" t="s">
        <v>173</v>
      </c>
      <c r="B500" s="136">
        <v>17.811070000000001</v>
      </c>
      <c r="C500" s="136">
        <v>13.93234</v>
      </c>
      <c r="D500" s="136">
        <v>117.999</v>
      </c>
      <c r="E500" s="136">
        <v>1.989614</v>
      </c>
    </row>
    <row r="501" spans="1:5" x14ac:dyDescent="0.2">
      <c r="A501" s="136" t="s">
        <v>173</v>
      </c>
      <c r="B501" s="136">
        <v>52.025829999999999</v>
      </c>
      <c r="C501" s="136">
        <v>27.11843</v>
      </c>
      <c r="D501" s="136">
        <v>26.80707</v>
      </c>
      <c r="E501" s="136">
        <v>1.227203</v>
      </c>
    </row>
    <row r="502" spans="1:5" x14ac:dyDescent="0.2">
      <c r="A502" s="136" t="s">
        <v>173</v>
      </c>
      <c r="B502" s="136">
        <v>54.98509</v>
      </c>
      <c r="C502" s="136">
        <v>48.754309999999997</v>
      </c>
      <c r="D502" s="136">
        <v>25.780889999999999</v>
      </c>
      <c r="E502" s="136">
        <v>18.730329999999999</v>
      </c>
    </row>
    <row r="503" spans="1:5" x14ac:dyDescent="0.2">
      <c r="A503" s="136" t="s">
        <v>173</v>
      </c>
      <c r="B503" s="136">
        <v>38.133139999999997</v>
      </c>
      <c r="C503" s="136">
        <v>58.564830000000001</v>
      </c>
      <c r="D503" s="136">
        <v>162.92359999999999</v>
      </c>
      <c r="E503" s="136">
        <v>80.563599999999994</v>
      </c>
    </row>
    <row r="504" spans="1:5" x14ac:dyDescent="0.2">
      <c r="A504" s="136" t="s">
        <v>173</v>
      </c>
      <c r="B504" s="136">
        <v>76.280280000000005</v>
      </c>
      <c r="C504" s="136">
        <v>32.229669999999999</v>
      </c>
      <c r="D504" s="136">
        <v>19.99117</v>
      </c>
      <c r="E504" s="136">
        <v>5.5980249999999998</v>
      </c>
    </row>
    <row r="505" spans="1:5" x14ac:dyDescent="0.2">
      <c r="A505" s="136" t="s">
        <v>173</v>
      </c>
      <c r="B505" s="136">
        <v>86.052300000000002</v>
      </c>
      <c r="C505" s="136">
        <v>37.2393</v>
      </c>
      <c r="D505" s="136">
        <v>40.794119999999999</v>
      </c>
      <c r="E505" s="136">
        <v>6.1751899999999997</v>
      </c>
    </row>
    <row r="506" spans="1:5" x14ac:dyDescent="0.2">
      <c r="A506" s="136" t="s">
        <v>173</v>
      </c>
      <c r="B506" s="136">
        <v>70.559809999999999</v>
      </c>
      <c r="C506" s="136">
        <v>17.25487</v>
      </c>
      <c r="D506" s="136">
        <v>20.312460000000002</v>
      </c>
      <c r="E506" s="136">
        <v>53.344099999999997</v>
      </c>
    </row>
    <row r="507" spans="1:5" x14ac:dyDescent="0.2">
      <c r="A507" s="136" t="s">
        <v>173</v>
      </c>
      <c r="B507" s="136">
        <v>49.801879999999997</v>
      </c>
      <c r="C507" s="136">
        <v>35.973390000000002</v>
      </c>
      <c r="D507" s="136">
        <v>62.518990000000002</v>
      </c>
      <c r="E507" s="136">
        <v>6.803077</v>
      </c>
    </row>
    <row r="508" spans="1:5" x14ac:dyDescent="0.2">
      <c r="A508" s="136" t="s">
        <v>173</v>
      </c>
      <c r="B508" s="136">
        <v>36.961590000000001</v>
      </c>
      <c r="C508" s="136">
        <v>5.1245219999999998</v>
      </c>
      <c r="D508" s="136">
        <v>69.919589999999999</v>
      </c>
      <c r="E508" s="136">
        <v>1.0538609999999999</v>
      </c>
    </row>
    <row r="509" spans="1:5" x14ac:dyDescent="0.2">
      <c r="A509" s="136" t="s">
        <v>173</v>
      </c>
      <c r="B509" s="136">
        <v>213.13849999999999</v>
      </c>
      <c r="C509" s="136">
        <v>43.004559999999998</v>
      </c>
      <c r="D509" s="136">
        <v>45.56174</v>
      </c>
      <c r="E509" s="136">
        <v>77.345420000000004</v>
      </c>
    </row>
    <row r="510" spans="1:5" x14ac:dyDescent="0.2">
      <c r="A510" s="136" t="s">
        <v>173</v>
      </c>
      <c r="B510" s="136">
        <v>481.66059999999999</v>
      </c>
      <c r="C510" s="136">
        <v>43.115290000000002</v>
      </c>
      <c r="D510" s="136">
        <v>131.97409999999999</v>
      </c>
      <c r="E510" s="136">
        <v>0.99513300000000005</v>
      </c>
    </row>
    <row r="511" spans="1:5" x14ac:dyDescent="0.2">
      <c r="A511" s="136" t="s">
        <v>173</v>
      </c>
      <c r="B511" s="136">
        <v>66.307770000000005</v>
      </c>
      <c r="C511" s="136">
        <v>27.383959999999998</v>
      </c>
      <c r="D511" s="136">
        <v>127.8451</v>
      </c>
      <c r="E511" s="136">
        <v>9.1284100000000006</v>
      </c>
    </row>
    <row r="512" spans="1:5" x14ac:dyDescent="0.2">
      <c r="A512" s="136" t="s">
        <v>173</v>
      </c>
      <c r="B512" s="136">
        <v>84.491699999999994</v>
      </c>
      <c r="C512" s="136">
        <v>59.167230000000004</v>
      </c>
      <c r="D512" s="136">
        <v>8.22044</v>
      </c>
      <c r="E512" s="136">
        <v>65.434830000000005</v>
      </c>
    </row>
    <row r="513" spans="1:5" x14ac:dyDescent="0.2">
      <c r="A513" s="136" t="s">
        <v>173</v>
      </c>
      <c r="B513" s="136">
        <v>57.860720000000001</v>
      </c>
      <c r="C513" s="136">
        <v>18.513030000000001</v>
      </c>
      <c r="D513" s="136">
        <v>42.84599</v>
      </c>
      <c r="E513" s="136">
        <v>34.823610000000002</v>
      </c>
    </row>
    <row r="514" spans="1:5" x14ac:dyDescent="0.2">
      <c r="A514" s="136" t="s">
        <v>173</v>
      </c>
      <c r="B514" s="136">
        <v>156.79239999999999</v>
      </c>
      <c r="C514" s="136">
        <v>17.54655</v>
      </c>
      <c r="D514" s="136">
        <v>30.306930000000001</v>
      </c>
      <c r="E514" s="136">
        <v>7.5396869999999998</v>
      </c>
    </row>
    <row r="515" spans="1:5" x14ac:dyDescent="0.2">
      <c r="A515" s="136" t="s">
        <v>173</v>
      </c>
      <c r="B515" s="136">
        <v>191.2321</v>
      </c>
      <c r="C515" s="136">
        <v>61.190829999999998</v>
      </c>
      <c r="D515" s="136">
        <v>16.961970000000001</v>
      </c>
      <c r="E515" s="136">
        <v>22.58381</v>
      </c>
    </row>
    <row r="516" spans="1:5" x14ac:dyDescent="0.2">
      <c r="A516" s="136" t="s">
        <v>173</v>
      </c>
      <c r="B516" s="136">
        <v>58.736550000000001</v>
      </c>
      <c r="C516" s="136">
        <v>20.17145</v>
      </c>
      <c r="D516" s="136">
        <v>16.164090000000002</v>
      </c>
      <c r="E516" s="136">
        <v>17.67755</v>
      </c>
    </row>
    <row r="517" spans="1:5" x14ac:dyDescent="0.2">
      <c r="A517" s="136" t="s">
        <v>173</v>
      </c>
      <c r="B517" s="136">
        <v>9.6763399999999997</v>
      </c>
      <c r="C517" s="136">
        <v>86.117859999999993</v>
      </c>
      <c r="D517" s="136">
        <v>73.722369999999998</v>
      </c>
      <c r="E517" s="136">
        <v>45.505679999999998</v>
      </c>
    </row>
    <row r="518" spans="1:5" x14ac:dyDescent="0.2">
      <c r="A518" s="136" t="s">
        <v>173</v>
      </c>
      <c r="B518" s="136">
        <v>68.508830000000003</v>
      </c>
      <c r="C518" s="136">
        <v>17.687080000000002</v>
      </c>
      <c r="D518" s="136">
        <v>80.023669999999996</v>
      </c>
      <c r="E518" s="136">
        <v>7.5566899999999997</v>
      </c>
    </row>
    <row r="519" spans="1:5" x14ac:dyDescent="0.2">
      <c r="A519" s="136" t="s">
        <v>173</v>
      </c>
      <c r="B519" s="136">
        <v>22.207409999999999</v>
      </c>
      <c r="C519" s="136">
        <v>9.0391689999999993</v>
      </c>
      <c r="D519" s="136">
        <v>74.745930000000001</v>
      </c>
      <c r="E519" s="136">
        <v>5.0774369999999998</v>
      </c>
    </row>
    <row r="520" spans="1:5" x14ac:dyDescent="0.2">
      <c r="A520" s="136" t="s">
        <v>173</v>
      </c>
      <c r="B520" s="136">
        <v>17.314350000000001</v>
      </c>
      <c r="C520" s="136">
        <v>34.992550000000001</v>
      </c>
      <c r="D520" s="136">
        <v>166.8503</v>
      </c>
      <c r="E520" s="136">
        <v>11.75691</v>
      </c>
    </row>
    <row r="521" spans="1:5" x14ac:dyDescent="0.2">
      <c r="A521" s="136" t="s">
        <v>173</v>
      </c>
      <c r="B521" s="136">
        <v>36.770960000000002</v>
      </c>
      <c r="C521" s="136">
        <v>38.825040000000001</v>
      </c>
      <c r="D521" s="136">
        <v>8.6475489999999997</v>
      </c>
      <c r="E521" s="136">
        <v>2.7458209999999998</v>
      </c>
    </row>
    <row r="522" spans="1:5" x14ac:dyDescent="0.2">
      <c r="A522" s="136" t="s">
        <v>173</v>
      </c>
      <c r="B522" s="136">
        <v>192.4118</v>
      </c>
      <c r="C522" s="136">
        <v>94.914349999999999</v>
      </c>
      <c r="D522" s="136">
        <v>81.983959999999996</v>
      </c>
      <c r="E522" s="136">
        <v>2.9714429999999998</v>
      </c>
    </row>
    <row r="523" spans="1:5" x14ac:dyDescent="0.2">
      <c r="A523" s="136" t="s">
        <v>173</v>
      </c>
      <c r="B523" s="136">
        <v>25.075479999999999</v>
      </c>
      <c r="C523" s="136">
        <v>19.806850000000001</v>
      </c>
      <c r="D523" s="136">
        <v>16.542069999999999</v>
      </c>
      <c r="E523" s="136">
        <v>8.5659430000000008</v>
      </c>
    </row>
    <row r="524" spans="1:5" x14ac:dyDescent="0.2">
      <c r="A524" s="136" t="s">
        <v>173</v>
      </c>
      <c r="B524" s="136">
        <v>63.846649999999997</v>
      </c>
      <c r="C524" s="136">
        <v>29.911709999999999</v>
      </c>
      <c r="D524" s="136">
        <v>56.581670000000003</v>
      </c>
      <c r="E524" s="136">
        <v>42.830350000000003</v>
      </c>
    </row>
    <row r="525" spans="1:5" x14ac:dyDescent="0.2">
      <c r="A525" s="136" t="s">
        <v>173</v>
      </c>
      <c r="B525" s="136">
        <v>65.518410000000003</v>
      </c>
      <c r="C525" s="136">
        <v>49.62435</v>
      </c>
      <c r="D525" s="136">
        <v>21.484369999999998</v>
      </c>
      <c r="E525" s="136">
        <v>24.478629999999999</v>
      </c>
    </row>
    <row r="526" spans="1:5" x14ac:dyDescent="0.2">
      <c r="A526" s="136" t="s">
        <v>173</v>
      </c>
      <c r="B526" s="136">
        <v>16.657150000000001</v>
      </c>
      <c r="C526" s="136">
        <v>71.605059999999995</v>
      </c>
      <c r="D526" s="136">
        <v>60.470080000000003</v>
      </c>
      <c r="E526" s="136">
        <v>6.87805</v>
      </c>
    </row>
    <row r="527" spans="1:5" x14ac:dyDescent="0.2">
      <c r="A527" s="136" t="s">
        <v>173</v>
      </c>
      <c r="B527" s="136">
        <v>167.6825</v>
      </c>
      <c r="C527" s="136">
        <v>34.329410000000003</v>
      </c>
      <c r="D527" s="136">
        <v>13.698779999999999</v>
      </c>
      <c r="E527" s="136">
        <v>31.547249999999998</v>
      </c>
    </row>
    <row r="528" spans="1:5" x14ac:dyDescent="0.2">
      <c r="A528" s="136" t="s">
        <v>173</v>
      </c>
      <c r="B528" s="136">
        <v>20.739850000000001</v>
      </c>
      <c r="C528" s="136">
        <v>18.04121</v>
      </c>
      <c r="D528" s="136">
        <v>53.548409999999997</v>
      </c>
      <c r="E528" s="136">
        <v>2.5183759999999999</v>
      </c>
    </row>
    <row r="529" spans="1:5" x14ac:dyDescent="0.2">
      <c r="A529" s="136" t="s">
        <v>173</v>
      </c>
      <c r="B529" s="136">
        <v>31.92802</v>
      </c>
      <c r="C529" s="136">
        <v>51.35398</v>
      </c>
      <c r="D529" s="136">
        <v>24.678879999999999</v>
      </c>
      <c r="E529" s="136">
        <v>15.383100000000001</v>
      </c>
    </row>
    <row r="530" spans="1:5" x14ac:dyDescent="0.2">
      <c r="A530" s="136" t="s">
        <v>173</v>
      </c>
      <c r="B530" s="136">
        <v>18.448840000000001</v>
      </c>
      <c r="C530" s="136">
        <v>57.895049999999998</v>
      </c>
      <c r="D530" s="136">
        <v>111.30880000000001</v>
      </c>
      <c r="E530" s="136">
        <v>29.27956</v>
      </c>
    </row>
    <row r="531" spans="1:5" x14ac:dyDescent="0.2">
      <c r="A531" s="136" t="s">
        <v>173</v>
      </c>
      <c r="B531" s="136">
        <v>73.252579999999995</v>
      </c>
      <c r="C531" s="136">
        <v>18.728549999999998</v>
      </c>
      <c r="D531" s="136">
        <v>79.702960000000004</v>
      </c>
      <c r="E531" s="136">
        <v>15.36098</v>
      </c>
    </row>
    <row r="532" spans="1:5" x14ac:dyDescent="0.2">
      <c r="A532" s="136" t="s">
        <v>173</v>
      </c>
      <c r="B532" s="136">
        <v>195.53100000000001</v>
      </c>
      <c r="C532" s="136">
        <v>6.5126200000000001</v>
      </c>
      <c r="D532" s="136">
        <v>11.81611</v>
      </c>
      <c r="E532" s="136">
        <v>22.954260000000001</v>
      </c>
    </row>
    <row r="533" spans="1:5" x14ac:dyDescent="0.2">
      <c r="A533" s="136" t="s">
        <v>173</v>
      </c>
      <c r="B533" s="136">
        <v>142.33439999999999</v>
      </c>
      <c r="C533" s="136">
        <v>12.14514</v>
      </c>
      <c r="D533" s="136">
        <v>4.7853120000000002</v>
      </c>
      <c r="E533" s="136">
        <v>20.369420000000002</v>
      </c>
    </row>
    <row r="534" spans="1:5" x14ac:dyDescent="0.2">
      <c r="A534" s="136" t="s">
        <v>173</v>
      </c>
      <c r="B534" s="136">
        <v>77.899169999999998</v>
      </c>
      <c r="C534" s="136">
        <v>21.84271</v>
      </c>
      <c r="D534" s="136">
        <v>55.591540000000002</v>
      </c>
      <c r="E534" s="136">
        <v>3.2659600000000002</v>
      </c>
    </row>
    <row r="535" spans="1:5" x14ac:dyDescent="0.2">
      <c r="A535" s="136" t="s">
        <v>173</v>
      </c>
      <c r="B535" s="136">
        <v>59.08079</v>
      </c>
      <c r="C535" s="136">
        <v>28.669170000000001</v>
      </c>
      <c r="D535" s="136">
        <v>133.17349999999999</v>
      </c>
      <c r="E535" s="136">
        <v>17.52338</v>
      </c>
    </row>
    <row r="536" spans="1:5" x14ac:dyDescent="0.2">
      <c r="A536" s="136" t="s">
        <v>173</v>
      </c>
      <c r="B536" s="136">
        <v>28.516839999999998</v>
      </c>
      <c r="C536" s="136">
        <v>52.938540000000003</v>
      </c>
      <c r="D536" s="136">
        <v>4.3015720000000002</v>
      </c>
      <c r="E536" s="136">
        <v>18.563379999999999</v>
      </c>
    </row>
    <row r="537" spans="1:5" x14ac:dyDescent="0.2">
      <c r="A537" s="136" t="s">
        <v>173</v>
      </c>
      <c r="B537" s="136">
        <v>50.079050000000002</v>
      </c>
      <c r="C537" s="136">
        <v>22.31719</v>
      </c>
      <c r="D537" s="136">
        <v>160.7482</v>
      </c>
      <c r="E537" s="136">
        <v>13.065569999999999</v>
      </c>
    </row>
    <row r="538" spans="1:5" x14ac:dyDescent="0.2">
      <c r="A538" s="136" t="s">
        <v>173</v>
      </c>
      <c r="B538" s="136">
        <v>122.78060000000001</v>
      </c>
      <c r="C538" s="136">
        <v>21.560739999999999</v>
      </c>
      <c r="D538" s="136">
        <v>17.025580000000001</v>
      </c>
      <c r="E538" s="136">
        <v>17.173220000000001</v>
      </c>
    </row>
    <row r="539" spans="1:5" x14ac:dyDescent="0.2">
      <c r="A539" s="136" t="s">
        <v>173</v>
      </c>
      <c r="B539" s="136">
        <v>12.0868</v>
      </c>
      <c r="C539" s="136">
        <v>9.5820170000000005</v>
      </c>
      <c r="D539" s="136">
        <v>32.610370000000003</v>
      </c>
      <c r="E539" s="136">
        <v>10.13044</v>
      </c>
    </row>
    <row r="540" spans="1:5" x14ac:dyDescent="0.2">
      <c r="A540" s="136" t="s">
        <v>173</v>
      </c>
      <c r="B540" s="136">
        <v>37.798470000000002</v>
      </c>
      <c r="C540" s="136">
        <v>131.4872</v>
      </c>
      <c r="D540" s="136">
        <v>132.0796</v>
      </c>
      <c r="E540" s="136">
        <v>35.53922</v>
      </c>
    </row>
    <row r="541" spans="1:5" x14ac:dyDescent="0.2">
      <c r="A541" s="136" t="s">
        <v>173</v>
      </c>
      <c r="B541" s="136">
        <v>3.8173339999999998</v>
      </c>
      <c r="C541" s="136">
        <v>15.30176</v>
      </c>
      <c r="D541" s="136">
        <v>41.421109999999999</v>
      </c>
      <c r="E541" s="136">
        <v>1.826238</v>
      </c>
    </row>
    <row r="542" spans="1:5" x14ac:dyDescent="0.2">
      <c r="A542" s="136" t="s">
        <v>173</v>
      </c>
      <c r="B542" s="136">
        <v>175.49879999999999</v>
      </c>
      <c r="C542" s="136">
        <v>98.974050000000005</v>
      </c>
      <c r="D542" s="136">
        <v>81.469120000000004</v>
      </c>
      <c r="E542" s="136">
        <v>49.667070000000002</v>
      </c>
    </row>
    <row r="543" spans="1:5" x14ac:dyDescent="0.2">
      <c r="A543" s="136" t="s">
        <v>173</v>
      </c>
      <c r="B543" s="136">
        <v>322.3383</v>
      </c>
      <c r="C543" s="136">
        <v>26.780349999999999</v>
      </c>
      <c r="D543" s="136">
        <v>34.311500000000002</v>
      </c>
      <c r="E543" s="136">
        <v>7.3563999999999998</v>
      </c>
    </row>
    <row r="544" spans="1:5" x14ac:dyDescent="0.2">
      <c r="A544" s="136" t="s">
        <v>173</v>
      </c>
      <c r="B544" s="136">
        <v>87.41619</v>
      </c>
      <c r="C544" s="136">
        <v>41.222380000000001</v>
      </c>
      <c r="D544" s="136">
        <v>62.833030000000001</v>
      </c>
      <c r="E544" s="136">
        <v>0.53191699999999997</v>
      </c>
    </row>
    <row r="545" spans="1:5" x14ac:dyDescent="0.2">
      <c r="A545" s="136" t="s">
        <v>173</v>
      </c>
      <c r="B545" s="136">
        <v>41.424990000000001</v>
      </c>
      <c r="C545" s="136">
        <v>3.460575</v>
      </c>
      <c r="D545" s="136">
        <v>15.672079999999999</v>
      </c>
      <c r="E545" s="136">
        <v>5.63171</v>
      </c>
    </row>
    <row r="546" spans="1:5" x14ac:dyDescent="0.2">
      <c r="A546" s="136" t="s">
        <v>173</v>
      </c>
      <c r="B546" s="136">
        <v>140.39169999999999</v>
      </c>
      <c r="C546" s="136">
        <v>39.563079999999999</v>
      </c>
      <c r="D546" s="136">
        <v>70.467169999999996</v>
      </c>
      <c r="E546" s="136">
        <v>2.787099</v>
      </c>
    </row>
    <row r="547" spans="1:5" x14ac:dyDescent="0.2">
      <c r="A547" s="136" t="s">
        <v>173</v>
      </c>
      <c r="B547" s="136">
        <v>79.315989999999999</v>
      </c>
      <c r="C547" s="136">
        <v>106.9554</v>
      </c>
      <c r="D547" s="136">
        <v>89.587699999999998</v>
      </c>
      <c r="E547" s="136">
        <v>24.097370000000002</v>
      </c>
    </row>
    <row r="548" spans="1:5" x14ac:dyDescent="0.2">
      <c r="A548" s="136" t="s">
        <v>173</v>
      </c>
      <c r="B548" s="136">
        <v>59.053559999999997</v>
      </c>
      <c r="C548" s="136">
        <v>16.881519999999998</v>
      </c>
      <c r="D548" s="136">
        <v>164.79140000000001</v>
      </c>
      <c r="E548" s="136">
        <v>33.832799999999999</v>
      </c>
    </row>
    <row r="549" spans="1:5" x14ac:dyDescent="0.2">
      <c r="A549" s="136" t="s">
        <v>173</v>
      </c>
      <c r="B549" s="136">
        <v>86.621520000000004</v>
      </c>
      <c r="C549" s="136">
        <v>49.635089999999998</v>
      </c>
      <c r="D549" s="136">
        <v>69.533659999999998</v>
      </c>
      <c r="E549" s="136">
        <v>15.82098</v>
      </c>
    </row>
    <row r="550" spans="1:5" x14ac:dyDescent="0.2">
      <c r="A550" s="136" t="s">
        <v>173</v>
      </c>
      <c r="B550" s="136">
        <v>117.1895</v>
      </c>
      <c r="C550" s="136">
        <v>18.831990000000001</v>
      </c>
      <c r="D550" s="136">
        <v>52.390610000000002</v>
      </c>
      <c r="E550" s="136">
        <v>12.83939</v>
      </c>
    </row>
    <row r="551" spans="1:5" x14ac:dyDescent="0.2">
      <c r="A551" s="136" t="s">
        <v>173</v>
      </c>
      <c r="B551" s="136">
        <v>142.40100000000001</v>
      </c>
      <c r="C551" s="136">
        <v>11.319929999999999</v>
      </c>
      <c r="D551" s="136">
        <v>65.127430000000004</v>
      </c>
      <c r="E551" s="136">
        <v>7.3398490000000001</v>
      </c>
    </row>
    <row r="552" spans="1:5" x14ac:dyDescent="0.2">
      <c r="A552" s="136" t="s">
        <v>173</v>
      </c>
      <c r="B552" s="136">
        <v>62.797029999999999</v>
      </c>
      <c r="C552" s="136">
        <v>79.811070000000001</v>
      </c>
      <c r="D552" s="136">
        <v>19.56326</v>
      </c>
      <c r="E552" s="136">
        <v>14.742139999999999</v>
      </c>
    </row>
    <row r="553" spans="1:5" x14ac:dyDescent="0.2">
      <c r="A553" s="136" t="s">
        <v>173</v>
      </c>
      <c r="B553" s="136">
        <v>18.21022</v>
      </c>
      <c r="C553" s="136">
        <v>24.327400000000001</v>
      </c>
      <c r="D553" s="136">
        <v>48.289969999999997</v>
      </c>
      <c r="E553" s="136">
        <v>3.5174509999999999</v>
      </c>
    </row>
    <row r="554" spans="1:5" x14ac:dyDescent="0.2">
      <c r="A554" s="136" t="s">
        <v>173</v>
      </c>
      <c r="B554" s="136">
        <v>70.365579999999994</v>
      </c>
      <c r="C554" s="136">
        <v>112.6553</v>
      </c>
      <c r="D554" s="136">
        <v>69.442350000000005</v>
      </c>
      <c r="E554" s="136">
        <v>38.981659999999998</v>
      </c>
    </row>
    <row r="555" spans="1:5" x14ac:dyDescent="0.2">
      <c r="A555" s="136" t="s">
        <v>173</v>
      </c>
      <c r="B555" s="136">
        <v>19.34581</v>
      </c>
      <c r="C555" s="136">
        <v>53.102670000000003</v>
      </c>
      <c r="D555" s="136">
        <v>55.68685</v>
      </c>
      <c r="E555" s="136">
        <v>11.7721</v>
      </c>
    </row>
    <row r="556" spans="1:5" x14ac:dyDescent="0.2">
      <c r="A556" s="136" t="s">
        <v>173</v>
      </c>
      <c r="B556" s="136">
        <v>92.178579999999997</v>
      </c>
      <c r="C556" s="136">
        <v>34.978169999999999</v>
      </c>
      <c r="D556" s="136">
        <v>49.107759999999999</v>
      </c>
      <c r="E556" s="136">
        <v>24.92906</v>
      </c>
    </row>
    <row r="557" spans="1:5" x14ac:dyDescent="0.2">
      <c r="A557" s="136" t="s">
        <v>173</v>
      </c>
      <c r="B557" s="136">
        <v>57.910899999999998</v>
      </c>
      <c r="C557" s="136">
        <v>91.364940000000004</v>
      </c>
      <c r="D557" s="136">
        <v>70.532020000000003</v>
      </c>
      <c r="E557" s="136">
        <v>32.692369999999997</v>
      </c>
    </row>
    <row r="558" spans="1:5" x14ac:dyDescent="0.2">
      <c r="A558" s="136" t="s">
        <v>173</v>
      </c>
      <c r="B558" s="136">
        <v>48.812289999999997</v>
      </c>
      <c r="C558" s="136">
        <v>89.701930000000004</v>
      </c>
      <c r="D558" s="136">
        <v>52.750109999999999</v>
      </c>
      <c r="E558" s="136">
        <v>14.28619</v>
      </c>
    </row>
    <row r="559" spans="1:5" x14ac:dyDescent="0.2">
      <c r="A559" s="136" t="s">
        <v>173</v>
      </c>
      <c r="B559" s="136">
        <v>90.766829999999999</v>
      </c>
      <c r="C559" s="136">
        <v>95.060599999999994</v>
      </c>
      <c r="D559" s="136">
        <v>17.99539</v>
      </c>
      <c r="E559" s="136">
        <v>17.256879999999999</v>
      </c>
    </row>
    <row r="560" spans="1:5" x14ac:dyDescent="0.2">
      <c r="A560" s="136" t="s">
        <v>173</v>
      </c>
      <c r="B560" s="136">
        <v>6.0041089999999997</v>
      </c>
      <c r="C560" s="136">
        <v>42.970880000000001</v>
      </c>
      <c r="D560" s="136">
        <v>46.770910000000001</v>
      </c>
      <c r="E560" s="136">
        <v>8.5758220000000005</v>
      </c>
    </row>
    <row r="561" spans="1:5" x14ac:dyDescent="0.2">
      <c r="A561" s="136" t="s">
        <v>173</v>
      </c>
      <c r="B561" s="136">
        <v>3.925011</v>
      </c>
      <c r="C561" s="136">
        <v>31.696539999999999</v>
      </c>
      <c r="D561" s="136">
        <v>23.69209</v>
      </c>
      <c r="E561" s="136">
        <v>9.9124879999999997</v>
      </c>
    </row>
    <row r="562" spans="1:5" x14ac:dyDescent="0.2">
      <c r="A562" s="136" t="s">
        <v>173</v>
      </c>
      <c r="B562" s="136">
        <v>27.409790000000001</v>
      </c>
      <c r="C562" s="136">
        <v>13.45269</v>
      </c>
      <c r="D562" s="136">
        <v>129.0146</v>
      </c>
      <c r="E562" s="136">
        <v>9.1271740000000001</v>
      </c>
    </row>
    <row r="563" spans="1:5" x14ac:dyDescent="0.2">
      <c r="A563" s="136" t="s">
        <v>173</v>
      </c>
      <c r="B563" s="136">
        <v>98.876310000000004</v>
      </c>
      <c r="C563" s="136">
        <v>10.549530000000001</v>
      </c>
      <c r="D563" s="136">
        <v>2.7187779999999999</v>
      </c>
      <c r="E563" s="136">
        <v>16.895769999999999</v>
      </c>
    </row>
    <row r="564" spans="1:5" x14ac:dyDescent="0.2">
      <c r="A564" s="136" t="s">
        <v>173</v>
      </c>
      <c r="B564" s="136">
        <v>123.52330000000001</v>
      </c>
      <c r="C564" s="136">
        <v>8.9646469999999994</v>
      </c>
      <c r="D564" s="136">
        <v>89.016329999999996</v>
      </c>
      <c r="E564" s="136">
        <v>13.82438</v>
      </c>
    </row>
    <row r="565" spans="1:5" x14ac:dyDescent="0.2">
      <c r="A565" s="136" t="s">
        <v>173</v>
      </c>
      <c r="B565" s="136">
        <v>212.3571</v>
      </c>
      <c r="C565" s="136">
        <v>10.356680000000001</v>
      </c>
      <c r="D565" s="136">
        <v>80.478059999999999</v>
      </c>
      <c r="E565" s="136">
        <v>4.066554</v>
      </c>
    </row>
    <row r="566" spans="1:5" x14ac:dyDescent="0.2">
      <c r="A566" s="136" t="s">
        <v>173</v>
      </c>
      <c r="B566" s="136">
        <v>2.7382010000000001</v>
      </c>
      <c r="C566" s="136">
        <v>101.1203</v>
      </c>
      <c r="D566" s="136">
        <v>121.6418</v>
      </c>
      <c r="E566" s="136">
        <v>2.2977280000000002</v>
      </c>
    </row>
    <row r="567" spans="1:5" x14ac:dyDescent="0.2">
      <c r="A567" s="136" t="s">
        <v>173</v>
      </c>
      <c r="B567" s="136">
        <v>65.1233</v>
      </c>
      <c r="C567" s="136">
        <v>59.819499999999998</v>
      </c>
      <c r="D567" s="136">
        <v>21.294499999999999</v>
      </c>
      <c r="E567" s="136">
        <v>37.405880000000003</v>
      </c>
    </row>
    <row r="568" spans="1:5" x14ac:dyDescent="0.2">
      <c r="A568" s="136" t="s">
        <v>173</v>
      </c>
      <c r="B568" s="136">
        <v>87.108440000000002</v>
      </c>
      <c r="C568" s="136">
        <v>25.77054</v>
      </c>
      <c r="D568" s="136">
        <v>118.8693</v>
      </c>
      <c r="E568" s="136">
        <v>10.82335</v>
      </c>
    </row>
    <row r="569" spans="1:5" x14ac:dyDescent="0.2">
      <c r="A569" s="136" t="s">
        <v>173</v>
      </c>
      <c r="B569" s="136">
        <v>123.0528</v>
      </c>
      <c r="C569" s="136">
        <v>8.0995880000000007</v>
      </c>
      <c r="D569" s="136">
        <v>89.355919999999998</v>
      </c>
      <c r="E569" s="136">
        <v>154.58840000000001</v>
      </c>
    </row>
    <row r="570" spans="1:5" x14ac:dyDescent="0.2">
      <c r="A570" s="136" t="s">
        <v>173</v>
      </c>
      <c r="B570" s="136">
        <v>15.634679999999999</v>
      </c>
      <c r="C570" s="136">
        <v>11.64057</v>
      </c>
      <c r="D570" s="136">
        <v>1.4338820000000001</v>
      </c>
      <c r="E570" s="136">
        <v>8.9747009999999996</v>
      </c>
    </row>
    <row r="571" spans="1:5" x14ac:dyDescent="0.2">
      <c r="A571" s="136" t="s">
        <v>173</v>
      </c>
      <c r="B571" s="136">
        <v>71.906329999999997</v>
      </c>
      <c r="C571" s="136">
        <v>16.627690000000001</v>
      </c>
      <c r="D571" s="136">
        <v>39.07517</v>
      </c>
      <c r="E571" s="136">
        <v>11.12049</v>
      </c>
    </row>
    <row r="572" spans="1:5" x14ac:dyDescent="0.2">
      <c r="A572" s="136" t="s">
        <v>173</v>
      </c>
      <c r="B572" s="136">
        <v>87.820869999999999</v>
      </c>
      <c r="C572" s="136">
        <v>97.690079999999995</v>
      </c>
      <c r="D572" s="136">
        <v>107.46550000000001</v>
      </c>
      <c r="E572" s="136">
        <v>23.82077</v>
      </c>
    </row>
    <row r="573" spans="1:5" x14ac:dyDescent="0.2">
      <c r="A573" s="136" t="s">
        <v>173</v>
      </c>
      <c r="B573" s="136">
        <v>154.4915</v>
      </c>
      <c r="C573" s="136">
        <v>54.980980000000002</v>
      </c>
      <c r="D573" s="136">
        <v>64.272270000000006</v>
      </c>
      <c r="E573" s="136">
        <v>3.0328810000000002</v>
      </c>
    </row>
    <row r="574" spans="1:5" x14ac:dyDescent="0.2">
      <c r="A574" s="136" t="s">
        <v>173</v>
      </c>
      <c r="B574" s="136">
        <v>22.680409999999998</v>
      </c>
      <c r="C574" s="136">
        <v>31.732949999999999</v>
      </c>
      <c r="D574" s="136">
        <v>122.2957</v>
      </c>
      <c r="E574" s="136">
        <v>12.1419</v>
      </c>
    </row>
    <row r="575" spans="1:5" x14ac:dyDescent="0.2">
      <c r="A575" s="136" t="s">
        <v>173</v>
      </c>
      <c r="B575" s="136">
        <v>262.98950000000002</v>
      </c>
      <c r="C575" s="136">
        <v>35.714300000000001</v>
      </c>
      <c r="D575" s="136">
        <v>102.4486</v>
      </c>
      <c r="E575" s="136">
        <v>28.196729999999999</v>
      </c>
    </row>
    <row r="576" spans="1:5" x14ac:dyDescent="0.2">
      <c r="A576" s="136" t="s">
        <v>173</v>
      </c>
      <c r="B576" s="136">
        <v>15.18628</v>
      </c>
      <c r="C576" s="136">
        <v>8.9253210000000003</v>
      </c>
      <c r="D576" s="136">
        <v>61.757809999999999</v>
      </c>
      <c r="E576" s="136">
        <v>54.382370000000002</v>
      </c>
    </row>
    <row r="577" spans="1:5" x14ac:dyDescent="0.2">
      <c r="A577" s="136" t="s">
        <v>173</v>
      </c>
      <c r="B577" s="136">
        <v>106.9237</v>
      </c>
      <c r="C577" s="136">
        <v>32.403750000000002</v>
      </c>
      <c r="D577" s="136">
        <v>140.58529999999999</v>
      </c>
      <c r="E577" s="136">
        <v>67.592359999999999</v>
      </c>
    </row>
    <row r="578" spans="1:5" x14ac:dyDescent="0.2">
      <c r="A578" s="136" t="s">
        <v>173</v>
      </c>
      <c r="B578" s="136">
        <v>15.48672</v>
      </c>
      <c r="C578" s="136">
        <v>47.654170000000001</v>
      </c>
      <c r="D578" s="136">
        <v>103.8172</v>
      </c>
      <c r="E578" s="136">
        <v>23.799510000000001</v>
      </c>
    </row>
    <row r="579" spans="1:5" x14ac:dyDescent="0.2">
      <c r="A579" s="136" t="s">
        <v>173</v>
      </c>
      <c r="B579" s="136">
        <v>90.158749999999998</v>
      </c>
      <c r="C579" s="136">
        <v>27.989920000000001</v>
      </c>
      <c r="D579" s="136">
        <v>66.476479999999995</v>
      </c>
      <c r="E579" s="136">
        <v>16.763310000000001</v>
      </c>
    </row>
    <row r="580" spans="1:5" x14ac:dyDescent="0.2">
      <c r="A580" s="136" t="s">
        <v>173</v>
      </c>
      <c r="B580" s="136">
        <v>51.771540000000002</v>
      </c>
      <c r="C580" s="136">
        <v>52.290080000000003</v>
      </c>
      <c r="D580" s="136">
        <v>71.257450000000006</v>
      </c>
      <c r="E580" s="136">
        <v>4.737635</v>
      </c>
    </row>
    <row r="581" spans="1:5" x14ac:dyDescent="0.2">
      <c r="A581" s="136" t="s">
        <v>173</v>
      </c>
      <c r="B581" s="136">
        <v>180.81809999999999</v>
      </c>
      <c r="C581" s="136">
        <v>84.586169999999996</v>
      </c>
      <c r="D581" s="136">
        <v>26.943269999999998</v>
      </c>
      <c r="E581" s="136">
        <v>20.088249999999999</v>
      </c>
    </row>
    <row r="582" spans="1:5" x14ac:dyDescent="0.2">
      <c r="A582" s="136" t="s">
        <v>173</v>
      </c>
      <c r="B582" s="136">
        <v>85.679500000000004</v>
      </c>
      <c r="C582" s="136">
        <v>10.45431</v>
      </c>
      <c r="D582" s="136">
        <v>69.823999999999998</v>
      </c>
      <c r="E582" s="136">
        <v>35.74109</v>
      </c>
    </row>
    <row r="583" spans="1:5" x14ac:dyDescent="0.2">
      <c r="A583" s="136" t="s">
        <v>173</v>
      </c>
      <c r="B583" s="136">
        <v>146.2927</v>
      </c>
      <c r="C583" s="136">
        <v>64.596580000000003</v>
      </c>
      <c r="D583" s="136">
        <v>41.726529999999997</v>
      </c>
      <c r="E583" s="136">
        <v>34.485889999999998</v>
      </c>
    </row>
    <row r="584" spans="1:5" x14ac:dyDescent="0.2">
      <c r="A584" s="136" t="s">
        <v>173</v>
      </c>
      <c r="B584" s="136">
        <v>128.9331</v>
      </c>
      <c r="C584" s="136">
        <v>39.569929999999999</v>
      </c>
      <c r="D584" s="136">
        <v>1.372806</v>
      </c>
      <c r="E584" s="136">
        <v>2.6207389999999999</v>
      </c>
    </row>
    <row r="585" spans="1:5" x14ac:dyDescent="0.2">
      <c r="A585" s="136" t="s">
        <v>173</v>
      </c>
      <c r="B585" s="136">
        <v>28.901589999999999</v>
      </c>
      <c r="C585" s="136">
        <v>35.477229999999999</v>
      </c>
      <c r="D585" s="136">
        <v>47.239190000000001</v>
      </c>
      <c r="E585" s="136">
        <v>7.3406180000000001</v>
      </c>
    </row>
    <row r="586" spans="1:5" x14ac:dyDescent="0.2">
      <c r="A586" s="136" t="s">
        <v>173</v>
      </c>
      <c r="B586" s="136">
        <v>79.01782</v>
      </c>
      <c r="C586" s="136">
        <v>15.90785</v>
      </c>
      <c r="D586" s="136">
        <v>20.206469999999999</v>
      </c>
      <c r="E586" s="136">
        <v>59.638620000000003</v>
      </c>
    </row>
    <row r="587" spans="1:5" x14ac:dyDescent="0.2">
      <c r="A587" s="136" t="s">
        <v>173</v>
      </c>
      <c r="B587" s="136">
        <v>153.26849999999999</v>
      </c>
      <c r="C587" s="136">
        <v>32.98319</v>
      </c>
      <c r="D587" s="136">
        <v>60.450890000000001</v>
      </c>
      <c r="E587" s="136">
        <v>13.087870000000001</v>
      </c>
    </row>
    <row r="588" spans="1:5" x14ac:dyDescent="0.2">
      <c r="A588" s="136" t="s">
        <v>173</v>
      </c>
      <c r="B588" s="136">
        <v>51.050310000000003</v>
      </c>
      <c r="C588" s="136">
        <v>11.3286</v>
      </c>
      <c r="D588" s="136">
        <v>45.42071</v>
      </c>
      <c r="E588" s="136">
        <v>5.9322780000000002</v>
      </c>
    </row>
    <row r="589" spans="1:5" x14ac:dyDescent="0.2">
      <c r="A589" s="136" t="s">
        <v>173</v>
      </c>
      <c r="B589" s="136">
        <v>100.03</v>
      </c>
      <c r="C589" s="136">
        <v>78.447379999999995</v>
      </c>
      <c r="D589" s="136">
        <v>47.300690000000003</v>
      </c>
      <c r="E589" s="136">
        <v>14.83413</v>
      </c>
    </row>
    <row r="590" spans="1:5" x14ac:dyDescent="0.2">
      <c r="A590" s="136" t="s">
        <v>173</v>
      </c>
      <c r="B590" s="136">
        <v>43.903440000000003</v>
      </c>
      <c r="C590" s="136">
        <v>35.749160000000003</v>
      </c>
      <c r="D590" s="136">
        <v>116.6129</v>
      </c>
      <c r="E590" s="136">
        <v>24.922170000000001</v>
      </c>
    </row>
    <row r="591" spans="1:5" x14ac:dyDescent="0.2">
      <c r="A591" s="136" t="s">
        <v>173</v>
      </c>
      <c r="B591" s="136">
        <v>109.4436</v>
      </c>
      <c r="C591" s="136">
        <v>102.29640000000001</v>
      </c>
      <c r="D591" s="136">
        <v>31.503900000000002</v>
      </c>
      <c r="E591" s="136">
        <v>17.732209999999998</v>
      </c>
    </row>
    <row r="592" spans="1:5" x14ac:dyDescent="0.2">
      <c r="A592" s="136" t="s">
        <v>173</v>
      </c>
      <c r="B592" s="136">
        <v>212.58070000000001</v>
      </c>
      <c r="C592" s="136">
        <v>50.292259999999999</v>
      </c>
      <c r="D592" s="136">
        <v>62.514519999999997</v>
      </c>
      <c r="E592" s="136">
        <v>36.615290000000002</v>
      </c>
    </row>
    <row r="593" spans="1:5" x14ac:dyDescent="0.2">
      <c r="A593" s="136" t="s">
        <v>173</v>
      </c>
      <c r="B593" s="136">
        <v>5.7451939999999997</v>
      </c>
      <c r="C593" s="136">
        <v>45.876060000000003</v>
      </c>
      <c r="D593" s="136">
        <v>56.719749999999998</v>
      </c>
      <c r="E593" s="136">
        <v>32.721170000000001</v>
      </c>
    </row>
    <row r="594" spans="1:5" x14ac:dyDescent="0.2">
      <c r="A594" s="136" t="s">
        <v>173</v>
      </c>
      <c r="B594" s="136">
        <v>99.969220000000007</v>
      </c>
      <c r="C594" s="136">
        <v>132.65280000000001</v>
      </c>
      <c r="D594" s="136">
        <v>92.520849999999996</v>
      </c>
      <c r="E594" s="136">
        <v>20.488389999999999</v>
      </c>
    </row>
    <row r="595" spans="1:5" x14ac:dyDescent="0.2">
      <c r="A595" s="136" t="s">
        <v>173</v>
      </c>
      <c r="B595" s="136">
        <v>60.480460000000001</v>
      </c>
      <c r="C595" s="136">
        <v>49.77073</v>
      </c>
      <c r="D595" s="136">
        <v>75.369730000000004</v>
      </c>
      <c r="E595" s="136">
        <v>9.7471460000000008</v>
      </c>
    </row>
    <row r="596" spans="1:5" x14ac:dyDescent="0.2">
      <c r="A596" s="136" t="s">
        <v>173</v>
      </c>
      <c r="B596" s="136">
        <v>78.387699999999995</v>
      </c>
      <c r="C596" s="136">
        <v>24.704409999999999</v>
      </c>
      <c r="D596" s="136">
        <v>21.255500000000001</v>
      </c>
      <c r="E596" s="136">
        <v>19.2087</v>
      </c>
    </row>
    <row r="597" spans="1:5" x14ac:dyDescent="0.2">
      <c r="A597" s="136" t="s">
        <v>173</v>
      </c>
      <c r="B597" s="136">
        <v>23.222809999999999</v>
      </c>
      <c r="C597" s="136">
        <v>38.123350000000002</v>
      </c>
      <c r="D597" s="136">
        <v>65.487290000000002</v>
      </c>
      <c r="E597" s="136">
        <v>8.9391060000000007</v>
      </c>
    </row>
    <row r="598" spans="1:5" x14ac:dyDescent="0.2">
      <c r="A598" s="136" t="s">
        <v>173</v>
      </c>
      <c r="B598" s="136">
        <v>59.882269999999998</v>
      </c>
      <c r="C598" s="136">
        <v>107.2534</v>
      </c>
      <c r="D598" s="136">
        <v>31.267849999999999</v>
      </c>
      <c r="E598" s="136">
        <v>62.761670000000002</v>
      </c>
    </row>
    <row r="599" spans="1:5" x14ac:dyDescent="0.2">
      <c r="A599" s="136" t="s">
        <v>173</v>
      </c>
      <c r="B599" s="136">
        <v>76.491349999999997</v>
      </c>
      <c r="C599" s="136">
        <v>48.830800000000004</v>
      </c>
      <c r="D599" s="136">
        <v>19.088920000000002</v>
      </c>
      <c r="E599" s="136">
        <v>17.950949999999999</v>
      </c>
    </row>
    <row r="600" spans="1:5" x14ac:dyDescent="0.2">
      <c r="A600" s="136" t="s">
        <v>173</v>
      </c>
      <c r="B600" s="136">
        <v>26.244810000000001</v>
      </c>
      <c r="C600" s="136">
        <v>41.370069999999998</v>
      </c>
      <c r="D600" s="136">
        <v>14.305540000000001</v>
      </c>
      <c r="E600" s="136">
        <v>24.205089999999998</v>
      </c>
    </row>
    <row r="601" spans="1:5" x14ac:dyDescent="0.2">
      <c r="A601" s="136" t="s">
        <v>173</v>
      </c>
      <c r="B601" s="136">
        <v>34.382939999999998</v>
      </c>
      <c r="C601" s="136">
        <v>57.541809999999998</v>
      </c>
      <c r="D601" s="136">
        <v>19.523579999999999</v>
      </c>
      <c r="E601" s="136">
        <v>4.4923310000000001</v>
      </c>
    </row>
    <row r="602" spans="1:5" x14ac:dyDescent="0.2">
      <c r="A602" s="136" t="s">
        <v>173</v>
      </c>
      <c r="B602" s="136">
        <v>6.331531</v>
      </c>
      <c r="C602" s="136">
        <v>29.31183</v>
      </c>
      <c r="D602" s="136">
        <v>15.53148</v>
      </c>
      <c r="E602" s="136">
        <v>4.3680070000000004</v>
      </c>
    </row>
    <row r="603" spans="1:5" x14ac:dyDescent="0.2">
      <c r="A603" s="136" t="s">
        <v>173</v>
      </c>
      <c r="B603" s="136">
        <v>89.570300000000003</v>
      </c>
      <c r="C603" s="136">
        <v>166.03210000000001</v>
      </c>
      <c r="D603" s="136">
        <v>27.048079999999999</v>
      </c>
      <c r="E603" s="136">
        <v>24.129950000000001</v>
      </c>
    </row>
    <row r="604" spans="1:5" x14ac:dyDescent="0.2">
      <c r="A604" s="136" t="s">
        <v>173</v>
      </c>
      <c r="B604" s="136">
        <v>44.038429999999998</v>
      </c>
      <c r="C604" s="136">
        <v>20.636980000000001</v>
      </c>
      <c r="D604" s="136">
        <v>50.457680000000003</v>
      </c>
      <c r="E604" s="136">
        <v>25.823920000000001</v>
      </c>
    </row>
    <row r="605" spans="1:5" x14ac:dyDescent="0.2">
      <c r="A605" s="136" t="s">
        <v>173</v>
      </c>
      <c r="B605" s="136">
        <v>88.515960000000007</v>
      </c>
      <c r="C605" s="136">
        <v>13.237130000000001</v>
      </c>
      <c r="D605" s="136">
        <v>12.04271</v>
      </c>
      <c r="E605" s="136">
        <v>24.847239999999999</v>
      </c>
    </row>
    <row r="606" spans="1:5" x14ac:dyDescent="0.2">
      <c r="A606" s="136" t="s">
        <v>173</v>
      </c>
      <c r="B606" s="136">
        <v>104.74079999999999</v>
      </c>
      <c r="C606" s="136">
        <v>20.813130000000001</v>
      </c>
      <c r="D606" s="136">
        <v>6.6213129999999998</v>
      </c>
      <c r="E606" s="136">
        <v>65.231390000000005</v>
      </c>
    </row>
    <row r="607" spans="1:5" x14ac:dyDescent="0.2">
      <c r="A607" s="136" t="s">
        <v>173</v>
      </c>
      <c r="B607" s="136">
        <v>10.61917</v>
      </c>
      <c r="C607" s="136">
        <v>47.676659999999998</v>
      </c>
      <c r="D607" s="136">
        <v>141.73500000000001</v>
      </c>
      <c r="E607" s="136">
        <v>2.6898819999999999</v>
      </c>
    </row>
    <row r="608" spans="1:5" x14ac:dyDescent="0.2">
      <c r="A608" s="136" t="s">
        <v>173</v>
      </c>
      <c r="B608" s="136">
        <v>96.384469999999993</v>
      </c>
      <c r="C608" s="136">
        <v>22.309560000000001</v>
      </c>
      <c r="D608" s="136">
        <v>10.919790000000001</v>
      </c>
      <c r="E608" s="136">
        <v>2.4743330000000001</v>
      </c>
    </row>
    <row r="609" spans="1:5" x14ac:dyDescent="0.2">
      <c r="A609" s="136" t="s">
        <v>173</v>
      </c>
      <c r="B609" s="136">
        <v>57.78837</v>
      </c>
      <c r="C609" s="136">
        <v>0.257156</v>
      </c>
      <c r="D609" s="136">
        <v>39.915889999999997</v>
      </c>
      <c r="E609" s="136">
        <v>8.9177029999999995</v>
      </c>
    </row>
    <row r="610" spans="1:5" x14ac:dyDescent="0.2">
      <c r="A610" s="136" t="s">
        <v>173</v>
      </c>
      <c r="B610" s="136">
        <v>105.03449999999999</v>
      </c>
      <c r="C610" s="136">
        <v>21.25121</v>
      </c>
      <c r="D610" s="136">
        <v>16.612179999999999</v>
      </c>
      <c r="E610" s="136">
        <v>18.955870000000001</v>
      </c>
    </row>
    <row r="611" spans="1:5" x14ac:dyDescent="0.2">
      <c r="A611" s="136" t="s">
        <v>173</v>
      </c>
      <c r="B611" s="136">
        <v>27.658570000000001</v>
      </c>
      <c r="C611" s="136">
        <v>43.245699999999999</v>
      </c>
      <c r="D611" s="136">
        <v>69.312460000000002</v>
      </c>
      <c r="E611" s="136">
        <v>12.28961</v>
      </c>
    </row>
    <row r="612" spans="1:5" x14ac:dyDescent="0.2">
      <c r="A612" s="136" t="s">
        <v>173</v>
      </c>
      <c r="B612" s="136">
        <v>54.23245</v>
      </c>
      <c r="C612" s="136">
        <v>49.319249999999997</v>
      </c>
      <c r="D612" s="136">
        <v>17.95054</v>
      </c>
      <c r="E612" s="136">
        <v>1.954987</v>
      </c>
    </row>
    <row r="613" spans="1:5" x14ac:dyDescent="0.2">
      <c r="A613" s="136" t="s">
        <v>173</v>
      </c>
      <c r="B613" s="136">
        <v>133.98560000000001</v>
      </c>
      <c r="C613" s="136">
        <v>34.129350000000002</v>
      </c>
      <c r="D613" s="136">
        <v>78.995810000000006</v>
      </c>
      <c r="E613" s="136">
        <v>2.3821460000000001</v>
      </c>
    </row>
    <row r="614" spans="1:5" x14ac:dyDescent="0.2">
      <c r="A614" s="136" t="s">
        <v>173</v>
      </c>
      <c r="B614" s="136">
        <v>55.010959999999997</v>
      </c>
      <c r="C614" s="136">
        <v>64.080500000000001</v>
      </c>
      <c r="D614" s="136">
        <v>58.180799999999998</v>
      </c>
      <c r="E614" s="136">
        <v>14.378439999999999</v>
      </c>
    </row>
    <row r="615" spans="1:5" x14ac:dyDescent="0.2">
      <c r="A615" s="136" t="s">
        <v>173</v>
      </c>
      <c r="B615" s="136">
        <v>57.256459999999997</v>
      </c>
      <c r="C615" s="136">
        <v>75.240920000000003</v>
      </c>
      <c r="D615" s="136">
        <v>42.860080000000004</v>
      </c>
      <c r="E615" s="136">
        <v>5.0540760000000002</v>
      </c>
    </row>
    <row r="616" spans="1:5" x14ac:dyDescent="0.2">
      <c r="A616" s="136" t="s">
        <v>173</v>
      </c>
      <c r="B616" s="136">
        <v>54.746209999999998</v>
      </c>
      <c r="C616" s="136">
        <v>93.151799999999994</v>
      </c>
      <c r="D616" s="136">
        <v>64.618570000000005</v>
      </c>
      <c r="E616" s="136">
        <v>2.9132699999999998</v>
      </c>
    </row>
    <row r="617" spans="1:5" x14ac:dyDescent="0.2">
      <c r="A617" s="136" t="s">
        <v>173</v>
      </c>
      <c r="B617" s="136">
        <v>17.719280000000001</v>
      </c>
      <c r="C617" s="136">
        <v>30.993729999999999</v>
      </c>
      <c r="D617" s="136">
        <v>113.3523</v>
      </c>
      <c r="E617" s="136">
        <v>79.195589999999996</v>
      </c>
    </row>
    <row r="618" spans="1:5" x14ac:dyDescent="0.2">
      <c r="A618" s="136" t="s">
        <v>173</v>
      </c>
      <c r="B618" s="136">
        <v>109.0754</v>
      </c>
      <c r="C618" s="136">
        <v>26.57413</v>
      </c>
      <c r="D618" s="136">
        <v>48.901879999999998</v>
      </c>
      <c r="E618" s="136">
        <v>58.047759999999997</v>
      </c>
    </row>
    <row r="619" spans="1:5" x14ac:dyDescent="0.2">
      <c r="A619" s="136" t="s">
        <v>173</v>
      </c>
      <c r="B619" s="136">
        <v>29.726970000000001</v>
      </c>
      <c r="C619" s="136">
        <v>42.777970000000003</v>
      </c>
      <c r="D619" s="136">
        <v>94.361900000000006</v>
      </c>
      <c r="E619" s="136">
        <v>12.80297</v>
      </c>
    </row>
    <row r="620" spans="1:5" x14ac:dyDescent="0.2">
      <c r="A620" s="136" t="s">
        <v>173</v>
      </c>
      <c r="B620" s="136">
        <v>50.459829999999997</v>
      </c>
      <c r="C620" s="136">
        <v>38.282049999999998</v>
      </c>
      <c r="D620" s="136">
        <v>27.658760000000001</v>
      </c>
      <c r="E620" s="136">
        <v>34.380209999999998</v>
      </c>
    </row>
    <row r="621" spans="1:5" x14ac:dyDescent="0.2">
      <c r="A621" s="136" t="s">
        <v>173</v>
      </c>
      <c r="B621" s="136">
        <v>8.13842</v>
      </c>
      <c r="C621" s="136">
        <v>92.092650000000006</v>
      </c>
      <c r="D621" s="136">
        <v>59.561950000000003</v>
      </c>
      <c r="E621" s="136">
        <v>6.7579419999999999</v>
      </c>
    </row>
    <row r="622" spans="1:5" x14ac:dyDescent="0.2">
      <c r="A622" s="136" t="s">
        <v>173</v>
      </c>
      <c r="B622" s="136">
        <v>50.242199999999997</v>
      </c>
      <c r="C622" s="136">
        <v>124.515</v>
      </c>
      <c r="D622" s="136">
        <v>45.221209999999999</v>
      </c>
      <c r="E622" s="136">
        <v>12.912129999999999</v>
      </c>
    </row>
    <row r="623" spans="1:5" x14ac:dyDescent="0.2">
      <c r="A623" s="136" t="s">
        <v>173</v>
      </c>
      <c r="B623" s="136">
        <v>99.770960000000002</v>
      </c>
      <c r="C623" s="136">
        <v>25.607240000000001</v>
      </c>
      <c r="D623" s="136">
        <v>22.769159999999999</v>
      </c>
      <c r="E623" s="136">
        <v>6.2173730000000003</v>
      </c>
    </row>
    <row r="624" spans="1:5" x14ac:dyDescent="0.2">
      <c r="A624" s="136" t="s">
        <v>173</v>
      </c>
      <c r="B624" s="136">
        <v>84.927059999999997</v>
      </c>
      <c r="C624" s="136">
        <v>25.47757</v>
      </c>
      <c r="D624" s="136">
        <v>259.15280000000001</v>
      </c>
      <c r="E624" s="136">
        <v>25.60079</v>
      </c>
    </row>
    <row r="625" spans="1:5" x14ac:dyDescent="0.2">
      <c r="A625" s="136" t="s">
        <v>173</v>
      </c>
      <c r="B625" s="136">
        <v>97.951440000000005</v>
      </c>
      <c r="C625" s="136">
        <v>11.50525</v>
      </c>
      <c r="D625" s="136">
        <v>51.43526</v>
      </c>
      <c r="E625" s="136">
        <v>2.465109</v>
      </c>
    </row>
    <row r="626" spans="1:5" x14ac:dyDescent="0.2">
      <c r="A626" s="136" t="s">
        <v>173</v>
      </c>
      <c r="B626" s="136">
        <v>31.669789999999999</v>
      </c>
      <c r="C626" s="136">
        <v>46.350070000000002</v>
      </c>
      <c r="D626" s="136">
        <v>14.179919999999999</v>
      </c>
      <c r="E626" s="136">
        <v>2.750867</v>
      </c>
    </row>
    <row r="627" spans="1:5" x14ac:dyDescent="0.2">
      <c r="A627" s="136" t="s">
        <v>173</v>
      </c>
      <c r="B627" s="136">
        <v>43.384059999999998</v>
      </c>
      <c r="C627" s="136">
        <v>29.68779</v>
      </c>
      <c r="D627" s="136">
        <v>170.54560000000001</v>
      </c>
      <c r="E627" s="136">
        <v>9.1121669999999995</v>
      </c>
    </row>
    <row r="628" spans="1:5" x14ac:dyDescent="0.2">
      <c r="A628" s="136" t="s">
        <v>173</v>
      </c>
      <c r="B628" s="136">
        <v>56.565019999999997</v>
      </c>
      <c r="C628" s="136">
        <v>65.454049999999995</v>
      </c>
      <c r="D628" s="136">
        <v>75.730779999999996</v>
      </c>
      <c r="E628" s="136">
        <v>20.785219999999999</v>
      </c>
    </row>
    <row r="629" spans="1:5" x14ac:dyDescent="0.2">
      <c r="A629" s="136" t="s">
        <v>173</v>
      </c>
      <c r="B629" s="136">
        <v>93.605590000000007</v>
      </c>
      <c r="C629" s="136">
        <v>58.026220000000002</v>
      </c>
      <c r="D629" s="136">
        <v>45.699660000000002</v>
      </c>
      <c r="E629" s="136">
        <v>16.517939999999999</v>
      </c>
    </row>
    <row r="630" spans="1:5" x14ac:dyDescent="0.2">
      <c r="A630" s="136" t="s">
        <v>173</v>
      </c>
      <c r="B630" s="136">
        <v>161.05590000000001</v>
      </c>
      <c r="C630" s="136">
        <v>9.8281759999999991</v>
      </c>
      <c r="D630" s="136">
        <v>152.62139999999999</v>
      </c>
      <c r="E630" s="136">
        <v>57.182769999999998</v>
      </c>
    </row>
    <row r="631" spans="1:5" x14ac:dyDescent="0.2">
      <c r="A631" s="136" t="s">
        <v>173</v>
      </c>
      <c r="B631" s="136">
        <v>23.034199999999998</v>
      </c>
      <c r="C631" s="136">
        <v>47.337519999999998</v>
      </c>
      <c r="D631" s="136">
        <v>63.74915</v>
      </c>
      <c r="E631" s="136">
        <v>10.57208</v>
      </c>
    </row>
    <row r="632" spans="1:5" x14ac:dyDescent="0.2">
      <c r="A632" s="136" t="s">
        <v>173</v>
      </c>
      <c r="B632" s="136">
        <v>232.62899999999999</v>
      </c>
      <c r="C632" s="136">
        <v>32.266869999999997</v>
      </c>
      <c r="D632" s="136">
        <v>5.0789559999999998</v>
      </c>
      <c r="E632" s="136">
        <v>11.05931</v>
      </c>
    </row>
    <row r="633" spans="1:5" x14ac:dyDescent="0.2">
      <c r="A633" s="136" t="s">
        <v>173</v>
      </c>
      <c r="B633" s="136">
        <v>5.045801</v>
      </c>
      <c r="C633" s="136">
        <v>37.419899999999998</v>
      </c>
      <c r="D633" s="136">
        <v>178.59819999999999</v>
      </c>
      <c r="E633" s="136">
        <v>47.344760000000001</v>
      </c>
    </row>
    <row r="634" spans="1:5" x14ac:dyDescent="0.2">
      <c r="A634" s="136" t="s">
        <v>173</v>
      </c>
      <c r="B634" s="136">
        <v>109.4182</v>
      </c>
      <c r="C634" s="136">
        <v>35.771560000000001</v>
      </c>
      <c r="D634" s="136">
        <v>26.272659999999998</v>
      </c>
      <c r="E634" s="136">
        <v>0.48510599999999998</v>
      </c>
    </row>
    <row r="635" spans="1:5" x14ac:dyDescent="0.2">
      <c r="A635" s="136" t="s">
        <v>173</v>
      </c>
      <c r="B635" s="136">
        <v>165.5675</v>
      </c>
      <c r="C635" s="136">
        <v>30.47823</v>
      </c>
      <c r="D635" s="136">
        <v>77.208780000000004</v>
      </c>
      <c r="E635" s="136">
        <v>35.088900000000002</v>
      </c>
    </row>
    <row r="636" spans="1:5" x14ac:dyDescent="0.2">
      <c r="A636" s="136" t="s">
        <v>173</v>
      </c>
      <c r="B636" s="136">
        <v>210.1386</v>
      </c>
      <c r="C636" s="136">
        <v>154.6927</v>
      </c>
      <c r="D636" s="136">
        <v>153.839</v>
      </c>
      <c r="E636" s="136">
        <v>10.179040000000001</v>
      </c>
    </row>
    <row r="637" spans="1:5" x14ac:dyDescent="0.2">
      <c r="A637" s="136" t="s">
        <v>173</v>
      </c>
      <c r="B637" s="136">
        <v>150.8201</v>
      </c>
      <c r="C637" s="136">
        <v>92.606170000000006</v>
      </c>
      <c r="D637" s="136">
        <v>32.71405</v>
      </c>
      <c r="E637" s="136">
        <v>4.5516949999999996</v>
      </c>
    </row>
    <row r="638" spans="1:5" x14ac:dyDescent="0.2">
      <c r="A638" s="136" t="s">
        <v>173</v>
      </c>
      <c r="B638" s="136">
        <v>29.824179999999998</v>
      </c>
      <c r="C638" s="136">
        <v>16.461290000000002</v>
      </c>
      <c r="D638" s="136">
        <v>16.130299999999998</v>
      </c>
      <c r="E638" s="136">
        <v>5.5019</v>
      </c>
    </row>
    <row r="639" spans="1:5" x14ac:dyDescent="0.2">
      <c r="A639" s="136" t="s">
        <v>173</v>
      </c>
      <c r="B639" s="136">
        <v>59.196919999999999</v>
      </c>
      <c r="C639" s="136">
        <v>24.417929999999998</v>
      </c>
      <c r="D639" s="136">
        <v>497.78949999999998</v>
      </c>
      <c r="E639" s="136">
        <v>9.6242269999999994</v>
      </c>
    </row>
    <row r="640" spans="1:5" x14ac:dyDescent="0.2">
      <c r="A640" s="136" t="s">
        <v>173</v>
      </c>
      <c r="B640" s="136">
        <v>21.010470000000002</v>
      </c>
      <c r="C640" s="136">
        <v>5.9414660000000001</v>
      </c>
      <c r="D640" s="136">
        <v>80.183989999999994</v>
      </c>
      <c r="E640" s="136">
        <v>9.8918180000000007</v>
      </c>
    </row>
    <row r="641" spans="1:5" x14ac:dyDescent="0.2">
      <c r="A641" s="136" t="s">
        <v>173</v>
      </c>
      <c r="B641" s="136">
        <v>127.1215</v>
      </c>
      <c r="C641" s="136">
        <v>18.976859999999999</v>
      </c>
      <c r="D641" s="136">
        <v>26.625019999999999</v>
      </c>
      <c r="E641" s="136">
        <v>13.176539999999999</v>
      </c>
    </row>
    <row r="642" spans="1:5" x14ac:dyDescent="0.2">
      <c r="A642" s="136" t="s">
        <v>173</v>
      </c>
      <c r="B642" s="136">
        <v>53.069949999999999</v>
      </c>
      <c r="C642" s="136">
        <v>25.25976</v>
      </c>
      <c r="D642" s="136">
        <v>412.75760000000002</v>
      </c>
      <c r="E642" s="136">
        <v>34.653619999999997</v>
      </c>
    </row>
    <row r="643" spans="1:5" x14ac:dyDescent="0.2">
      <c r="A643" s="136" t="s">
        <v>173</v>
      </c>
      <c r="B643" s="136">
        <v>78.715050000000005</v>
      </c>
      <c r="C643" s="136">
        <v>12.810230000000001</v>
      </c>
      <c r="D643" s="136">
        <v>48.342689999999997</v>
      </c>
      <c r="E643" s="136">
        <v>26.334579999999999</v>
      </c>
    </row>
    <row r="644" spans="1:5" x14ac:dyDescent="0.2">
      <c r="A644" s="136" t="s">
        <v>173</v>
      </c>
      <c r="B644" s="136">
        <v>200.13980000000001</v>
      </c>
      <c r="C644" s="136">
        <v>68.817160000000001</v>
      </c>
      <c r="D644" s="136">
        <v>56.876609999999999</v>
      </c>
      <c r="E644" s="136">
        <v>3.2562440000000001</v>
      </c>
    </row>
    <row r="645" spans="1:5" x14ac:dyDescent="0.2">
      <c r="A645" s="136" t="s">
        <v>173</v>
      </c>
      <c r="B645" s="136">
        <v>38.623460000000001</v>
      </c>
      <c r="C645" s="136">
        <v>81.098110000000005</v>
      </c>
      <c r="D645" s="136">
        <v>112.9318</v>
      </c>
      <c r="E645" s="136">
        <v>54.657580000000003</v>
      </c>
    </row>
    <row r="646" spans="1:5" x14ac:dyDescent="0.2">
      <c r="A646" s="136" t="s">
        <v>173</v>
      </c>
      <c r="B646" s="136">
        <v>39.459949999999999</v>
      </c>
      <c r="C646" s="136">
        <v>43.759720000000002</v>
      </c>
      <c r="D646" s="136">
        <v>146.4401</v>
      </c>
      <c r="E646" s="136">
        <v>9.0234199999999998</v>
      </c>
    </row>
    <row r="647" spans="1:5" x14ac:dyDescent="0.2">
      <c r="A647" s="136" t="s">
        <v>173</v>
      </c>
      <c r="B647" s="136">
        <v>255.18270000000001</v>
      </c>
      <c r="C647" s="136">
        <v>19.80997</v>
      </c>
      <c r="D647" s="136">
        <v>16.77647</v>
      </c>
      <c r="E647" s="136">
        <v>13.470079999999999</v>
      </c>
    </row>
    <row r="648" spans="1:5" x14ac:dyDescent="0.2">
      <c r="A648" s="136" t="s">
        <v>173</v>
      </c>
      <c r="B648" s="136">
        <v>17.925630000000002</v>
      </c>
      <c r="C648" s="136">
        <v>67.741519999999994</v>
      </c>
      <c r="D648" s="136">
        <v>34.287280000000003</v>
      </c>
      <c r="E648" s="136">
        <v>15.761799999999999</v>
      </c>
    </row>
    <row r="649" spans="1:5" x14ac:dyDescent="0.2">
      <c r="A649" s="136" t="s">
        <v>173</v>
      </c>
      <c r="B649" s="136">
        <v>37.040390000000002</v>
      </c>
      <c r="C649" s="136">
        <v>32.652439999999999</v>
      </c>
      <c r="D649" s="136">
        <v>18.700620000000001</v>
      </c>
      <c r="E649" s="136">
        <v>11.38226</v>
      </c>
    </row>
    <row r="650" spans="1:5" x14ac:dyDescent="0.2">
      <c r="A650" s="136" t="s">
        <v>173</v>
      </c>
      <c r="B650" s="136">
        <v>26.377230000000001</v>
      </c>
      <c r="C650" s="136">
        <v>78.798370000000006</v>
      </c>
      <c r="D650" s="136">
        <v>161.822</v>
      </c>
      <c r="E650" s="136">
        <v>69.136499999999998</v>
      </c>
    </row>
    <row r="651" spans="1:5" x14ac:dyDescent="0.2">
      <c r="A651" s="136" t="s">
        <v>173</v>
      </c>
      <c r="B651" s="136">
        <v>33.521149999999999</v>
      </c>
      <c r="C651" s="136">
        <v>22.800750000000001</v>
      </c>
      <c r="D651" s="136">
        <v>421.4853</v>
      </c>
      <c r="E651" s="136">
        <v>13.67418</v>
      </c>
    </row>
    <row r="652" spans="1:5" x14ac:dyDescent="0.2">
      <c r="A652" s="136" t="s">
        <v>173</v>
      </c>
      <c r="B652" s="136">
        <v>145.30459999999999</v>
      </c>
      <c r="C652" s="136">
        <v>12.360860000000001</v>
      </c>
      <c r="D652" s="136">
        <v>29.621120000000001</v>
      </c>
      <c r="E652" s="136">
        <v>32.134740000000001</v>
      </c>
    </row>
    <row r="653" spans="1:5" x14ac:dyDescent="0.2">
      <c r="A653" s="136" t="s">
        <v>173</v>
      </c>
      <c r="B653" s="136">
        <v>22.031330000000001</v>
      </c>
      <c r="C653" s="136">
        <v>23.947009999999999</v>
      </c>
      <c r="D653" s="136">
        <v>55.105550000000001</v>
      </c>
      <c r="E653" s="136">
        <v>3.9084289999999999</v>
      </c>
    </row>
    <row r="654" spans="1:5" x14ac:dyDescent="0.2">
      <c r="A654" s="136" t="s">
        <v>173</v>
      </c>
      <c r="B654" s="136">
        <v>20.879539999999999</v>
      </c>
      <c r="C654" s="136">
        <v>61.047249999999998</v>
      </c>
      <c r="D654" s="136">
        <v>44.379429999999999</v>
      </c>
      <c r="E654" s="136">
        <v>49.355119999999999</v>
      </c>
    </row>
    <row r="655" spans="1:5" x14ac:dyDescent="0.2">
      <c r="A655" s="136" t="s">
        <v>173</v>
      </c>
      <c r="B655" s="136">
        <v>55.978740000000002</v>
      </c>
      <c r="C655" s="136">
        <v>10.975580000000001</v>
      </c>
      <c r="D655" s="136">
        <v>19.664680000000001</v>
      </c>
      <c r="E655" s="136">
        <v>11.924989999999999</v>
      </c>
    </row>
    <row r="656" spans="1:5" x14ac:dyDescent="0.2">
      <c r="A656" s="136" t="s">
        <v>173</v>
      </c>
      <c r="B656" s="136">
        <v>53.217089999999999</v>
      </c>
      <c r="C656" s="136">
        <v>65.609729999999999</v>
      </c>
      <c r="D656" s="136">
        <v>31.136489999999998</v>
      </c>
      <c r="E656" s="136">
        <v>8.2528009999999998</v>
      </c>
    </row>
    <row r="657" spans="1:5" x14ac:dyDescent="0.2">
      <c r="A657" s="136" t="s">
        <v>173</v>
      </c>
      <c r="B657" s="136">
        <v>72.75018</v>
      </c>
      <c r="C657" s="136">
        <v>35.766350000000003</v>
      </c>
      <c r="D657" s="136">
        <v>79.758089999999996</v>
      </c>
      <c r="E657" s="136">
        <v>34.234160000000003</v>
      </c>
    </row>
    <row r="658" spans="1:5" x14ac:dyDescent="0.2">
      <c r="A658" s="136" t="s">
        <v>173</v>
      </c>
      <c r="B658" s="136">
        <v>20.25836</v>
      </c>
      <c r="C658" s="136">
        <v>64.652050000000003</v>
      </c>
      <c r="D658" s="136">
        <v>64.815150000000003</v>
      </c>
      <c r="E658" s="136">
        <v>34.936959999999999</v>
      </c>
    </row>
    <row r="659" spans="1:5" x14ac:dyDescent="0.2">
      <c r="A659" s="136" t="s">
        <v>173</v>
      </c>
      <c r="B659" s="136">
        <v>54.171239999999997</v>
      </c>
      <c r="C659" s="136">
        <v>7.6459089999999996</v>
      </c>
      <c r="D659" s="136">
        <v>400.23399999999998</v>
      </c>
      <c r="E659" s="136">
        <v>2.5906720000000001</v>
      </c>
    </row>
    <row r="660" spans="1:5" x14ac:dyDescent="0.2">
      <c r="A660" s="136" t="s">
        <v>173</v>
      </c>
      <c r="B660" s="136">
        <v>55.17689</v>
      </c>
      <c r="C660" s="136">
        <v>70.092230000000001</v>
      </c>
      <c r="D660" s="136">
        <v>46.138939999999998</v>
      </c>
      <c r="E660" s="136">
        <v>8.3075329999999994</v>
      </c>
    </row>
    <row r="661" spans="1:5" x14ac:dyDescent="0.2">
      <c r="A661" s="136" t="s">
        <v>173</v>
      </c>
      <c r="B661" s="136">
        <v>86.034530000000004</v>
      </c>
      <c r="C661" s="136">
        <v>52.82788</v>
      </c>
      <c r="D661" s="136">
        <v>92.311480000000003</v>
      </c>
      <c r="E661" s="136">
        <v>2.990767</v>
      </c>
    </row>
    <row r="662" spans="1:5" x14ac:dyDescent="0.2">
      <c r="A662" s="136" t="s">
        <v>173</v>
      </c>
      <c r="B662" s="136">
        <v>127.7561</v>
      </c>
      <c r="C662" s="136">
        <v>26.781269999999999</v>
      </c>
      <c r="D662" s="136">
        <v>126.2535</v>
      </c>
      <c r="E662" s="136">
        <v>42.531599999999997</v>
      </c>
    </row>
    <row r="663" spans="1:5" x14ac:dyDescent="0.2">
      <c r="A663" s="136" t="s">
        <v>173</v>
      </c>
      <c r="B663" s="136">
        <v>297.84269999999998</v>
      </c>
      <c r="C663" s="136">
        <v>3.8564500000000002</v>
      </c>
      <c r="D663" s="136">
        <v>26.44144</v>
      </c>
      <c r="E663" s="136">
        <v>53.636870000000002</v>
      </c>
    </row>
    <row r="664" spans="1:5" x14ac:dyDescent="0.2">
      <c r="A664" s="136" t="s">
        <v>173</v>
      </c>
      <c r="B664" s="136">
        <v>193.13839999999999</v>
      </c>
      <c r="C664" s="136">
        <v>29.987169999999999</v>
      </c>
      <c r="D664" s="136">
        <v>29.875</v>
      </c>
      <c r="E664" s="136">
        <v>3.7300460000000002</v>
      </c>
    </row>
    <row r="665" spans="1:5" x14ac:dyDescent="0.2">
      <c r="A665" s="136" t="s">
        <v>173</v>
      </c>
      <c r="B665" s="136">
        <v>213.7098</v>
      </c>
      <c r="C665" s="136">
        <v>88.401529999999994</v>
      </c>
      <c r="D665" s="136">
        <v>36.831029999999998</v>
      </c>
      <c r="E665" s="136">
        <v>7.1196419999999998</v>
      </c>
    </row>
    <row r="666" spans="1:5" x14ac:dyDescent="0.2">
      <c r="A666" s="136" t="s">
        <v>173</v>
      </c>
      <c r="B666" s="136">
        <v>54.221249999999998</v>
      </c>
      <c r="C666" s="136">
        <v>29.736979999999999</v>
      </c>
      <c r="D666" s="136">
        <v>306.09699999999998</v>
      </c>
      <c r="E666" s="136">
        <v>46.610619999999997</v>
      </c>
    </row>
    <row r="667" spans="1:5" x14ac:dyDescent="0.2">
      <c r="A667" s="136" t="s">
        <v>173</v>
      </c>
      <c r="B667" s="136">
        <v>204.41380000000001</v>
      </c>
      <c r="C667" s="136">
        <v>61.35284</v>
      </c>
      <c r="D667" s="136">
        <v>81.960560000000001</v>
      </c>
      <c r="E667" s="136">
        <v>17.171389999999999</v>
      </c>
    </row>
    <row r="668" spans="1:5" x14ac:dyDescent="0.2">
      <c r="A668" s="136" t="s">
        <v>173</v>
      </c>
      <c r="B668" s="136">
        <v>41.371920000000003</v>
      </c>
      <c r="C668" s="136">
        <v>40.280209999999997</v>
      </c>
      <c r="D668" s="136">
        <v>47.208159999999999</v>
      </c>
      <c r="E668" s="136">
        <v>8.7289110000000001</v>
      </c>
    </row>
    <row r="669" spans="1:5" x14ac:dyDescent="0.2">
      <c r="A669" s="136" t="s">
        <v>173</v>
      </c>
      <c r="B669" s="136">
        <v>85.152670000000001</v>
      </c>
      <c r="C669" s="136">
        <v>42.229669999999999</v>
      </c>
      <c r="D669" s="136">
        <v>221.41419999999999</v>
      </c>
      <c r="E669" s="136">
        <v>58.976579999999998</v>
      </c>
    </row>
    <row r="670" spans="1:5" x14ac:dyDescent="0.2">
      <c r="A670" s="136" t="s">
        <v>173</v>
      </c>
      <c r="B670" s="136">
        <v>44.4101</v>
      </c>
      <c r="C670" s="136">
        <v>10.26464</v>
      </c>
      <c r="D670" s="136">
        <v>253.0316</v>
      </c>
      <c r="E670" s="136">
        <v>35.446249999999999</v>
      </c>
    </row>
    <row r="671" spans="1:5" x14ac:dyDescent="0.2">
      <c r="A671" s="136" t="s">
        <v>173</v>
      </c>
      <c r="B671" s="136">
        <v>153.01669999999999</v>
      </c>
      <c r="C671" s="136">
        <v>51.4572</v>
      </c>
      <c r="D671" s="136">
        <v>19.373000000000001</v>
      </c>
      <c r="E671" s="136">
        <v>15.143649999999999</v>
      </c>
    </row>
    <row r="672" spans="1:5" x14ac:dyDescent="0.2">
      <c r="A672" s="136" t="s">
        <v>173</v>
      </c>
      <c r="B672" s="136">
        <v>52.526449999999997</v>
      </c>
      <c r="C672" s="136">
        <v>46.459820000000001</v>
      </c>
      <c r="D672" s="136">
        <v>61.908760000000001</v>
      </c>
      <c r="E672" s="136">
        <v>10.27064</v>
      </c>
    </row>
    <row r="673" spans="1:5" x14ac:dyDescent="0.2">
      <c r="A673" s="136" t="s">
        <v>173</v>
      </c>
      <c r="B673" s="136">
        <v>52.865200000000002</v>
      </c>
      <c r="C673" s="136">
        <v>11.85019</v>
      </c>
      <c r="D673" s="136">
        <v>4.3999779999999999</v>
      </c>
      <c r="E673" s="136">
        <v>17.36431</v>
      </c>
    </row>
    <row r="674" spans="1:5" x14ac:dyDescent="0.2">
      <c r="A674" s="136" t="s">
        <v>173</v>
      </c>
      <c r="B674" s="136">
        <v>10.50756</v>
      </c>
      <c r="C674" s="136">
        <v>36.488480000000003</v>
      </c>
      <c r="D674" s="136">
        <v>73.183009999999996</v>
      </c>
      <c r="E674" s="136">
        <v>9.1501839999999994</v>
      </c>
    </row>
    <row r="675" spans="1:5" x14ac:dyDescent="0.2">
      <c r="A675" s="136" t="s">
        <v>173</v>
      </c>
      <c r="B675" s="136">
        <v>52.244160000000001</v>
      </c>
      <c r="C675" s="136">
        <v>44.833579999999998</v>
      </c>
      <c r="D675" s="136">
        <v>9.9229869999999991</v>
      </c>
      <c r="E675" s="136">
        <v>4.4765050000000004</v>
      </c>
    </row>
    <row r="676" spans="1:5" x14ac:dyDescent="0.2">
      <c r="A676" s="136" t="s">
        <v>173</v>
      </c>
      <c r="B676" s="136">
        <v>265.83710000000002</v>
      </c>
      <c r="C676" s="136">
        <v>28.39507</v>
      </c>
      <c r="D676" s="136">
        <v>79.548770000000005</v>
      </c>
      <c r="E676" s="136">
        <v>12.83947</v>
      </c>
    </row>
    <row r="677" spans="1:5" x14ac:dyDescent="0.2">
      <c r="A677" s="136" t="s">
        <v>173</v>
      </c>
      <c r="B677" s="136">
        <v>79.331959999999995</v>
      </c>
      <c r="C677" s="136">
        <v>27.447019999999998</v>
      </c>
      <c r="D677" s="136">
        <v>33.211350000000003</v>
      </c>
      <c r="E677" s="136">
        <v>2.6663929999999998</v>
      </c>
    </row>
    <row r="678" spans="1:5" x14ac:dyDescent="0.2">
      <c r="A678" s="136" t="s">
        <v>173</v>
      </c>
      <c r="B678" s="136">
        <v>82.568439999999995</v>
      </c>
      <c r="C678" s="136">
        <v>45.712629999999997</v>
      </c>
      <c r="D678" s="136">
        <v>35.69079</v>
      </c>
      <c r="E678" s="136">
        <v>25.758949999999999</v>
      </c>
    </row>
    <row r="679" spans="1:5" x14ac:dyDescent="0.2">
      <c r="A679" s="136" t="s">
        <v>173</v>
      </c>
      <c r="B679" s="136">
        <v>72.481489999999994</v>
      </c>
      <c r="C679" s="136">
        <v>49.46096</v>
      </c>
      <c r="D679" s="136">
        <v>21.709689999999998</v>
      </c>
      <c r="E679" s="136">
        <v>19.602440000000001</v>
      </c>
    </row>
    <row r="680" spans="1:5" x14ac:dyDescent="0.2">
      <c r="A680" s="136" t="s">
        <v>173</v>
      </c>
      <c r="B680" s="136">
        <v>3.5044080000000002</v>
      </c>
      <c r="C680" s="136">
        <v>47.369320000000002</v>
      </c>
      <c r="D680" s="136">
        <v>31.914010000000001</v>
      </c>
      <c r="E680" s="136">
        <v>16.477070000000001</v>
      </c>
    </row>
    <row r="681" spans="1:5" x14ac:dyDescent="0.2">
      <c r="A681" s="136" t="s">
        <v>173</v>
      </c>
      <c r="B681" s="136">
        <v>95.114260000000002</v>
      </c>
      <c r="C681" s="136">
        <v>22.471329999999998</v>
      </c>
      <c r="D681" s="136">
        <v>8.8941219999999994</v>
      </c>
      <c r="E681" s="136">
        <v>14.071479999999999</v>
      </c>
    </row>
    <row r="682" spans="1:5" x14ac:dyDescent="0.2">
      <c r="A682" s="136" t="s">
        <v>173</v>
      </c>
      <c r="B682" s="136">
        <v>74.017240000000001</v>
      </c>
      <c r="C682" s="136">
        <v>26.06495</v>
      </c>
      <c r="D682" s="136">
        <v>13.238670000000001</v>
      </c>
      <c r="E682" s="136">
        <v>13.57522</v>
      </c>
    </row>
    <row r="683" spans="1:5" x14ac:dyDescent="0.2">
      <c r="A683" s="136" t="s">
        <v>173</v>
      </c>
      <c r="B683" s="136">
        <v>86.259460000000004</v>
      </c>
      <c r="C683" s="136">
        <v>40.246780000000001</v>
      </c>
      <c r="D683" s="136">
        <v>180.02199999999999</v>
      </c>
      <c r="E683" s="136">
        <v>24.31701</v>
      </c>
    </row>
    <row r="684" spans="1:5" x14ac:dyDescent="0.2">
      <c r="A684" s="136" t="s">
        <v>173</v>
      </c>
      <c r="B684" s="136">
        <v>174.4829</v>
      </c>
      <c r="C684" s="136">
        <v>51.902830000000002</v>
      </c>
      <c r="D684" s="136">
        <v>102.8192</v>
      </c>
      <c r="E684" s="136">
        <v>38.899880000000003</v>
      </c>
    </row>
    <row r="685" spans="1:5" x14ac:dyDescent="0.2">
      <c r="A685" s="136" t="s">
        <v>173</v>
      </c>
      <c r="B685" s="136">
        <v>113.92570000000001</v>
      </c>
      <c r="C685" s="136">
        <v>92.838669999999993</v>
      </c>
      <c r="D685" s="136">
        <v>50.266370000000002</v>
      </c>
      <c r="E685" s="136">
        <v>3.7439469999999999</v>
      </c>
    </row>
    <row r="686" spans="1:5" x14ac:dyDescent="0.2">
      <c r="A686" s="136" t="s">
        <v>173</v>
      </c>
      <c r="B686" s="136">
        <v>49.105849999999997</v>
      </c>
      <c r="C686" s="136">
        <v>24.85483</v>
      </c>
      <c r="D686" s="136">
        <v>104.526</v>
      </c>
      <c r="E686" s="136">
        <v>99.884929999999997</v>
      </c>
    </row>
    <row r="687" spans="1:5" x14ac:dyDescent="0.2">
      <c r="A687" s="136" t="s">
        <v>173</v>
      </c>
      <c r="B687" s="136">
        <v>136.34889999999999</v>
      </c>
      <c r="C687" s="136">
        <v>16.454190000000001</v>
      </c>
      <c r="D687" s="136">
        <v>61.266109999999998</v>
      </c>
      <c r="E687" s="136">
        <v>3.3721649999999999</v>
      </c>
    </row>
    <row r="688" spans="1:5" x14ac:dyDescent="0.2">
      <c r="A688" s="136" t="s">
        <v>173</v>
      </c>
      <c r="B688" s="136">
        <v>159.9477</v>
      </c>
      <c r="C688" s="136">
        <v>104.10429999999999</v>
      </c>
      <c r="D688" s="136">
        <v>58.437019999999997</v>
      </c>
      <c r="E688" s="136">
        <v>6.016464</v>
      </c>
    </row>
    <row r="689" spans="1:5" x14ac:dyDescent="0.2">
      <c r="A689" s="136" t="s">
        <v>173</v>
      </c>
      <c r="B689" s="136">
        <v>171.5377</v>
      </c>
      <c r="C689" s="136">
        <v>43.274619999999999</v>
      </c>
      <c r="D689" s="136">
        <v>40.219560000000001</v>
      </c>
      <c r="E689" s="136">
        <v>8.3389819999999997</v>
      </c>
    </row>
    <row r="690" spans="1:5" x14ac:dyDescent="0.2">
      <c r="A690" s="136" t="s">
        <v>173</v>
      </c>
      <c r="B690" s="136">
        <v>64.354789999999994</v>
      </c>
      <c r="C690" s="136">
        <v>16.82375</v>
      </c>
      <c r="D690" s="136">
        <v>8.0926100000000005</v>
      </c>
      <c r="E690" s="136">
        <v>11.73315</v>
      </c>
    </row>
    <row r="691" spans="1:5" x14ac:dyDescent="0.2">
      <c r="A691" s="136" t="s">
        <v>173</v>
      </c>
      <c r="B691" s="136">
        <v>105.1455</v>
      </c>
      <c r="C691" s="136">
        <v>11.338179999999999</v>
      </c>
      <c r="D691" s="136">
        <v>58.09393</v>
      </c>
      <c r="E691" s="136">
        <v>4.0377179999999999</v>
      </c>
    </row>
    <row r="692" spans="1:5" x14ac:dyDescent="0.2">
      <c r="A692" s="136" t="s">
        <v>173</v>
      </c>
      <c r="B692" s="136">
        <v>131.82929999999999</v>
      </c>
      <c r="C692" s="136">
        <v>10.008620000000001</v>
      </c>
      <c r="D692" s="136">
        <v>96.955119999999994</v>
      </c>
      <c r="E692" s="136">
        <v>12.48875</v>
      </c>
    </row>
    <row r="693" spans="1:5" x14ac:dyDescent="0.2">
      <c r="A693" s="136" t="s">
        <v>173</v>
      </c>
      <c r="B693" s="136">
        <v>149.66499999999999</v>
      </c>
      <c r="C693" s="136">
        <v>5.26126</v>
      </c>
      <c r="D693" s="136">
        <v>38.58746</v>
      </c>
      <c r="E693" s="136">
        <v>0.78590499999999996</v>
      </c>
    </row>
    <row r="694" spans="1:5" x14ac:dyDescent="0.2">
      <c r="A694" s="136" t="s">
        <v>173</v>
      </c>
      <c r="B694" s="136">
        <v>129.98240000000001</v>
      </c>
      <c r="C694" s="136">
        <v>26.54438</v>
      </c>
      <c r="D694" s="136">
        <v>16.067869999999999</v>
      </c>
      <c r="E694" s="136">
        <v>1.929489</v>
      </c>
    </row>
    <row r="695" spans="1:5" x14ac:dyDescent="0.2">
      <c r="A695" s="136" t="s">
        <v>173</v>
      </c>
      <c r="B695" s="136">
        <v>48.557879999999997</v>
      </c>
      <c r="C695" s="136">
        <v>48.161839999999998</v>
      </c>
      <c r="D695" s="136">
        <v>73.879440000000002</v>
      </c>
      <c r="E695" s="136">
        <v>2.1136620000000002</v>
      </c>
    </row>
    <row r="696" spans="1:5" x14ac:dyDescent="0.2">
      <c r="A696" s="136" t="s">
        <v>173</v>
      </c>
      <c r="B696" s="136">
        <v>77.235150000000004</v>
      </c>
      <c r="C696" s="136">
        <v>50.2074</v>
      </c>
      <c r="D696" s="136">
        <v>71.045190000000005</v>
      </c>
      <c r="E696" s="136">
        <v>13.50299</v>
      </c>
    </row>
    <row r="697" spans="1:5" x14ac:dyDescent="0.2">
      <c r="A697" s="136" t="s">
        <v>173</v>
      </c>
      <c r="B697" s="136">
        <v>29.860420000000001</v>
      </c>
      <c r="C697" s="136">
        <v>32.128120000000003</v>
      </c>
      <c r="D697" s="136">
        <v>32.103789999999996</v>
      </c>
      <c r="E697" s="136">
        <v>16.24044</v>
      </c>
    </row>
    <row r="698" spans="1:5" x14ac:dyDescent="0.2">
      <c r="A698" s="136" t="s">
        <v>173</v>
      </c>
      <c r="B698" s="136">
        <v>19.917529999999999</v>
      </c>
      <c r="C698" s="136">
        <v>65.576530000000005</v>
      </c>
      <c r="D698" s="136">
        <v>170.73230000000001</v>
      </c>
      <c r="E698" s="136">
        <v>2.7880050000000001</v>
      </c>
    </row>
    <row r="699" spans="1:5" x14ac:dyDescent="0.2">
      <c r="A699" s="136" t="s">
        <v>173</v>
      </c>
      <c r="B699" s="136">
        <v>217.16399999999999</v>
      </c>
      <c r="C699" s="136">
        <v>40.278739999999999</v>
      </c>
      <c r="D699" s="136">
        <v>36.311120000000003</v>
      </c>
      <c r="E699" s="136">
        <v>3.3437429999999999</v>
      </c>
    </row>
    <row r="700" spans="1:5" x14ac:dyDescent="0.2">
      <c r="A700" s="136" t="s">
        <v>173</v>
      </c>
      <c r="B700" s="136">
        <v>71.919280000000001</v>
      </c>
      <c r="C700" s="136">
        <v>47.947090000000003</v>
      </c>
      <c r="D700" s="136">
        <v>93.337429999999998</v>
      </c>
      <c r="E700" s="136">
        <v>46.286050000000003</v>
      </c>
    </row>
    <row r="701" spans="1:5" x14ac:dyDescent="0.2">
      <c r="A701" s="136" t="s">
        <v>173</v>
      </c>
      <c r="B701" s="136">
        <v>158.31489999999999</v>
      </c>
      <c r="C701" s="136">
        <v>28.333629999999999</v>
      </c>
      <c r="D701" s="136">
        <v>168.58349999999999</v>
      </c>
      <c r="E701" s="136">
        <v>9.7425479999999993</v>
      </c>
    </row>
    <row r="702" spans="1:5" x14ac:dyDescent="0.2">
      <c r="A702" s="136" t="s">
        <v>173</v>
      </c>
      <c r="B702" s="136">
        <v>30.38655</v>
      </c>
      <c r="C702" s="136">
        <v>81.749639999999999</v>
      </c>
      <c r="D702" s="136">
        <v>64.102360000000004</v>
      </c>
      <c r="E702" s="136">
        <v>13.739649999999999</v>
      </c>
    </row>
    <row r="703" spans="1:5" x14ac:dyDescent="0.2">
      <c r="A703" s="136" t="s">
        <v>173</v>
      </c>
      <c r="B703" s="136">
        <v>256.30189999999999</v>
      </c>
      <c r="C703" s="136">
        <v>32.436900000000001</v>
      </c>
      <c r="D703" s="136">
        <v>109.32259999999999</v>
      </c>
      <c r="E703" s="136">
        <v>10.451829999999999</v>
      </c>
    </row>
    <row r="704" spans="1:5" x14ac:dyDescent="0.2">
      <c r="A704" s="136" t="s">
        <v>173</v>
      </c>
      <c r="B704" s="136">
        <v>119.32810000000001</v>
      </c>
      <c r="C704" s="136">
        <v>34.672420000000002</v>
      </c>
      <c r="D704" s="136">
        <v>58.105690000000003</v>
      </c>
      <c r="E704" s="136">
        <v>9.4158849999999994</v>
      </c>
    </row>
    <row r="705" spans="1:5" x14ac:dyDescent="0.2">
      <c r="A705" s="136" t="s">
        <v>173</v>
      </c>
      <c r="B705" s="136">
        <v>20.63466</v>
      </c>
      <c r="C705" s="136">
        <v>6.960407</v>
      </c>
      <c r="D705" s="136">
        <v>106.00709999999999</v>
      </c>
      <c r="E705" s="136">
        <v>3.1996859999999998</v>
      </c>
    </row>
    <row r="706" spans="1:5" x14ac:dyDescent="0.2">
      <c r="A706" s="136" t="s">
        <v>173</v>
      </c>
      <c r="B706" s="136">
        <v>95.720359999999999</v>
      </c>
      <c r="C706" s="136">
        <v>13.56514</v>
      </c>
      <c r="D706" s="136">
        <v>80.434650000000005</v>
      </c>
      <c r="E706" s="136">
        <v>31.083659999999998</v>
      </c>
    </row>
    <row r="707" spans="1:5" x14ac:dyDescent="0.2">
      <c r="A707" s="136" t="s">
        <v>173</v>
      </c>
      <c r="B707" s="136">
        <v>38.862340000000003</v>
      </c>
      <c r="C707" s="136">
        <v>10.47861</v>
      </c>
      <c r="D707" s="136">
        <v>32.575409999999998</v>
      </c>
      <c r="E707" s="136">
        <v>19.408650000000002</v>
      </c>
    </row>
    <row r="708" spans="1:5" x14ac:dyDescent="0.2">
      <c r="A708" s="136" t="s">
        <v>173</v>
      </c>
      <c r="B708" s="136">
        <v>54.026409999999998</v>
      </c>
      <c r="C708" s="136">
        <v>36.313510000000001</v>
      </c>
      <c r="D708" s="136">
        <v>42.280479999999997</v>
      </c>
      <c r="E708" s="136">
        <v>2.2973849999999998</v>
      </c>
    </row>
    <row r="709" spans="1:5" x14ac:dyDescent="0.2">
      <c r="A709" s="136" t="s">
        <v>173</v>
      </c>
      <c r="B709" s="136">
        <v>315.10969999999998</v>
      </c>
      <c r="C709" s="136">
        <v>51.023020000000002</v>
      </c>
      <c r="D709" s="136">
        <v>55.289720000000003</v>
      </c>
      <c r="E709" s="136">
        <v>0.97857899999999998</v>
      </c>
    </row>
    <row r="710" spans="1:5" x14ac:dyDescent="0.2">
      <c r="A710" s="136" t="s">
        <v>173</v>
      </c>
      <c r="B710" s="136">
        <v>54.951810000000002</v>
      </c>
      <c r="C710" s="136">
        <v>45.072659999999999</v>
      </c>
      <c r="D710" s="136">
        <v>106.4569</v>
      </c>
      <c r="E710" s="136">
        <v>50.542000000000002</v>
      </c>
    </row>
    <row r="711" spans="1:5" x14ac:dyDescent="0.2">
      <c r="A711" s="136" t="s">
        <v>173</v>
      </c>
      <c r="B711" s="136">
        <v>7.0020449999999999</v>
      </c>
      <c r="C711" s="136">
        <v>60.005450000000003</v>
      </c>
      <c r="D711" s="136">
        <v>11.91639</v>
      </c>
      <c r="E711" s="136">
        <v>5.6537240000000004</v>
      </c>
    </row>
    <row r="712" spans="1:5" x14ac:dyDescent="0.2">
      <c r="A712" s="136" t="s">
        <v>173</v>
      </c>
      <c r="B712" s="136">
        <v>120.6341</v>
      </c>
      <c r="C712" s="136">
        <v>59.897640000000003</v>
      </c>
      <c r="D712" s="136">
        <v>11.63791</v>
      </c>
      <c r="E712" s="136">
        <v>21.234829999999999</v>
      </c>
    </row>
    <row r="713" spans="1:5" x14ac:dyDescent="0.2">
      <c r="A713" s="136" t="s">
        <v>173</v>
      </c>
      <c r="B713" s="136">
        <v>47.173209999999997</v>
      </c>
      <c r="C713" s="136">
        <v>55.08623</v>
      </c>
      <c r="D713" s="136">
        <v>69.900480000000002</v>
      </c>
      <c r="E713" s="136">
        <v>9.8219779999999997</v>
      </c>
    </row>
    <row r="714" spans="1:5" x14ac:dyDescent="0.2">
      <c r="A714" s="136" t="s">
        <v>173</v>
      </c>
      <c r="B714" s="136">
        <v>14.415100000000001</v>
      </c>
      <c r="C714" s="136">
        <v>74.467929999999996</v>
      </c>
      <c r="D714" s="136">
        <v>22.311409999999999</v>
      </c>
      <c r="E714" s="136">
        <v>18.740079999999999</v>
      </c>
    </row>
    <row r="715" spans="1:5" x14ac:dyDescent="0.2">
      <c r="A715" s="136" t="s">
        <v>173</v>
      </c>
      <c r="B715" s="136">
        <v>184.15710000000001</v>
      </c>
      <c r="C715" s="136">
        <v>99.402339999999995</v>
      </c>
      <c r="D715" s="136">
        <v>40.265210000000003</v>
      </c>
      <c r="E715" s="136">
        <v>31.845890000000001</v>
      </c>
    </row>
    <row r="716" spans="1:5" x14ac:dyDescent="0.2">
      <c r="A716" s="136" t="s">
        <v>173</v>
      </c>
      <c r="B716" s="136">
        <v>101.2659</v>
      </c>
      <c r="C716" s="136">
        <v>23.890820000000001</v>
      </c>
      <c r="D716" s="136">
        <v>113.28740000000001</v>
      </c>
      <c r="E716" s="136">
        <v>5.7687689999999998</v>
      </c>
    </row>
    <row r="717" spans="1:5" x14ac:dyDescent="0.2">
      <c r="A717" s="136" t="s">
        <v>173</v>
      </c>
      <c r="B717" s="136">
        <v>173.5429</v>
      </c>
      <c r="C717" s="136">
        <v>50.724150000000002</v>
      </c>
      <c r="D717" s="136">
        <v>23.745229999999999</v>
      </c>
      <c r="E717" s="136">
        <v>10.017480000000001</v>
      </c>
    </row>
    <row r="718" spans="1:5" x14ac:dyDescent="0.2">
      <c r="A718" s="136" t="s">
        <v>173</v>
      </c>
      <c r="B718" s="136">
        <v>43.042389999999997</v>
      </c>
      <c r="C718" s="136">
        <v>28.976649999999999</v>
      </c>
      <c r="D718" s="136">
        <v>43.459449999999997</v>
      </c>
      <c r="E718" s="136">
        <v>4.1774509999999996</v>
      </c>
    </row>
    <row r="719" spans="1:5" x14ac:dyDescent="0.2">
      <c r="A719" s="136" t="s">
        <v>173</v>
      </c>
      <c r="B719" s="136">
        <v>86.145259999999993</v>
      </c>
      <c r="C719" s="136">
        <v>24.986940000000001</v>
      </c>
      <c r="D719" s="136">
        <v>307.58249999999998</v>
      </c>
      <c r="E719" s="136">
        <v>2.7813850000000002</v>
      </c>
    </row>
    <row r="720" spans="1:5" x14ac:dyDescent="0.2">
      <c r="A720" s="136" t="s">
        <v>173</v>
      </c>
      <c r="B720" s="136">
        <v>132.95500000000001</v>
      </c>
      <c r="C720" s="136">
        <v>45.783740000000002</v>
      </c>
      <c r="D720" s="136">
        <v>35.495330000000003</v>
      </c>
      <c r="E720" s="136">
        <v>13.37354</v>
      </c>
    </row>
    <row r="721" spans="1:5" x14ac:dyDescent="0.2">
      <c r="A721" s="136" t="s">
        <v>173</v>
      </c>
      <c r="B721" s="136">
        <v>101.0885</v>
      </c>
      <c r="C721" s="136">
        <v>56.978670000000001</v>
      </c>
      <c r="D721" s="136">
        <v>79.394139999999993</v>
      </c>
      <c r="E721" s="136">
        <v>97.027850000000001</v>
      </c>
    </row>
    <row r="722" spans="1:5" x14ac:dyDescent="0.2">
      <c r="A722" s="136" t="s">
        <v>173</v>
      </c>
      <c r="B722" s="136">
        <v>148.79089999999999</v>
      </c>
      <c r="C722" s="136">
        <v>67.67747</v>
      </c>
      <c r="D722" s="136">
        <v>105.747</v>
      </c>
      <c r="E722" s="136">
        <v>33.887680000000003</v>
      </c>
    </row>
    <row r="723" spans="1:5" x14ac:dyDescent="0.2">
      <c r="A723" s="136" t="s">
        <v>173</v>
      </c>
      <c r="B723" s="136">
        <v>54.866379999999999</v>
      </c>
      <c r="C723" s="136">
        <v>7.3960400000000002</v>
      </c>
      <c r="D723" s="136">
        <v>208.66139999999999</v>
      </c>
      <c r="E723" s="136">
        <v>2.7010749999999999</v>
      </c>
    </row>
    <row r="724" spans="1:5" x14ac:dyDescent="0.2">
      <c r="A724" s="136" t="s">
        <v>173</v>
      </c>
      <c r="B724" s="136">
        <v>53.987259999999999</v>
      </c>
      <c r="C724" s="136">
        <v>27.034289999999999</v>
      </c>
      <c r="D724" s="136">
        <v>36.106259999999999</v>
      </c>
      <c r="E724" s="136">
        <v>8.2066289999999995</v>
      </c>
    </row>
    <row r="725" spans="1:5" x14ac:dyDescent="0.2">
      <c r="A725" s="136" t="s">
        <v>173</v>
      </c>
      <c r="B725" s="136">
        <v>83.486509999999996</v>
      </c>
      <c r="C725" s="136">
        <v>61.671430000000001</v>
      </c>
      <c r="D725" s="136">
        <v>61.492240000000002</v>
      </c>
      <c r="E725" s="136">
        <v>3.9145460000000001</v>
      </c>
    </row>
    <row r="726" spans="1:5" x14ac:dyDescent="0.2">
      <c r="A726" s="136" t="s">
        <v>173</v>
      </c>
      <c r="B726" s="136">
        <v>143.62809999999999</v>
      </c>
      <c r="C726" s="136">
        <v>109.96210000000001</v>
      </c>
      <c r="D726" s="136">
        <v>40.627189999999999</v>
      </c>
      <c r="E726" s="136">
        <v>1.297277</v>
      </c>
    </row>
    <row r="727" spans="1:5" x14ac:dyDescent="0.2">
      <c r="A727" s="136" t="s">
        <v>173</v>
      </c>
      <c r="B727" s="136">
        <v>9.347372</v>
      </c>
      <c r="C727" s="136">
        <v>96.504440000000002</v>
      </c>
      <c r="D727" s="136">
        <v>13.72002</v>
      </c>
      <c r="E727" s="136">
        <v>34.86571</v>
      </c>
    </row>
    <row r="728" spans="1:5" x14ac:dyDescent="0.2">
      <c r="A728" s="136" t="s">
        <v>173</v>
      </c>
      <c r="B728" s="136">
        <v>21.723210000000002</v>
      </c>
      <c r="C728" s="136">
        <v>6.1517390000000001</v>
      </c>
      <c r="D728" s="136">
        <v>33.129800000000003</v>
      </c>
      <c r="E728" s="136">
        <v>16.50433</v>
      </c>
    </row>
    <row r="729" spans="1:5" x14ac:dyDescent="0.2">
      <c r="A729" s="136" t="s">
        <v>173</v>
      </c>
      <c r="B729" s="136">
        <v>108.3364</v>
      </c>
      <c r="C729" s="136">
        <v>29.015750000000001</v>
      </c>
      <c r="D729" s="136">
        <v>61.125079999999997</v>
      </c>
      <c r="E729" s="136">
        <v>8.781015</v>
      </c>
    </row>
    <row r="730" spans="1:5" x14ac:dyDescent="0.2">
      <c r="A730" s="136" t="s">
        <v>173</v>
      </c>
      <c r="B730" s="136">
        <v>60.202399999999997</v>
      </c>
      <c r="C730" s="136">
        <v>66.927719999999994</v>
      </c>
      <c r="D730" s="136">
        <v>32.583100000000002</v>
      </c>
      <c r="E730" s="136">
        <v>10.10591</v>
      </c>
    </row>
    <row r="731" spans="1:5" x14ac:dyDescent="0.2">
      <c r="A731" s="136" t="s">
        <v>173</v>
      </c>
      <c r="B731" s="136">
        <v>58.44679</v>
      </c>
      <c r="C731" s="136">
        <v>46.154679999999999</v>
      </c>
      <c r="D731" s="136">
        <v>183.0581</v>
      </c>
      <c r="E731" s="136">
        <v>72.149810000000002</v>
      </c>
    </row>
    <row r="732" spans="1:5" x14ac:dyDescent="0.2">
      <c r="A732" s="136" t="s">
        <v>173</v>
      </c>
      <c r="B732" s="136">
        <v>1.7802469999999999</v>
      </c>
      <c r="C732" s="136">
        <v>56.393459999999997</v>
      </c>
      <c r="D732" s="136">
        <v>50.304920000000003</v>
      </c>
      <c r="E732" s="136">
        <v>3.4318080000000002</v>
      </c>
    </row>
    <row r="733" spans="1:5" x14ac:dyDescent="0.2">
      <c r="A733" s="136" t="s">
        <v>173</v>
      </c>
      <c r="B733" s="136">
        <v>48.093069999999997</v>
      </c>
      <c r="C733" s="136">
        <v>24.60435</v>
      </c>
      <c r="D733" s="136">
        <v>43.811149999999998</v>
      </c>
      <c r="E733" s="136">
        <v>42.747810000000001</v>
      </c>
    </row>
    <row r="734" spans="1:5" x14ac:dyDescent="0.2">
      <c r="A734" s="136" t="s">
        <v>173</v>
      </c>
      <c r="B734" s="136">
        <v>71.22927</v>
      </c>
      <c r="C734" s="136">
        <v>41.971820000000001</v>
      </c>
      <c r="D734" s="136">
        <v>22.520099999999999</v>
      </c>
      <c r="E734" s="136">
        <v>32.905949999999997</v>
      </c>
    </row>
    <row r="735" spans="1:5" x14ac:dyDescent="0.2">
      <c r="A735" s="136" t="s">
        <v>173</v>
      </c>
      <c r="B735" s="136">
        <v>90.052480000000003</v>
      </c>
      <c r="C735" s="136">
        <v>36.813330000000001</v>
      </c>
      <c r="D735" s="136">
        <v>31.346599999999999</v>
      </c>
      <c r="E735" s="136">
        <v>3.307903</v>
      </c>
    </row>
    <row r="736" spans="1:5" x14ac:dyDescent="0.2">
      <c r="A736" s="136" t="s">
        <v>173</v>
      </c>
      <c r="B736" s="136">
        <v>147.59700000000001</v>
      </c>
      <c r="C736" s="136">
        <v>13.16944</v>
      </c>
      <c r="D736" s="136">
        <v>47.346629999999998</v>
      </c>
      <c r="E736" s="136">
        <v>40.835790000000003</v>
      </c>
    </row>
    <row r="737" spans="1:5" x14ac:dyDescent="0.2">
      <c r="A737" s="136" t="s">
        <v>173</v>
      </c>
      <c r="B737" s="136">
        <v>24.097180000000002</v>
      </c>
      <c r="C737" s="136">
        <v>51.70966</v>
      </c>
      <c r="D737" s="136">
        <v>35.273629999999997</v>
      </c>
      <c r="E737" s="136">
        <v>62.822249999999997</v>
      </c>
    </row>
    <row r="738" spans="1:5" x14ac:dyDescent="0.2">
      <c r="A738" s="136" t="s">
        <v>173</v>
      </c>
      <c r="B738" s="136">
        <v>181.59</v>
      </c>
      <c r="C738" s="136">
        <v>37.72334</v>
      </c>
      <c r="D738" s="136">
        <v>46.117780000000003</v>
      </c>
      <c r="E738" s="136">
        <v>5.2712950000000003</v>
      </c>
    </row>
    <row r="739" spans="1:5" x14ac:dyDescent="0.2">
      <c r="A739" s="136" t="s">
        <v>173</v>
      </c>
      <c r="B739" s="136">
        <v>27.124500000000001</v>
      </c>
      <c r="C739" s="136">
        <v>68.055030000000002</v>
      </c>
      <c r="D739" s="136">
        <v>103.6511</v>
      </c>
      <c r="E739" s="136">
        <v>24.255220000000001</v>
      </c>
    </row>
    <row r="740" spans="1:5" x14ac:dyDescent="0.2">
      <c r="A740" s="136" t="s">
        <v>173</v>
      </c>
      <c r="B740" s="136">
        <v>24.612349999999999</v>
      </c>
      <c r="C740" s="136">
        <v>10.1678</v>
      </c>
      <c r="D740" s="136">
        <v>30.375959999999999</v>
      </c>
      <c r="E740" s="136">
        <v>20.904969999999999</v>
      </c>
    </row>
    <row r="741" spans="1:5" x14ac:dyDescent="0.2">
      <c r="A741" s="136" t="s">
        <v>173</v>
      </c>
      <c r="B741" s="136">
        <v>31.50178</v>
      </c>
      <c r="C741" s="136">
        <v>11.834239999999999</v>
      </c>
      <c r="D741" s="136">
        <v>21.485240000000001</v>
      </c>
      <c r="E741" s="136">
        <v>20.808440000000001</v>
      </c>
    </row>
    <row r="742" spans="1:5" x14ac:dyDescent="0.2">
      <c r="A742" s="136" t="s">
        <v>173</v>
      </c>
      <c r="B742" s="136">
        <v>325.54160000000002</v>
      </c>
      <c r="C742" s="136">
        <v>10.73542</v>
      </c>
      <c r="D742" s="136">
        <v>99.996020000000001</v>
      </c>
      <c r="E742" s="136">
        <v>11.33159</v>
      </c>
    </row>
    <row r="743" spans="1:5" x14ac:dyDescent="0.2">
      <c r="A743" s="136" t="s">
        <v>173</v>
      </c>
      <c r="B743" s="136">
        <v>161.83019999999999</v>
      </c>
      <c r="C743" s="136">
        <v>29.34591</v>
      </c>
      <c r="D743" s="136">
        <v>106.29949999999999</v>
      </c>
      <c r="E743" s="136">
        <v>109.208</v>
      </c>
    </row>
    <row r="744" spans="1:5" x14ac:dyDescent="0.2">
      <c r="A744" s="136" t="s">
        <v>173</v>
      </c>
      <c r="B744" s="136">
        <v>13.6204</v>
      </c>
      <c r="C744" s="136">
        <v>10.065049999999999</v>
      </c>
      <c r="D744" s="136">
        <v>18.646239999999999</v>
      </c>
      <c r="E744" s="136">
        <v>9.9568860000000008</v>
      </c>
    </row>
    <row r="745" spans="1:5" x14ac:dyDescent="0.2">
      <c r="A745" s="136" t="s">
        <v>173</v>
      </c>
      <c r="B745" s="136">
        <v>69.742429999999999</v>
      </c>
      <c r="C745" s="136">
        <v>35.110680000000002</v>
      </c>
      <c r="D745" s="136">
        <v>34.080959999999997</v>
      </c>
      <c r="E745" s="136">
        <v>2.657845</v>
      </c>
    </row>
    <row r="746" spans="1:5" x14ac:dyDescent="0.2">
      <c r="A746" s="136" t="s">
        <v>173</v>
      </c>
      <c r="B746" s="136">
        <v>18.775200000000002</v>
      </c>
      <c r="C746" s="136">
        <v>31.160990000000002</v>
      </c>
      <c r="D746" s="136">
        <v>116.71</v>
      </c>
      <c r="E746" s="136">
        <v>31.949950000000001</v>
      </c>
    </row>
    <row r="747" spans="1:5" x14ac:dyDescent="0.2">
      <c r="A747" s="136" t="s">
        <v>173</v>
      </c>
      <c r="B747" s="136">
        <v>83.249420000000001</v>
      </c>
      <c r="C747" s="136">
        <v>19.515059999999998</v>
      </c>
      <c r="D747" s="136">
        <v>56.567279999999997</v>
      </c>
      <c r="E747" s="136">
        <v>0.99443800000000004</v>
      </c>
    </row>
    <row r="748" spans="1:5" x14ac:dyDescent="0.2">
      <c r="A748" s="136" t="s">
        <v>173</v>
      </c>
      <c r="B748" s="136">
        <v>211.80099999999999</v>
      </c>
      <c r="C748" s="136">
        <v>83.919079999999994</v>
      </c>
      <c r="D748" s="136">
        <v>40.355789999999999</v>
      </c>
      <c r="E748" s="136">
        <v>13.89936</v>
      </c>
    </row>
    <row r="749" spans="1:5" x14ac:dyDescent="0.2">
      <c r="A749" s="136" t="s">
        <v>173</v>
      </c>
      <c r="B749" s="136">
        <v>6.9652810000000001</v>
      </c>
      <c r="C749" s="136">
        <v>34.140210000000003</v>
      </c>
      <c r="D749" s="136">
        <v>32.603270000000002</v>
      </c>
      <c r="E749" s="136">
        <v>8.4861760000000004</v>
      </c>
    </row>
    <row r="750" spans="1:5" x14ac:dyDescent="0.2">
      <c r="A750" s="136" t="s">
        <v>173</v>
      </c>
      <c r="B750" s="136">
        <v>63.76558</v>
      </c>
      <c r="C750" s="136">
        <v>11.73868</v>
      </c>
      <c r="D750" s="136">
        <v>337.6961</v>
      </c>
      <c r="E750" s="136">
        <v>18.957619999999999</v>
      </c>
    </row>
    <row r="751" spans="1:5" x14ac:dyDescent="0.2">
      <c r="A751" s="136" t="s">
        <v>173</v>
      </c>
      <c r="B751" s="136">
        <v>53.844200000000001</v>
      </c>
      <c r="C751" s="136">
        <v>49.53886</v>
      </c>
      <c r="D751" s="136">
        <v>92.164739999999995</v>
      </c>
      <c r="E751" s="136">
        <v>13.80627</v>
      </c>
    </row>
    <row r="752" spans="1:5" x14ac:dyDescent="0.2">
      <c r="A752" s="136" t="s">
        <v>173</v>
      </c>
      <c r="B752" s="136">
        <v>40.90681</v>
      </c>
      <c r="C752" s="136">
        <v>14.21904</v>
      </c>
      <c r="D752" s="136">
        <v>36.210470000000001</v>
      </c>
      <c r="E752" s="136">
        <v>9.4667429999999992</v>
      </c>
    </row>
    <row r="753" spans="1:5" x14ac:dyDescent="0.2">
      <c r="A753" s="136" t="s">
        <v>173</v>
      </c>
      <c r="B753" s="136">
        <v>127.8308</v>
      </c>
      <c r="C753" s="136">
        <v>26.303470000000001</v>
      </c>
      <c r="D753" s="136">
        <v>137.5343</v>
      </c>
      <c r="E753" s="136">
        <v>2.7797719999999999</v>
      </c>
    </row>
    <row r="754" spans="1:5" x14ac:dyDescent="0.2">
      <c r="A754" s="136" t="s">
        <v>173</v>
      </c>
      <c r="B754" s="136">
        <v>24.961829999999999</v>
      </c>
      <c r="C754" s="136">
        <v>18.678609999999999</v>
      </c>
      <c r="D754" s="136">
        <v>67.833920000000006</v>
      </c>
      <c r="E754" s="136">
        <v>3.6085910000000001</v>
      </c>
    </row>
    <row r="755" spans="1:5" x14ac:dyDescent="0.2">
      <c r="A755" s="136" t="s">
        <v>173</v>
      </c>
      <c r="B755" s="136">
        <v>4.4967430000000004</v>
      </c>
      <c r="C755" s="136">
        <v>21.69096</v>
      </c>
      <c r="D755" s="136">
        <v>111.19119999999999</v>
      </c>
      <c r="E755" s="136">
        <v>14.48887</v>
      </c>
    </row>
    <row r="756" spans="1:5" x14ac:dyDescent="0.2">
      <c r="A756" s="136" t="s">
        <v>173</v>
      </c>
      <c r="B756" s="136">
        <v>138.86240000000001</v>
      </c>
      <c r="C756" s="136">
        <v>81.612859999999998</v>
      </c>
      <c r="D756" s="136">
        <v>83.789150000000006</v>
      </c>
      <c r="E756" s="136">
        <v>18.088550000000001</v>
      </c>
    </row>
    <row r="757" spans="1:5" x14ac:dyDescent="0.2">
      <c r="A757" s="136" t="s">
        <v>173</v>
      </c>
      <c r="B757" s="136">
        <v>45.944029999999998</v>
      </c>
      <c r="C757" s="136">
        <v>7.2471649999999999</v>
      </c>
      <c r="D757" s="136">
        <v>33.854869999999998</v>
      </c>
      <c r="E757" s="136">
        <v>12.08442</v>
      </c>
    </row>
    <row r="758" spans="1:5" x14ac:dyDescent="0.2">
      <c r="A758" s="136" t="s">
        <v>173</v>
      </c>
      <c r="B758" s="136">
        <v>87.918260000000004</v>
      </c>
      <c r="C758" s="136">
        <v>55.138359999999999</v>
      </c>
      <c r="D758" s="136">
        <v>136.2989</v>
      </c>
      <c r="E758" s="136">
        <v>7.9939039999999997</v>
      </c>
    </row>
    <row r="759" spans="1:5" x14ac:dyDescent="0.2">
      <c r="A759" s="136" t="s">
        <v>173</v>
      </c>
      <c r="B759" s="136">
        <v>108.99209999999999</v>
      </c>
      <c r="C759" s="136">
        <v>27.825530000000001</v>
      </c>
      <c r="D759" s="136">
        <v>90.768649999999994</v>
      </c>
      <c r="E759" s="136">
        <v>3.8703430000000001</v>
      </c>
    </row>
    <row r="760" spans="1:5" x14ac:dyDescent="0.2">
      <c r="A760" s="136" t="s">
        <v>173</v>
      </c>
      <c r="B760" s="136">
        <v>22.361660000000001</v>
      </c>
      <c r="C760" s="136">
        <v>12.46251</v>
      </c>
      <c r="D760" s="136">
        <v>30.77844</v>
      </c>
      <c r="E760" s="136">
        <v>28.475860000000001</v>
      </c>
    </row>
    <row r="761" spans="1:5" x14ac:dyDescent="0.2">
      <c r="A761" s="136" t="s">
        <v>173</v>
      </c>
      <c r="B761" s="136">
        <v>82.012950000000004</v>
      </c>
      <c r="C761" s="136">
        <v>59.218150000000001</v>
      </c>
      <c r="D761" s="136">
        <v>42.690890000000003</v>
      </c>
      <c r="E761" s="136">
        <v>23.78246</v>
      </c>
    </row>
    <row r="762" spans="1:5" x14ac:dyDescent="0.2">
      <c r="A762" s="136" t="s">
        <v>173</v>
      </c>
      <c r="B762" s="136">
        <v>7.6772650000000002</v>
      </c>
      <c r="C762" s="136">
        <v>11.78448</v>
      </c>
      <c r="D762" s="136">
        <v>25.77694</v>
      </c>
      <c r="E762" s="136">
        <v>41.817909999999998</v>
      </c>
    </row>
    <row r="763" spans="1:5" x14ac:dyDescent="0.2">
      <c r="A763" s="136" t="s">
        <v>173</v>
      </c>
      <c r="B763" s="136">
        <v>43.484250000000003</v>
      </c>
      <c r="C763" s="136">
        <v>66.947749999999999</v>
      </c>
      <c r="D763" s="136">
        <v>120.12390000000001</v>
      </c>
      <c r="E763" s="136">
        <v>24.118279999999999</v>
      </c>
    </row>
    <row r="764" spans="1:5" x14ac:dyDescent="0.2">
      <c r="A764" s="136" t="s">
        <v>173</v>
      </c>
      <c r="B764" s="136">
        <v>93.907640000000001</v>
      </c>
      <c r="C764" s="136">
        <v>13.50863</v>
      </c>
      <c r="D764" s="136">
        <v>130.08369999999999</v>
      </c>
      <c r="E764" s="136">
        <v>2.8895240000000002</v>
      </c>
    </row>
    <row r="765" spans="1:5" x14ac:dyDescent="0.2">
      <c r="A765" s="136" t="s">
        <v>173</v>
      </c>
      <c r="B765" s="136">
        <v>126.85769999999999</v>
      </c>
      <c r="C765" s="136">
        <v>20.700330000000001</v>
      </c>
      <c r="D765" s="136">
        <v>22.434719999999999</v>
      </c>
      <c r="E765" s="136">
        <v>1.392809</v>
      </c>
    </row>
    <row r="766" spans="1:5" x14ac:dyDescent="0.2">
      <c r="A766" s="136" t="s">
        <v>173</v>
      </c>
      <c r="B766" s="136">
        <v>62.185899999999997</v>
      </c>
      <c r="C766" s="136">
        <v>29.180980000000002</v>
      </c>
      <c r="D766" s="136">
        <v>37.011659999999999</v>
      </c>
      <c r="E766" s="136">
        <v>25.04494</v>
      </c>
    </row>
    <row r="767" spans="1:5" x14ac:dyDescent="0.2">
      <c r="A767" s="136" t="s">
        <v>173</v>
      </c>
      <c r="B767" s="136">
        <v>69.854060000000004</v>
      </c>
      <c r="C767" s="136">
        <v>39.75394</v>
      </c>
      <c r="D767" s="136">
        <v>25.11506</v>
      </c>
      <c r="E767" s="136">
        <v>9.3202719999999992</v>
      </c>
    </row>
    <row r="768" spans="1:5" x14ac:dyDescent="0.2">
      <c r="A768" s="136" t="s">
        <v>173</v>
      </c>
      <c r="B768" s="136">
        <v>23.334399999999999</v>
      </c>
      <c r="C768" s="136">
        <v>43.537399999999998</v>
      </c>
      <c r="D768" s="136">
        <v>72.056020000000004</v>
      </c>
      <c r="E768" s="136">
        <v>3.9161139999999999</v>
      </c>
    </row>
    <row r="769" spans="1:5" x14ac:dyDescent="0.2">
      <c r="A769" s="136" t="s">
        <v>173</v>
      </c>
      <c r="B769" s="136">
        <v>60.379379999999998</v>
      </c>
      <c r="C769" s="136">
        <v>57.068869999999997</v>
      </c>
      <c r="D769" s="136">
        <v>49.77216</v>
      </c>
      <c r="E769" s="136">
        <v>4.4498379999999997</v>
      </c>
    </row>
    <row r="770" spans="1:5" x14ac:dyDescent="0.2">
      <c r="A770" s="136" t="s">
        <v>173</v>
      </c>
      <c r="B770" s="136">
        <v>136.88579999999999</v>
      </c>
      <c r="C770" s="136">
        <v>30.270790000000002</v>
      </c>
      <c r="D770" s="136">
        <v>68.748350000000002</v>
      </c>
      <c r="E770" s="136">
        <v>0.99159200000000003</v>
      </c>
    </row>
    <row r="771" spans="1:5" x14ac:dyDescent="0.2">
      <c r="A771" s="136" t="s">
        <v>173</v>
      </c>
      <c r="B771" s="136">
        <v>102.5455</v>
      </c>
      <c r="C771" s="136">
        <v>44.476739999999999</v>
      </c>
      <c r="D771" s="136">
        <v>155.06909999999999</v>
      </c>
      <c r="E771" s="136">
        <v>29.941269999999999</v>
      </c>
    </row>
    <row r="772" spans="1:5" x14ac:dyDescent="0.2">
      <c r="A772" s="136" t="s">
        <v>173</v>
      </c>
      <c r="B772" s="136">
        <v>63.526690000000002</v>
      </c>
      <c r="C772" s="136">
        <v>102.48309999999999</v>
      </c>
      <c r="D772" s="136">
        <v>186.84520000000001</v>
      </c>
      <c r="E772" s="136">
        <v>3.6512359999999999</v>
      </c>
    </row>
    <row r="773" spans="1:5" x14ac:dyDescent="0.2">
      <c r="A773" s="136" t="s">
        <v>173</v>
      </c>
      <c r="B773" s="136">
        <v>110.71680000000001</v>
      </c>
      <c r="C773" s="136">
        <v>65.932209999999998</v>
      </c>
      <c r="D773" s="136">
        <v>3.8305850000000001</v>
      </c>
      <c r="E773" s="136">
        <v>12.37246</v>
      </c>
    </row>
    <row r="774" spans="1:5" x14ac:dyDescent="0.2">
      <c r="A774" s="136" t="s">
        <v>173</v>
      </c>
      <c r="B774" s="136">
        <v>17.43131</v>
      </c>
      <c r="C774" s="136">
        <v>5.5351569999999999</v>
      </c>
      <c r="D774" s="136">
        <v>25.108450000000001</v>
      </c>
      <c r="E774" s="136">
        <v>4.9449439999999996</v>
      </c>
    </row>
    <row r="775" spans="1:5" x14ac:dyDescent="0.2">
      <c r="A775" s="136" t="s">
        <v>173</v>
      </c>
      <c r="B775" s="136">
        <v>73.228859999999997</v>
      </c>
      <c r="C775" s="136">
        <v>49.692959999999999</v>
      </c>
      <c r="D775" s="136">
        <v>30.514119999999998</v>
      </c>
      <c r="E775" s="136">
        <v>14.906840000000001</v>
      </c>
    </row>
    <row r="776" spans="1:5" x14ac:dyDescent="0.2">
      <c r="A776" s="136" t="s">
        <v>173</v>
      </c>
      <c r="B776" s="136">
        <v>6.8360200000000004</v>
      </c>
      <c r="C776" s="136">
        <v>44.766590000000001</v>
      </c>
      <c r="D776" s="136">
        <v>162.80109999999999</v>
      </c>
      <c r="E776" s="136">
        <v>31.849119999999999</v>
      </c>
    </row>
    <row r="777" spans="1:5" x14ac:dyDescent="0.2">
      <c r="A777" s="136" t="s">
        <v>173</v>
      </c>
      <c r="B777" s="136">
        <v>14.81916</v>
      </c>
      <c r="C777" s="136">
        <v>29.479810000000001</v>
      </c>
      <c r="D777" s="136">
        <v>11.879770000000001</v>
      </c>
      <c r="E777" s="136">
        <v>9.2314589999999992</v>
      </c>
    </row>
    <row r="778" spans="1:5" x14ac:dyDescent="0.2">
      <c r="A778" s="136" t="s">
        <v>173</v>
      </c>
      <c r="B778" s="136">
        <v>47.642049999999998</v>
      </c>
      <c r="C778" s="136">
        <v>33.038519999999998</v>
      </c>
      <c r="D778" s="136">
        <v>111.8389</v>
      </c>
      <c r="E778" s="136">
        <v>40.427529999999997</v>
      </c>
    </row>
    <row r="779" spans="1:5" x14ac:dyDescent="0.2">
      <c r="A779" s="136" t="s">
        <v>173</v>
      </c>
      <c r="B779" s="136">
        <v>27.93299</v>
      </c>
      <c r="C779" s="136">
        <v>20.076799999999999</v>
      </c>
      <c r="D779" s="136">
        <v>64.847840000000005</v>
      </c>
      <c r="E779" s="136">
        <v>1.0308710000000001</v>
      </c>
    </row>
    <row r="780" spans="1:5" x14ac:dyDescent="0.2">
      <c r="A780" s="136" t="s">
        <v>173</v>
      </c>
      <c r="B780" s="136">
        <v>90.012900000000002</v>
      </c>
      <c r="C780" s="136">
        <v>12.55053</v>
      </c>
      <c r="D780" s="136">
        <v>233.16489999999999</v>
      </c>
      <c r="E780" s="136">
        <v>55.979340000000001</v>
      </c>
    </row>
    <row r="781" spans="1:5" x14ac:dyDescent="0.2">
      <c r="A781" s="136" t="s">
        <v>173</v>
      </c>
      <c r="B781" s="136">
        <v>67.340249999999997</v>
      </c>
      <c r="C781" s="136">
        <v>44.952680000000001</v>
      </c>
      <c r="D781" s="136">
        <v>106.98050000000001</v>
      </c>
      <c r="E781" s="136">
        <v>54.440649999999998</v>
      </c>
    </row>
    <row r="782" spans="1:5" x14ac:dyDescent="0.2">
      <c r="A782" s="136" t="s">
        <v>173</v>
      </c>
      <c r="B782" s="136">
        <v>51.866199999999999</v>
      </c>
      <c r="C782" s="136">
        <v>43.360819999999997</v>
      </c>
      <c r="D782" s="136">
        <v>104.92310000000001</v>
      </c>
      <c r="E782" s="136">
        <v>42.013840000000002</v>
      </c>
    </row>
    <row r="783" spans="1:5" x14ac:dyDescent="0.2">
      <c r="A783" s="136" t="s">
        <v>173</v>
      </c>
      <c r="B783" s="136">
        <v>11.897320000000001</v>
      </c>
      <c r="C783" s="136">
        <v>6.8418840000000003</v>
      </c>
      <c r="D783" s="136">
        <v>101.2796</v>
      </c>
      <c r="E783" s="136">
        <v>2.2095549999999999</v>
      </c>
    </row>
    <row r="784" spans="1:5" x14ac:dyDescent="0.2">
      <c r="A784" s="136" t="s">
        <v>173</v>
      </c>
      <c r="B784" s="136">
        <v>41.865099999999998</v>
      </c>
      <c r="C784" s="136">
        <v>5.4610029999999998</v>
      </c>
      <c r="D784" s="136">
        <v>51.345770000000002</v>
      </c>
      <c r="E784" s="136">
        <v>32.729979999999998</v>
      </c>
    </row>
    <row r="785" spans="1:5" x14ac:dyDescent="0.2">
      <c r="A785" s="136" t="s">
        <v>173</v>
      </c>
      <c r="B785" s="136">
        <v>24.145209999999999</v>
      </c>
      <c r="C785" s="136">
        <v>62.547539999999998</v>
      </c>
      <c r="D785" s="136">
        <v>79.806380000000004</v>
      </c>
      <c r="E785" s="136">
        <v>6.7288690000000004</v>
      </c>
    </row>
    <row r="786" spans="1:5" x14ac:dyDescent="0.2">
      <c r="A786" s="136" t="s">
        <v>173</v>
      </c>
      <c r="B786" s="136">
        <v>58.08211</v>
      </c>
      <c r="C786" s="136">
        <v>39.49982</v>
      </c>
      <c r="D786" s="136">
        <v>18.92501</v>
      </c>
      <c r="E786" s="136">
        <v>21.342890000000001</v>
      </c>
    </row>
    <row r="787" spans="1:5" x14ac:dyDescent="0.2">
      <c r="A787" s="136" t="s">
        <v>173</v>
      </c>
      <c r="B787" s="136">
        <v>60.196550000000002</v>
      </c>
      <c r="C787" s="136">
        <v>42.404850000000003</v>
      </c>
      <c r="D787" s="136">
        <v>118.3921</v>
      </c>
      <c r="E787" s="136">
        <v>14.830970000000001</v>
      </c>
    </row>
    <row r="788" spans="1:5" x14ac:dyDescent="0.2">
      <c r="A788" s="136" t="s">
        <v>173</v>
      </c>
      <c r="B788" s="136">
        <v>28.581800000000001</v>
      </c>
      <c r="C788" s="136">
        <v>48.253720000000001</v>
      </c>
      <c r="D788" s="136">
        <v>76.781030000000001</v>
      </c>
      <c r="E788" s="136">
        <v>89.594210000000004</v>
      </c>
    </row>
    <row r="789" spans="1:5" x14ac:dyDescent="0.2">
      <c r="A789" s="136" t="s">
        <v>173</v>
      </c>
      <c r="B789" s="136">
        <v>46.680660000000003</v>
      </c>
      <c r="C789" s="136">
        <v>32.299550000000004</v>
      </c>
      <c r="D789" s="136">
        <v>216.45320000000001</v>
      </c>
      <c r="E789" s="136">
        <v>1.890795</v>
      </c>
    </row>
    <row r="790" spans="1:5" x14ac:dyDescent="0.2">
      <c r="A790" s="136" t="s">
        <v>173</v>
      </c>
      <c r="B790" s="136">
        <v>27.22974</v>
      </c>
      <c r="C790" s="136">
        <v>25.649010000000001</v>
      </c>
      <c r="D790" s="136">
        <v>24.112469999999998</v>
      </c>
      <c r="E790" s="136">
        <v>1.3237939999999999</v>
      </c>
    </row>
    <row r="791" spans="1:5" x14ac:dyDescent="0.2">
      <c r="A791" s="136" t="s">
        <v>173</v>
      </c>
      <c r="B791" s="136">
        <v>96.328410000000005</v>
      </c>
      <c r="C791" s="136">
        <v>32.221139999999998</v>
      </c>
      <c r="D791" s="136">
        <v>121.86660000000001</v>
      </c>
      <c r="E791" s="136">
        <v>2.6466810000000001</v>
      </c>
    </row>
    <row r="792" spans="1:5" x14ac:dyDescent="0.2">
      <c r="A792" s="136" t="s">
        <v>173</v>
      </c>
      <c r="B792" s="136">
        <v>24.425899999999999</v>
      </c>
      <c r="C792" s="136">
        <v>11.38462</v>
      </c>
      <c r="D792" s="136">
        <v>108.0271</v>
      </c>
      <c r="E792" s="136">
        <v>30.66112</v>
      </c>
    </row>
    <row r="793" spans="1:5" x14ac:dyDescent="0.2">
      <c r="A793" s="136" t="s">
        <v>173</v>
      </c>
      <c r="B793" s="136">
        <v>11.1068</v>
      </c>
      <c r="C793" s="136">
        <v>74.684290000000004</v>
      </c>
      <c r="D793" s="136">
        <v>131.18279999999999</v>
      </c>
      <c r="E793" s="136">
        <v>2.8118910000000001</v>
      </c>
    </row>
    <row r="794" spans="1:5" x14ac:dyDescent="0.2">
      <c r="A794" s="136" t="s">
        <v>173</v>
      </c>
      <c r="B794" s="136">
        <v>23.243549999999999</v>
      </c>
      <c r="C794" s="136">
        <v>60.904290000000003</v>
      </c>
      <c r="D794" s="136">
        <v>20.72946</v>
      </c>
      <c r="E794" s="136">
        <v>5.6802869999999999</v>
      </c>
    </row>
    <row r="795" spans="1:5" x14ac:dyDescent="0.2">
      <c r="A795" s="136" t="s">
        <v>173</v>
      </c>
      <c r="B795" s="136">
        <v>40.453809999999997</v>
      </c>
      <c r="C795" s="136">
        <v>23.593699999999998</v>
      </c>
      <c r="D795" s="136">
        <v>132.9238</v>
      </c>
      <c r="E795" s="136">
        <v>42.437629999999999</v>
      </c>
    </row>
    <row r="796" spans="1:5" x14ac:dyDescent="0.2">
      <c r="A796" s="136" t="s">
        <v>173</v>
      </c>
      <c r="B796" s="136">
        <v>155.64070000000001</v>
      </c>
      <c r="C796" s="136">
        <v>14.51563</v>
      </c>
      <c r="D796" s="136">
        <v>23.246739999999999</v>
      </c>
      <c r="E796" s="136">
        <v>19.54297</v>
      </c>
    </row>
    <row r="797" spans="1:5" x14ac:dyDescent="0.2">
      <c r="A797" s="136" t="s">
        <v>173</v>
      </c>
      <c r="B797" s="136">
        <v>27.76492</v>
      </c>
      <c r="C797" s="136">
        <v>18.465720000000001</v>
      </c>
      <c r="D797" s="136">
        <v>7.2087690000000002</v>
      </c>
      <c r="E797" s="136">
        <v>76.191879999999998</v>
      </c>
    </row>
    <row r="798" spans="1:5" x14ac:dyDescent="0.2">
      <c r="A798" s="136" t="s">
        <v>173</v>
      </c>
      <c r="B798" s="136">
        <v>149.64580000000001</v>
      </c>
      <c r="C798" s="136">
        <v>28.123449999999998</v>
      </c>
      <c r="D798" s="136">
        <v>105.6808</v>
      </c>
      <c r="E798" s="136">
        <v>56.123220000000003</v>
      </c>
    </row>
    <row r="799" spans="1:5" x14ac:dyDescent="0.2">
      <c r="A799" s="136" t="s">
        <v>173</v>
      </c>
      <c r="B799" s="136">
        <v>132.0667</v>
      </c>
      <c r="C799" s="136">
        <v>42.296210000000002</v>
      </c>
      <c r="D799" s="136">
        <v>223.26169999999999</v>
      </c>
      <c r="E799" s="136">
        <v>1.7069780000000001</v>
      </c>
    </row>
    <row r="800" spans="1:5" x14ac:dyDescent="0.2">
      <c r="A800" s="136" t="s">
        <v>173</v>
      </c>
      <c r="B800" s="136">
        <v>146.26939999999999</v>
      </c>
      <c r="C800" s="136">
        <v>77.975729999999999</v>
      </c>
      <c r="D800" s="136">
        <v>99.522959999999998</v>
      </c>
      <c r="E800" s="136">
        <v>3.4954740000000002</v>
      </c>
    </row>
    <row r="801" spans="1:5" x14ac:dyDescent="0.2">
      <c r="A801" s="136" t="s">
        <v>173</v>
      </c>
      <c r="B801" s="136">
        <v>71.820459999999997</v>
      </c>
      <c r="C801" s="136">
        <v>7.1642239999999999</v>
      </c>
      <c r="D801" s="136">
        <v>335.06450000000001</v>
      </c>
      <c r="E801" s="136">
        <v>4.0474810000000003</v>
      </c>
    </row>
    <row r="802" spans="1:5" x14ac:dyDescent="0.2">
      <c r="A802" s="136" t="s">
        <v>173</v>
      </c>
      <c r="B802" s="136">
        <v>10.39453</v>
      </c>
      <c r="C802" s="136">
        <v>15.287380000000001</v>
      </c>
      <c r="D802" s="136">
        <v>58.058300000000003</v>
      </c>
      <c r="E802" s="136">
        <v>6.1116820000000001</v>
      </c>
    </row>
    <row r="803" spans="1:5" x14ac:dyDescent="0.2">
      <c r="A803" s="136" t="s">
        <v>173</v>
      </c>
      <c r="B803" s="136">
        <v>55.217579999999998</v>
      </c>
      <c r="C803" s="136">
        <v>61.953780000000002</v>
      </c>
      <c r="D803" s="136">
        <v>47.133690000000001</v>
      </c>
      <c r="E803" s="136">
        <v>20.050080000000001</v>
      </c>
    </row>
    <row r="804" spans="1:5" x14ac:dyDescent="0.2">
      <c r="A804" s="136" t="s">
        <v>173</v>
      </c>
      <c r="B804" s="136">
        <v>69.352519999999998</v>
      </c>
      <c r="C804" s="136">
        <v>21.350560000000002</v>
      </c>
      <c r="D804" s="136">
        <v>39.01746</v>
      </c>
      <c r="E804" s="136">
        <v>39.689120000000003</v>
      </c>
    </row>
    <row r="805" spans="1:5" x14ac:dyDescent="0.2">
      <c r="A805" s="136" t="s">
        <v>173</v>
      </c>
      <c r="B805" s="136">
        <v>50.34863</v>
      </c>
      <c r="C805" s="136">
        <v>5.2867959999999998</v>
      </c>
      <c r="D805" s="136">
        <v>19.66056</v>
      </c>
      <c r="E805" s="136">
        <v>10.532220000000001</v>
      </c>
    </row>
    <row r="806" spans="1:5" x14ac:dyDescent="0.2">
      <c r="A806" s="136" t="s">
        <v>173</v>
      </c>
      <c r="B806" s="136">
        <v>117.86920000000001</v>
      </c>
      <c r="C806" s="136">
        <v>53.677129999999998</v>
      </c>
      <c r="D806" s="136">
        <v>21.594390000000001</v>
      </c>
      <c r="E806" s="136">
        <v>5.1826800000000004</v>
      </c>
    </row>
    <row r="807" spans="1:5" x14ac:dyDescent="0.2">
      <c r="A807" s="136" t="s">
        <v>173</v>
      </c>
      <c r="B807" s="136">
        <v>2.5625119999999999</v>
      </c>
      <c r="C807" s="136">
        <v>13.695639999999999</v>
      </c>
      <c r="D807" s="136">
        <v>16.433700000000002</v>
      </c>
      <c r="E807" s="136">
        <v>8.2018550000000001</v>
      </c>
    </row>
    <row r="808" spans="1:5" x14ac:dyDescent="0.2">
      <c r="A808" s="136" t="s">
        <v>173</v>
      </c>
      <c r="B808" s="136">
        <v>18.501919999999998</v>
      </c>
      <c r="C808" s="136">
        <v>55.954219999999999</v>
      </c>
      <c r="D808" s="136">
        <v>97.660550000000001</v>
      </c>
      <c r="E808" s="136">
        <v>10.588749999999999</v>
      </c>
    </row>
    <row r="809" spans="1:5" x14ac:dyDescent="0.2">
      <c r="A809" s="136" t="s">
        <v>173</v>
      </c>
      <c r="B809" s="136">
        <v>44.657049999999998</v>
      </c>
      <c r="C809" s="136">
        <v>65.848010000000002</v>
      </c>
      <c r="D809" s="136">
        <v>17.510860000000001</v>
      </c>
      <c r="E809" s="136">
        <v>41.153889999999997</v>
      </c>
    </row>
    <row r="810" spans="1:5" x14ac:dyDescent="0.2">
      <c r="A810" s="136" t="s">
        <v>173</v>
      </c>
      <c r="B810" s="136">
        <v>69.764930000000007</v>
      </c>
      <c r="C810" s="136">
        <v>39.222119999999997</v>
      </c>
      <c r="D810" s="136">
        <v>14.08783</v>
      </c>
      <c r="E810" s="136">
        <v>43.039630000000002</v>
      </c>
    </row>
    <row r="811" spans="1:5" x14ac:dyDescent="0.2">
      <c r="A811" s="136" t="s">
        <v>173</v>
      </c>
      <c r="B811" s="136">
        <v>74.245840000000001</v>
      </c>
      <c r="C811" s="136">
        <v>47.07911</v>
      </c>
      <c r="D811" s="136">
        <v>169.6705</v>
      </c>
      <c r="E811" s="136">
        <v>7.280303</v>
      </c>
    </row>
    <row r="812" spans="1:5" x14ac:dyDescent="0.2">
      <c r="A812" s="136" t="s">
        <v>173</v>
      </c>
      <c r="B812" s="136">
        <v>24.81108</v>
      </c>
      <c r="C812" s="136">
        <v>51.770040000000002</v>
      </c>
      <c r="D812" s="136">
        <v>44.359780000000001</v>
      </c>
      <c r="E812" s="136">
        <v>0.70274599999999998</v>
      </c>
    </row>
    <row r="813" spans="1:5" x14ac:dyDescent="0.2">
      <c r="A813" s="136" t="s">
        <v>173</v>
      </c>
      <c r="B813" s="136">
        <v>77.603960000000001</v>
      </c>
      <c r="C813" s="136">
        <v>4.8696820000000001</v>
      </c>
      <c r="D813" s="136">
        <v>50.49333</v>
      </c>
      <c r="E813" s="136">
        <v>30.129809999999999</v>
      </c>
    </row>
    <row r="814" spans="1:5" x14ac:dyDescent="0.2">
      <c r="A814" s="136" t="s">
        <v>173</v>
      </c>
      <c r="B814" s="136">
        <v>24.599989999999998</v>
      </c>
      <c r="C814" s="136">
        <v>34.490310000000001</v>
      </c>
      <c r="D814" s="136">
        <v>65.641289999999998</v>
      </c>
      <c r="E814" s="136">
        <v>20.923760000000001</v>
      </c>
    </row>
    <row r="815" spans="1:5" x14ac:dyDescent="0.2">
      <c r="A815" s="136" t="s">
        <v>173</v>
      </c>
      <c r="B815" s="136">
        <v>77.530810000000002</v>
      </c>
      <c r="C815" s="136">
        <v>23.643830000000001</v>
      </c>
      <c r="D815" s="136">
        <v>157.70599999999999</v>
      </c>
      <c r="E815" s="136">
        <v>12.87724</v>
      </c>
    </row>
    <row r="816" spans="1:5" x14ac:dyDescent="0.2">
      <c r="A816" s="136" t="s">
        <v>173</v>
      </c>
      <c r="B816" s="136">
        <v>6.4528480000000004</v>
      </c>
      <c r="C816" s="136">
        <v>21.910019999999999</v>
      </c>
      <c r="D816" s="136">
        <v>204.43979999999999</v>
      </c>
      <c r="E816" s="136">
        <v>1.8850849999999999</v>
      </c>
    </row>
    <row r="817" spans="1:5" x14ac:dyDescent="0.2">
      <c r="A817" s="136" t="s">
        <v>173</v>
      </c>
      <c r="B817" s="136">
        <v>118.8578</v>
      </c>
      <c r="C817" s="136">
        <v>55.768900000000002</v>
      </c>
      <c r="D817" s="136">
        <v>40.926630000000003</v>
      </c>
      <c r="E817" s="136">
        <v>25.19952</v>
      </c>
    </row>
    <row r="818" spans="1:5" x14ac:dyDescent="0.2">
      <c r="A818" s="136" t="s">
        <v>173</v>
      </c>
      <c r="B818" s="136">
        <v>33.849359999999997</v>
      </c>
      <c r="C818" s="136">
        <v>34.538849999999996</v>
      </c>
      <c r="D818" s="136">
        <v>157.327</v>
      </c>
      <c r="E818" s="136">
        <v>32.079839999999997</v>
      </c>
    </row>
    <row r="819" spans="1:5" x14ac:dyDescent="0.2">
      <c r="A819" s="136" t="s">
        <v>173</v>
      </c>
      <c r="B819" s="136">
        <v>44.548490000000001</v>
      </c>
      <c r="C819" s="136">
        <v>17.51671</v>
      </c>
      <c r="D819" s="136">
        <v>7.007358</v>
      </c>
      <c r="E819" s="136">
        <v>12.389340000000001</v>
      </c>
    </row>
    <row r="820" spans="1:5" x14ac:dyDescent="0.2">
      <c r="A820" s="136" t="s">
        <v>173</v>
      </c>
      <c r="B820" s="136">
        <v>34.29063</v>
      </c>
      <c r="C820" s="136">
        <v>7.7458640000000001</v>
      </c>
      <c r="D820" s="136">
        <v>43.501489999999997</v>
      </c>
      <c r="E820" s="136">
        <v>17.30481</v>
      </c>
    </row>
    <row r="821" spans="1:5" x14ac:dyDescent="0.2">
      <c r="A821" s="136" t="s">
        <v>173</v>
      </c>
      <c r="B821" s="136">
        <v>58.89188</v>
      </c>
      <c r="C821" s="136">
        <v>21.663509999999999</v>
      </c>
      <c r="D821" s="136">
        <v>18.39622</v>
      </c>
      <c r="E821" s="136">
        <v>40.91733</v>
      </c>
    </row>
    <row r="822" spans="1:5" x14ac:dyDescent="0.2">
      <c r="A822" s="136" t="s">
        <v>173</v>
      </c>
      <c r="B822" s="136">
        <v>171.1267</v>
      </c>
      <c r="C822" s="136">
        <v>84.81362</v>
      </c>
      <c r="D822" s="136">
        <v>60.126669999999997</v>
      </c>
      <c r="E822" s="136">
        <v>19.226990000000001</v>
      </c>
    </row>
    <row r="823" spans="1:5" x14ac:dyDescent="0.2">
      <c r="A823" s="136" t="s">
        <v>173</v>
      </c>
      <c r="B823" s="136">
        <v>8.3783130000000003</v>
      </c>
      <c r="C823" s="136">
        <v>8.2420939999999998</v>
      </c>
      <c r="D823" s="136">
        <v>155.93389999999999</v>
      </c>
      <c r="E823" s="136">
        <v>4.6479840000000001</v>
      </c>
    </row>
    <row r="824" spans="1:5" x14ac:dyDescent="0.2">
      <c r="A824" s="136" t="s">
        <v>173</v>
      </c>
      <c r="B824" s="136">
        <v>130.0326</v>
      </c>
      <c r="C824" s="136">
        <v>141.56280000000001</v>
      </c>
      <c r="D824" s="136">
        <v>77.176910000000007</v>
      </c>
      <c r="E824" s="136">
        <v>18.007490000000001</v>
      </c>
    </row>
    <row r="825" spans="1:5" x14ac:dyDescent="0.2">
      <c r="A825" s="136" t="s">
        <v>173</v>
      </c>
      <c r="B825" s="136">
        <v>45.157350000000001</v>
      </c>
      <c r="C825" s="136">
        <v>43.250779999999999</v>
      </c>
      <c r="D825" s="136">
        <v>69.042460000000005</v>
      </c>
      <c r="E825" s="136">
        <v>8.2311250000000005</v>
      </c>
    </row>
    <row r="826" spans="1:5" x14ac:dyDescent="0.2">
      <c r="A826" s="136" t="s">
        <v>173</v>
      </c>
      <c r="B826" s="136">
        <v>62.186459999999997</v>
      </c>
      <c r="C826" s="136">
        <v>26.091339999999999</v>
      </c>
      <c r="D826" s="136">
        <v>116.9371</v>
      </c>
      <c r="E826" s="136">
        <v>43.120429999999999</v>
      </c>
    </row>
    <row r="827" spans="1:5" x14ac:dyDescent="0.2">
      <c r="A827" s="136" t="s">
        <v>173</v>
      </c>
      <c r="B827" s="136">
        <v>70.949010000000001</v>
      </c>
      <c r="C827" s="136">
        <v>43.898099999999999</v>
      </c>
      <c r="D827" s="136">
        <v>18.024049999999999</v>
      </c>
      <c r="E827" s="136">
        <v>5.495539</v>
      </c>
    </row>
    <row r="828" spans="1:5" x14ac:dyDescent="0.2">
      <c r="A828" s="136" t="s">
        <v>173</v>
      </c>
      <c r="B828" s="136">
        <v>30.02909</v>
      </c>
      <c r="C828" s="136">
        <v>5.5462850000000001</v>
      </c>
      <c r="D828" s="136">
        <v>37.023530000000001</v>
      </c>
      <c r="E828" s="136">
        <v>43.562449999999998</v>
      </c>
    </row>
    <row r="829" spans="1:5" x14ac:dyDescent="0.2">
      <c r="A829" s="136" t="s">
        <v>173</v>
      </c>
      <c r="B829" s="136">
        <v>107.37649999999999</v>
      </c>
      <c r="C829" s="136">
        <v>36.538020000000003</v>
      </c>
      <c r="D829" s="136">
        <v>15.60148</v>
      </c>
      <c r="E829" s="136">
        <v>18.490369999999999</v>
      </c>
    </row>
    <row r="830" spans="1:5" x14ac:dyDescent="0.2">
      <c r="A830" s="136" t="s">
        <v>173</v>
      </c>
      <c r="B830" s="136">
        <v>15.94727</v>
      </c>
      <c r="C830" s="136">
        <v>81.83784</v>
      </c>
      <c r="D830" s="136">
        <v>143.1628</v>
      </c>
      <c r="E830" s="136">
        <v>4.7639170000000002</v>
      </c>
    </row>
    <row r="831" spans="1:5" x14ac:dyDescent="0.2">
      <c r="A831" s="136" t="s">
        <v>173</v>
      </c>
      <c r="B831" s="136">
        <v>51.642270000000003</v>
      </c>
      <c r="C831" s="136">
        <v>47.222479999999997</v>
      </c>
      <c r="D831" s="136">
        <v>29.4053</v>
      </c>
      <c r="E831" s="136">
        <v>6.5081670000000003</v>
      </c>
    </row>
    <row r="832" spans="1:5" x14ac:dyDescent="0.2">
      <c r="A832" s="136" t="s">
        <v>173</v>
      </c>
      <c r="B832" s="136">
        <v>62.438969999999998</v>
      </c>
      <c r="C832" s="136">
        <v>15.19515</v>
      </c>
      <c r="D832" s="136">
        <v>213.84299999999999</v>
      </c>
      <c r="E832" s="136">
        <v>5.6194629999999997</v>
      </c>
    </row>
    <row r="833" spans="1:5" x14ac:dyDescent="0.2">
      <c r="A833" s="136" t="s">
        <v>173</v>
      </c>
      <c r="B833" s="136">
        <v>80.637039999999999</v>
      </c>
      <c r="C833" s="136">
        <v>40.838389999999997</v>
      </c>
      <c r="D833" s="136">
        <v>5.8555599999999997</v>
      </c>
      <c r="E833" s="136">
        <v>37.472700000000003</v>
      </c>
    </row>
    <row r="834" spans="1:5" x14ac:dyDescent="0.2">
      <c r="A834" s="136" t="s">
        <v>173</v>
      </c>
      <c r="B834" s="136">
        <v>18.83306</v>
      </c>
      <c r="C834" s="136">
        <v>16.861529999999998</v>
      </c>
      <c r="D834" s="136">
        <v>60.544890000000002</v>
      </c>
      <c r="E834" s="136">
        <v>34.321199999999997</v>
      </c>
    </row>
    <row r="835" spans="1:5" x14ac:dyDescent="0.2">
      <c r="A835" s="136" t="s">
        <v>173</v>
      </c>
      <c r="B835" s="136">
        <v>104.00490000000001</v>
      </c>
      <c r="C835" s="136">
        <v>64.957400000000007</v>
      </c>
      <c r="D835" s="136">
        <v>24.86364</v>
      </c>
      <c r="E835" s="136">
        <v>25.6081</v>
      </c>
    </row>
    <row r="836" spans="1:5" x14ac:dyDescent="0.2">
      <c r="A836" s="136" t="s">
        <v>173</v>
      </c>
      <c r="B836" s="136">
        <v>141.41669999999999</v>
      </c>
      <c r="C836" s="136">
        <v>15.441850000000001</v>
      </c>
      <c r="D836" s="136">
        <v>143.0616</v>
      </c>
      <c r="E836" s="136">
        <v>5.0544390000000003</v>
      </c>
    </row>
    <row r="837" spans="1:5" x14ac:dyDescent="0.2">
      <c r="A837" s="136" t="s">
        <v>173</v>
      </c>
      <c r="B837" s="136">
        <v>92.366609999999994</v>
      </c>
      <c r="C837" s="136">
        <v>65.886250000000004</v>
      </c>
      <c r="D837" s="136">
        <v>68.897189999999995</v>
      </c>
      <c r="E837" s="136">
        <v>2.6423990000000002</v>
      </c>
    </row>
    <row r="838" spans="1:5" x14ac:dyDescent="0.2">
      <c r="A838" s="136" t="s">
        <v>173</v>
      </c>
      <c r="B838" s="136">
        <v>15.967040000000001</v>
      </c>
      <c r="C838" s="136">
        <v>22.562729999999998</v>
      </c>
      <c r="D838" s="136">
        <v>14.82971</v>
      </c>
      <c r="E838" s="136">
        <v>27.906369999999999</v>
      </c>
    </row>
    <row r="839" spans="1:5" x14ac:dyDescent="0.2">
      <c r="A839" s="136" t="s">
        <v>173</v>
      </c>
      <c r="B839" s="136">
        <v>86.190470000000005</v>
      </c>
      <c r="C839" s="136">
        <v>32.892119999999998</v>
      </c>
      <c r="D839" s="136">
        <v>70.571529999999996</v>
      </c>
      <c r="E839" s="136">
        <v>57.968159999999997</v>
      </c>
    </row>
    <row r="840" spans="1:5" x14ac:dyDescent="0.2">
      <c r="A840" s="136" t="s">
        <v>173</v>
      </c>
      <c r="B840" s="136">
        <v>29.206859999999999</v>
      </c>
      <c r="C840" s="136">
        <v>80.220789999999994</v>
      </c>
      <c r="D840" s="136">
        <v>24.94257</v>
      </c>
      <c r="E840" s="136">
        <v>6.0830909999999996</v>
      </c>
    </row>
    <row r="841" spans="1:5" x14ac:dyDescent="0.2">
      <c r="A841" s="136" t="s">
        <v>173</v>
      </c>
      <c r="B841" s="136">
        <v>31.101220000000001</v>
      </c>
      <c r="C841" s="136">
        <v>105.9473</v>
      </c>
      <c r="D841" s="136">
        <v>27.218589999999999</v>
      </c>
      <c r="E841" s="136">
        <v>25.158840000000001</v>
      </c>
    </row>
    <row r="842" spans="1:5" x14ac:dyDescent="0.2">
      <c r="A842" s="136" t="s">
        <v>173</v>
      </c>
      <c r="B842" s="136">
        <v>213.1403</v>
      </c>
      <c r="C842" s="136">
        <v>13.99823</v>
      </c>
      <c r="D842" s="136">
        <v>46.810980000000001</v>
      </c>
      <c r="E842" s="136">
        <v>6.1626010000000004</v>
      </c>
    </row>
    <row r="843" spans="1:5" x14ac:dyDescent="0.2">
      <c r="A843" s="136" t="s">
        <v>173</v>
      </c>
      <c r="B843" s="136">
        <v>33.687559999999998</v>
      </c>
      <c r="C843" s="136">
        <v>40.617310000000003</v>
      </c>
      <c r="D843" s="136">
        <v>150.31379999999999</v>
      </c>
      <c r="E843" s="136">
        <v>3.760481</v>
      </c>
    </row>
    <row r="844" spans="1:5" x14ac:dyDescent="0.2">
      <c r="A844" s="136" t="s">
        <v>173</v>
      </c>
      <c r="B844" s="136">
        <v>184.0513</v>
      </c>
      <c r="C844" s="136">
        <v>75.482119999999995</v>
      </c>
      <c r="D844" s="136">
        <v>101.1284</v>
      </c>
      <c r="E844" s="136">
        <v>44.718940000000003</v>
      </c>
    </row>
    <row r="845" spans="1:5" x14ac:dyDescent="0.2">
      <c r="A845" s="136" t="s">
        <v>173</v>
      </c>
      <c r="B845" s="136">
        <v>24.856950000000001</v>
      </c>
      <c r="C845" s="136">
        <v>27.538250000000001</v>
      </c>
      <c r="D845" s="136">
        <v>5.6672279999999997</v>
      </c>
      <c r="E845" s="136">
        <v>42.426949999999998</v>
      </c>
    </row>
    <row r="846" spans="1:5" x14ac:dyDescent="0.2">
      <c r="A846" s="136" t="s">
        <v>173</v>
      </c>
      <c r="B846" s="136">
        <v>20.62754</v>
      </c>
      <c r="C846" s="136">
        <v>52.539830000000002</v>
      </c>
      <c r="D846" s="136">
        <v>24.40391</v>
      </c>
      <c r="E846" s="136">
        <v>19.432079999999999</v>
      </c>
    </row>
    <row r="847" spans="1:5" x14ac:dyDescent="0.2">
      <c r="A847" s="136" t="s">
        <v>173</v>
      </c>
      <c r="B847" s="136">
        <v>3.5781260000000001</v>
      </c>
      <c r="C847" s="136">
        <v>5.8648360000000004</v>
      </c>
      <c r="D847" s="136">
        <v>115.86199999999999</v>
      </c>
      <c r="E847" s="136">
        <v>15.139279999999999</v>
      </c>
    </row>
    <row r="848" spans="1:5" x14ac:dyDescent="0.2">
      <c r="A848" s="136" t="s">
        <v>173</v>
      </c>
      <c r="B848" s="136">
        <v>185.46680000000001</v>
      </c>
      <c r="C848" s="136">
        <v>38.739660000000001</v>
      </c>
      <c r="D848" s="136">
        <v>18.944680000000002</v>
      </c>
      <c r="E848" s="136">
        <v>14.58544</v>
      </c>
    </row>
    <row r="849" spans="1:5" x14ac:dyDescent="0.2">
      <c r="A849" s="136" t="s">
        <v>173</v>
      </c>
      <c r="B849" s="136">
        <v>68.791619999999995</v>
      </c>
      <c r="C849" s="136">
        <v>9.6936780000000002</v>
      </c>
      <c r="D849" s="136">
        <v>13.26136</v>
      </c>
      <c r="E849" s="136">
        <v>70.257769999999994</v>
      </c>
    </row>
    <row r="850" spans="1:5" x14ac:dyDescent="0.2">
      <c r="A850" s="136" t="s">
        <v>173</v>
      </c>
      <c r="B850" s="136">
        <v>70.373099999999994</v>
      </c>
      <c r="C850" s="136">
        <v>79.161529999999999</v>
      </c>
      <c r="D850" s="136">
        <v>130.03880000000001</v>
      </c>
      <c r="E850" s="136">
        <v>2.1136729999999999</v>
      </c>
    </row>
    <row r="851" spans="1:5" x14ac:dyDescent="0.2">
      <c r="A851" s="136" t="s">
        <v>173</v>
      </c>
      <c r="B851" s="136">
        <v>188.6191</v>
      </c>
      <c r="C851" s="136">
        <v>49.856819999999999</v>
      </c>
      <c r="D851" s="136">
        <v>71.564970000000002</v>
      </c>
      <c r="E851" s="136">
        <v>4.8144010000000002</v>
      </c>
    </row>
    <row r="852" spans="1:5" x14ac:dyDescent="0.2">
      <c r="A852" s="136" t="s">
        <v>173</v>
      </c>
      <c r="B852" s="136">
        <v>26.361080000000001</v>
      </c>
      <c r="C852" s="136">
        <v>69.707329999999999</v>
      </c>
      <c r="D852" s="136">
        <v>29.381409999999999</v>
      </c>
      <c r="E852" s="136">
        <v>23.250109999999999</v>
      </c>
    </row>
    <row r="853" spans="1:5" x14ac:dyDescent="0.2">
      <c r="A853" s="136" t="s">
        <v>173</v>
      </c>
      <c r="B853" s="136">
        <v>65.213200000000001</v>
      </c>
      <c r="C853" s="136">
        <v>42.073270000000001</v>
      </c>
      <c r="D853" s="136">
        <v>119.7685</v>
      </c>
      <c r="E853" s="136">
        <v>3.3599860000000001</v>
      </c>
    </row>
    <row r="854" spans="1:5" x14ac:dyDescent="0.2">
      <c r="A854" s="136" t="s">
        <v>173</v>
      </c>
      <c r="B854" s="136">
        <v>64.602069999999998</v>
      </c>
      <c r="C854" s="136">
        <v>45.833710000000004</v>
      </c>
      <c r="D854" s="136">
        <v>67.704329999999999</v>
      </c>
      <c r="E854" s="136">
        <v>6.2684769999999999</v>
      </c>
    </row>
    <row r="855" spans="1:5" x14ac:dyDescent="0.2">
      <c r="A855" s="136" t="s">
        <v>173</v>
      </c>
      <c r="B855" s="136">
        <v>99.661320000000003</v>
      </c>
      <c r="C855" s="136">
        <v>75.241259999999997</v>
      </c>
      <c r="D855" s="136">
        <v>37.262680000000003</v>
      </c>
      <c r="E855" s="136">
        <v>33.561340000000001</v>
      </c>
    </row>
    <row r="856" spans="1:5" x14ac:dyDescent="0.2">
      <c r="A856" s="136" t="s">
        <v>173</v>
      </c>
      <c r="B856" s="136">
        <v>85.119479999999996</v>
      </c>
      <c r="C856" s="136">
        <v>45.73583</v>
      </c>
      <c r="D856" s="136">
        <v>115.8081</v>
      </c>
      <c r="E856" s="136">
        <v>3.617839</v>
      </c>
    </row>
    <row r="857" spans="1:5" x14ac:dyDescent="0.2">
      <c r="A857" s="136" t="s">
        <v>173</v>
      </c>
      <c r="B857" s="136">
        <v>85.783190000000005</v>
      </c>
      <c r="C857" s="136">
        <v>77.765519999999995</v>
      </c>
      <c r="D857" s="136">
        <v>5.9625940000000002</v>
      </c>
      <c r="E857" s="136">
        <v>58.59404</v>
      </c>
    </row>
    <row r="858" spans="1:5" x14ac:dyDescent="0.2">
      <c r="A858" s="136" t="s">
        <v>173</v>
      </c>
      <c r="B858" s="136">
        <v>15.718170000000001</v>
      </c>
      <c r="C858" s="136">
        <v>32.77684</v>
      </c>
      <c r="D858" s="136">
        <v>82.897120000000001</v>
      </c>
      <c r="E858" s="136">
        <v>58.490670000000001</v>
      </c>
    </row>
    <row r="859" spans="1:5" x14ac:dyDescent="0.2">
      <c r="A859" s="136" t="s">
        <v>173</v>
      </c>
      <c r="B859" s="136">
        <v>45.926009999999998</v>
      </c>
      <c r="C859" s="136">
        <v>26.583570000000002</v>
      </c>
      <c r="D859" s="136">
        <v>76.748930000000001</v>
      </c>
      <c r="E859" s="136">
        <v>6.0955469999999998</v>
      </c>
    </row>
    <row r="860" spans="1:5" x14ac:dyDescent="0.2">
      <c r="A860" s="136" t="s">
        <v>173</v>
      </c>
      <c r="B860" s="136">
        <v>22.380659999999999</v>
      </c>
      <c r="C860" s="136">
        <v>111.7726</v>
      </c>
      <c r="D860" s="136">
        <v>138.982</v>
      </c>
      <c r="E860" s="136">
        <v>17.955660000000002</v>
      </c>
    </row>
    <row r="861" spans="1:5" x14ac:dyDescent="0.2">
      <c r="A861" s="136" t="s">
        <v>173</v>
      </c>
      <c r="B861" s="136">
        <v>33.05395</v>
      </c>
      <c r="C861" s="136">
        <v>29.80639</v>
      </c>
      <c r="D861" s="136">
        <v>29.364789999999999</v>
      </c>
      <c r="E861" s="136">
        <v>62.035440000000001</v>
      </c>
    </row>
    <row r="862" spans="1:5" x14ac:dyDescent="0.2">
      <c r="A862" s="136" t="s">
        <v>173</v>
      </c>
      <c r="B862" s="136">
        <v>61.065649999999998</v>
      </c>
      <c r="C862" s="136">
        <v>51.624830000000003</v>
      </c>
      <c r="D862" s="136">
        <v>30.124839999999999</v>
      </c>
      <c r="E862" s="136">
        <v>4.090503</v>
      </c>
    </row>
    <row r="863" spans="1:5" x14ac:dyDescent="0.2">
      <c r="A863" s="136" t="s">
        <v>173</v>
      </c>
      <c r="B863" s="136">
        <v>58.539479999999998</v>
      </c>
      <c r="C863" s="136">
        <v>63.117449999999998</v>
      </c>
      <c r="D863" s="136">
        <v>99.439920000000001</v>
      </c>
      <c r="E863" s="136">
        <v>7.4131130000000001</v>
      </c>
    </row>
    <row r="864" spans="1:5" x14ac:dyDescent="0.2">
      <c r="A864" s="136" t="s">
        <v>173</v>
      </c>
      <c r="B864" s="136">
        <v>180.5932</v>
      </c>
      <c r="C864" s="136">
        <v>29.777539999999998</v>
      </c>
      <c r="D864" s="136">
        <v>9.7884759999999993</v>
      </c>
      <c r="E864" s="136">
        <v>14.46635</v>
      </c>
    </row>
    <row r="865" spans="1:5" x14ac:dyDescent="0.2">
      <c r="A865" s="136" t="s">
        <v>173</v>
      </c>
      <c r="B865" s="136">
        <v>115.3282</v>
      </c>
      <c r="C865" s="136">
        <v>18.566079999999999</v>
      </c>
      <c r="D865" s="136">
        <v>35.473129999999998</v>
      </c>
      <c r="E865" s="136">
        <v>6.2407630000000003</v>
      </c>
    </row>
    <row r="866" spans="1:5" x14ac:dyDescent="0.2">
      <c r="A866" s="136" t="s">
        <v>173</v>
      </c>
      <c r="B866" s="136">
        <v>104.5458</v>
      </c>
      <c r="C866" s="136">
        <v>45.681370000000001</v>
      </c>
      <c r="D866" s="136">
        <v>64.137550000000005</v>
      </c>
      <c r="E866" s="136">
        <v>12.24681</v>
      </c>
    </row>
    <row r="867" spans="1:5" x14ac:dyDescent="0.2">
      <c r="A867" s="136" t="s">
        <v>173</v>
      </c>
      <c r="B867" s="136">
        <v>74.085269999999994</v>
      </c>
      <c r="C867" s="136">
        <v>62.9377</v>
      </c>
      <c r="D867" s="136">
        <v>15.9825</v>
      </c>
      <c r="E867" s="136">
        <v>5.4169270000000003</v>
      </c>
    </row>
    <row r="868" spans="1:5" x14ac:dyDescent="0.2">
      <c r="A868" s="136" t="s">
        <v>173</v>
      </c>
      <c r="B868" s="136">
        <v>28.895140000000001</v>
      </c>
      <c r="C868" s="136">
        <v>14.4659</v>
      </c>
      <c r="D868" s="136">
        <v>131.40010000000001</v>
      </c>
      <c r="E868" s="136">
        <v>53.963369999999998</v>
      </c>
    </row>
    <row r="869" spans="1:5" x14ac:dyDescent="0.2">
      <c r="A869" s="136" t="s">
        <v>173</v>
      </c>
      <c r="B869" s="136">
        <v>34.380290000000002</v>
      </c>
      <c r="C869" s="136">
        <v>91.987139999999997</v>
      </c>
      <c r="D869" s="136">
        <v>70.274940000000001</v>
      </c>
      <c r="E869" s="136">
        <v>0.94831799999999999</v>
      </c>
    </row>
    <row r="870" spans="1:5" x14ac:dyDescent="0.2">
      <c r="A870" s="136" t="s">
        <v>173</v>
      </c>
      <c r="B870" s="136">
        <v>23.152760000000001</v>
      </c>
      <c r="C870" s="136">
        <v>26.57319</v>
      </c>
      <c r="D870" s="136">
        <v>176.4462</v>
      </c>
      <c r="E870" s="136">
        <v>1.5202599999999999</v>
      </c>
    </row>
    <row r="871" spans="1:5" x14ac:dyDescent="0.2">
      <c r="A871" s="136" t="s">
        <v>173</v>
      </c>
      <c r="B871" s="136">
        <v>93.114050000000006</v>
      </c>
      <c r="C871" s="136">
        <v>7.3188050000000002</v>
      </c>
      <c r="D871" s="136">
        <v>42.270809999999997</v>
      </c>
      <c r="E871" s="136">
        <v>41.362400000000001</v>
      </c>
    </row>
    <row r="872" spans="1:5" x14ac:dyDescent="0.2">
      <c r="A872" s="136" t="s">
        <v>173</v>
      </c>
      <c r="B872" s="136">
        <v>30.069520000000001</v>
      </c>
      <c r="C872" s="136">
        <v>18.846229999999998</v>
      </c>
      <c r="D872" s="136">
        <v>36.280700000000003</v>
      </c>
      <c r="E872" s="136">
        <v>97.410870000000003</v>
      </c>
    </row>
    <row r="873" spans="1:5" x14ac:dyDescent="0.2">
      <c r="A873" s="136" t="s">
        <v>173</v>
      </c>
      <c r="B873" s="136">
        <v>56.412010000000002</v>
      </c>
      <c r="C873" s="136">
        <v>21.42473</v>
      </c>
      <c r="D873" s="136">
        <v>92.115229999999997</v>
      </c>
      <c r="E873" s="136">
        <v>1.007255</v>
      </c>
    </row>
    <row r="874" spans="1:5" x14ac:dyDescent="0.2">
      <c r="A874" s="136" t="s">
        <v>173</v>
      </c>
      <c r="B874" s="136">
        <v>66.580299999999994</v>
      </c>
      <c r="C874" s="136">
        <v>62.422339999999998</v>
      </c>
      <c r="D874" s="136">
        <v>138.9581</v>
      </c>
      <c r="E874" s="136">
        <v>20.981449999999999</v>
      </c>
    </row>
    <row r="875" spans="1:5" x14ac:dyDescent="0.2">
      <c r="A875" s="136" t="s">
        <v>173</v>
      </c>
      <c r="B875" s="136">
        <v>25.204139999999999</v>
      </c>
      <c r="C875" s="136">
        <v>51.535919999999997</v>
      </c>
      <c r="D875" s="136">
        <v>33.581560000000003</v>
      </c>
      <c r="E875" s="136">
        <v>3.565448</v>
      </c>
    </row>
    <row r="876" spans="1:5" x14ac:dyDescent="0.2">
      <c r="A876" s="136" t="s">
        <v>173</v>
      </c>
      <c r="B876" s="136">
        <v>90.450119999999998</v>
      </c>
      <c r="C876" s="136">
        <v>73.113029999999995</v>
      </c>
      <c r="D876" s="136">
        <v>59.411589999999997</v>
      </c>
      <c r="E876" s="136">
        <v>4.4560950000000004</v>
      </c>
    </row>
    <row r="877" spans="1:5" x14ac:dyDescent="0.2">
      <c r="A877" s="136" t="s">
        <v>173</v>
      </c>
      <c r="B877" s="136">
        <v>82.407359999999997</v>
      </c>
      <c r="C877" s="136">
        <v>38.407829999999997</v>
      </c>
      <c r="D877" s="136">
        <v>206.953</v>
      </c>
      <c r="E877" s="136">
        <v>10.697889999999999</v>
      </c>
    </row>
    <row r="878" spans="1:5" x14ac:dyDescent="0.2">
      <c r="A878" s="136" t="s">
        <v>173</v>
      </c>
      <c r="B878" s="136">
        <v>98.552350000000004</v>
      </c>
      <c r="C878" s="136">
        <v>32.61242</v>
      </c>
      <c r="D878" s="136">
        <v>21.011839999999999</v>
      </c>
      <c r="E878" s="136">
        <v>15.080730000000001</v>
      </c>
    </row>
    <row r="879" spans="1:5" x14ac:dyDescent="0.2">
      <c r="A879" s="136" t="s">
        <v>173</v>
      </c>
      <c r="B879" s="136">
        <v>142.12049999999999</v>
      </c>
      <c r="C879" s="136">
        <v>46.28284</v>
      </c>
      <c r="D879" s="136">
        <v>62.426049999999996</v>
      </c>
      <c r="E879" s="136">
        <v>33.134990000000002</v>
      </c>
    </row>
    <row r="880" spans="1:5" x14ac:dyDescent="0.2">
      <c r="A880" s="136" t="s">
        <v>173</v>
      </c>
      <c r="B880" s="136">
        <v>30.164159999999999</v>
      </c>
      <c r="C880" s="136">
        <v>78.381900000000002</v>
      </c>
      <c r="D880" s="136">
        <v>214.185</v>
      </c>
      <c r="E880" s="136">
        <v>14.888350000000001</v>
      </c>
    </row>
    <row r="881" spans="1:5" x14ac:dyDescent="0.2">
      <c r="A881" s="136" t="s">
        <v>173</v>
      </c>
      <c r="B881" s="136">
        <v>11.80579</v>
      </c>
      <c r="C881" s="136">
        <v>27.757059999999999</v>
      </c>
      <c r="D881" s="136">
        <v>3.9851100000000002</v>
      </c>
      <c r="E881" s="136">
        <v>24.536639999999998</v>
      </c>
    </row>
    <row r="882" spans="1:5" x14ac:dyDescent="0.2">
      <c r="A882" s="136" t="s">
        <v>173</v>
      </c>
      <c r="B882" s="136">
        <v>32.775199999999998</v>
      </c>
      <c r="C882" s="136">
        <v>55.041269999999997</v>
      </c>
      <c r="D882" s="136">
        <v>36.066650000000003</v>
      </c>
      <c r="E882" s="136">
        <v>11.026020000000001</v>
      </c>
    </row>
    <row r="883" spans="1:5" x14ac:dyDescent="0.2">
      <c r="A883" s="136" t="s">
        <v>173</v>
      </c>
      <c r="B883" s="136">
        <v>139.24879999999999</v>
      </c>
      <c r="C883" s="136">
        <v>37.827350000000003</v>
      </c>
      <c r="D883" s="136">
        <v>106.4816</v>
      </c>
      <c r="E883" s="136">
        <v>48.540599999999998</v>
      </c>
    </row>
    <row r="884" spans="1:5" x14ac:dyDescent="0.2">
      <c r="A884" s="136" t="s">
        <v>173</v>
      </c>
      <c r="B884" s="136">
        <v>23.080449999999999</v>
      </c>
      <c r="C884" s="136">
        <v>74.211709999999997</v>
      </c>
      <c r="D884" s="136">
        <v>64.521500000000003</v>
      </c>
      <c r="E884" s="136">
        <v>19.50478</v>
      </c>
    </row>
    <row r="885" spans="1:5" x14ac:dyDescent="0.2">
      <c r="A885" s="136" t="s">
        <v>173</v>
      </c>
      <c r="B885" s="136">
        <v>26.279489999999999</v>
      </c>
      <c r="C885" s="136">
        <v>21.679490000000001</v>
      </c>
      <c r="D885" s="136">
        <v>24.557839999999999</v>
      </c>
      <c r="E885" s="136">
        <v>4.3669120000000001</v>
      </c>
    </row>
    <row r="886" spans="1:5" x14ac:dyDescent="0.2">
      <c r="A886" s="136" t="s">
        <v>173</v>
      </c>
      <c r="B886" s="136">
        <v>86.722830000000002</v>
      </c>
      <c r="C886" s="136">
        <v>74.814869999999999</v>
      </c>
      <c r="D886" s="136">
        <v>125.6001</v>
      </c>
      <c r="E886" s="136">
        <v>11.214320000000001</v>
      </c>
    </row>
    <row r="887" spans="1:5" x14ac:dyDescent="0.2">
      <c r="A887" s="136" t="s">
        <v>173</v>
      </c>
      <c r="B887" s="136">
        <v>16.773969999999998</v>
      </c>
      <c r="C887" s="136">
        <v>37.680100000000003</v>
      </c>
      <c r="D887" s="136">
        <v>71.763689999999997</v>
      </c>
      <c r="E887" s="136">
        <v>6.9296309999999997</v>
      </c>
    </row>
    <row r="888" spans="1:5" x14ac:dyDescent="0.2">
      <c r="A888" s="136" t="s">
        <v>173</v>
      </c>
      <c r="B888" s="136">
        <v>90.575890000000001</v>
      </c>
      <c r="C888" s="136">
        <v>9.9150679999999998</v>
      </c>
      <c r="D888" s="136">
        <v>91.487459999999999</v>
      </c>
      <c r="E888" s="136">
        <v>31.570250000000001</v>
      </c>
    </row>
    <row r="889" spans="1:5" x14ac:dyDescent="0.2">
      <c r="A889" s="136" t="s">
        <v>173</v>
      </c>
      <c r="B889" s="136">
        <v>106.2402</v>
      </c>
      <c r="C889" s="136">
        <v>34.210659999999997</v>
      </c>
      <c r="D889" s="136">
        <v>167.88650000000001</v>
      </c>
      <c r="E889" s="136">
        <v>3.8786429999999998</v>
      </c>
    </row>
    <row r="890" spans="1:5" x14ac:dyDescent="0.2">
      <c r="A890" s="136" t="s">
        <v>173</v>
      </c>
      <c r="B890" s="136">
        <v>15.17689</v>
      </c>
      <c r="C890" s="136">
        <v>31.10248</v>
      </c>
      <c r="D890" s="136">
        <v>25.591629999999999</v>
      </c>
      <c r="E890" s="136">
        <v>26.8095</v>
      </c>
    </row>
    <row r="891" spans="1:5" x14ac:dyDescent="0.2">
      <c r="A891" s="136" t="s">
        <v>173</v>
      </c>
      <c r="B891" s="136">
        <v>75.794259999999994</v>
      </c>
      <c r="C891" s="136">
        <v>127.29859999999999</v>
      </c>
      <c r="D891" s="136">
        <v>14.45224</v>
      </c>
      <c r="E891" s="136">
        <v>5.4889830000000002</v>
      </c>
    </row>
    <row r="892" spans="1:5" x14ac:dyDescent="0.2">
      <c r="A892" s="136" t="s">
        <v>173</v>
      </c>
      <c r="B892" s="136">
        <v>40.405729999999998</v>
      </c>
      <c r="C892" s="136">
        <v>40.49483</v>
      </c>
      <c r="D892" s="136">
        <v>157.40979999999999</v>
      </c>
      <c r="E892" s="136">
        <v>45.104689999999998</v>
      </c>
    </row>
    <row r="893" spans="1:5" x14ac:dyDescent="0.2">
      <c r="A893" s="136" t="s">
        <v>173</v>
      </c>
      <c r="B893" s="136">
        <v>126.5928</v>
      </c>
      <c r="C893" s="136">
        <v>48.423699999999997</v>
      </c>
      <c r="D893" s="136">
        <v>103.6854</v>
      </c>
      <c r="E893" s="136">
        <v>43.606560000000002</v>
      </c>
    </row>
    <row r="894" spans="1:5" x14ac:dyDescent="0.2">
      <c r="A894" s="136" t="s">
        <v>173</v>
      </c>
      <c r="B894" s="136">
        <v>11.720499999999999</v>
      </c>
      <c r="C894" s="136">
        <v>115.3278</v>
      </c>
      <c r="D894" s="136">
        <v>271.05279999999999</v>
      </c>
      <c r="E894" s="136">
        <v>34.708440000000003</v>
      </c>
    </row>
    <row r="895" spans="1:5" x14ac:dyDescent="0.2">
      <c r="A895" s="136" t="s">
        <v>173</v>
      </c>
      <c r="B895" s="136">
        <v>86.285629999999998</v>
      </c>
      <c r="C895" s="136">
        <v>23.904710000000001</v>
      </c>
      <c r="D895" s="136">
        <v>44.078400000000002</v>
      </c>
      <c r="E895" s="136">
        <v>5.176666</v>
      </c>
    </row>
    <row r="896" spans="1:5" x14ac:dyDescent="0.2">
      <c r="A896" s="136" t="s">
        <v>173</v>
      </c>
      <c r="B896" s="136">
        <v>2.1620159999999999</v>
      </c>
      <c r="C896" s="136">
        <v>60.968350000000001</v>
      </c>
      <c r="D896" s="136">
        <v>77.226749999999996</v>
      </c>
      <c r="E896" s="136">
        <v>97.699340000000007</v>
      </c>
    </row>
    <row r="897" spans="1:5" x14ac:dyDescent="0.2">
      <c r="A897" s="136" t="s">
        <v>173</v>
      </c>
      <c r="B897" s="136">
        <v>18.08888</v>
      </c>
      <c r="C897" s="136">
        <v>14.77309</v>
      </c>
      <c r="D897" s="136">
        <v>2.0139870000000002</v>
      </c>
      <c r="E897" s="136">
        <v>16.125389999999999</v>
      </c>
    </row>
    <row r="898" spans="1:5" x14ac:dyDescent="0.2">
      <c r="A898" s="136" t="s">
        <v>173</v>
      </c>
      <c r="B898" s="136">
        <v>38.294969999999999</v>
      </c>
      <c r="C898" s="136">
        <v>28.841049999999999</v>
      </c>
      <c r="D898" s="136">
        <v>19.430969999999999</v>
      </c>
      <c r="E898" s="136">
        <v>77.558269999999993</v>
      </c>
    </row>
    <row r="899" spans="1:5" x14ac:dyDescent="0.2">
      <c r="A899" s="136" t="s">
        <v>173</v>
      </c>
      <c r="B899" s="136">
        <v>27.606909999999999</v>
      </c>
      <c r="C899" s="136">
        <v>33.801290000000002</v>
      </c>
      <c r="D899" s="136">
        <v>16.969080000000002</v>
      </c>
      <c r="E899" s="136">
        <v>13.21726</v>
      </c>
    </row>
    <row r="900" spans="1:5" x14ac:dyDescent="0.2">
      <c r="A900" s="136" t="s">
        <v>173</v>
      </c>
      <c r="B900" s="136">
        <v>99.981250000000003</v>
      </c>
      <c r="C900" s="136">
        <v>31.66526</v>
      </c>
      <c r="D900" s="136">
        <v>265.33890000000002</v>
      </c>
      <c r="E900" s="136">
        <v>2.7177989999999999</v>
      </c>
    </row>
    <row r="901" spans="1:5" x14ac:dyDescent="0.2">
      <c r="A901" s="136" t="s">
        <v>173</v>
      </c>
      <c r="B901" s="136">
        <v>42.354190000000003</v>
      </c>
      <c r="C901" s="136">
        <v>50.220970000000001</v>
      </c>
      <c r="D901" s="136">
        <v>49.323630000000001</v>
      </c>
      <c r="E901" s="136">
        <v>3.8830119999999999</v>
      </c>
    </row>
    <row r="902" spans="1:5" x14ac:dyDescent="0.2">
      <c r="A902" s="136" t="s">
        <v>173</v>
      </c>
      <c r="B902" s="136">
        <v>24.733920000000001</v>
      </c>
      <c r="C902" s="136">
        <v>68.821460000000002</v>
      </c>
      <c r="D902" s="136">
        <v>313.32690000000002</v>
      </c>
      <c r="E902" s="136">
        <v>14.08333</v>
      </c>
    </row>
    <row r="903" spans="1:5" x14ac:dyDescent="0.2">
      <c r="A903" s="136" t="s">
        <v>173</v>
      </c>
      <c r="B903" s="136">
        <v>29.755230000000001</v>
      </c>
      <c r="C903" s="136">
        <v>57.227229999999999</v>
      </c>
      <c r="D903" s="136">
        <v>95.681539999999998</v>
      </c>
      <c r="E903" s="136">
        <v>48.324910000000003</v>
      </c>
    </row>
    <row r="904" spans="1:5" x14ac:dyDescent="0.2">
      <c r="A904" s="136" t="s">
        <v>173</v>
      </c>
      <c r="B904" s="136">
        <v>60.043190000000003</v>
      </c>
      <c r="C904" s="136">
        <v>28.553920000000002</v>
      </c>
      <c r="D904" s="136">
        <v>217.1052</v>
      </c>
      <c r="E904" s="136">
        <v>11.56024</v>
      </c>
    </row>
    <row r="905" spans="1:5" x14ac:dyDescent="0.2">
      <c r="A905" s="136" t="s">
        <v>173</v>
      </c>
      <c r="B905" s="136">
        <v>3.5634890000000001</v>
      </c>
      <c r="C905" s="136">
        <v>49.27478</v>
      </c>
      <c r="D905" s="136">
        <v>50.203440000000001</v>
      </c>
      <c r="E905" s="136">
        <v>27.37669</v>
      </c>
    </row>
    <row r="906" spans="1:5" x14ac:dyDescent="0.2">
      <c r="A906" s="136" t="s">
        <v>173</v>
      </c>
      <c r="B906" s="136">
        <v>39.45438</v>
      </c>
      <c r="C906" s="136">
        <v>17.380269999999999</v>
      </c>
      <c r="D906" s="136">
        <v>121.0701</v>
      </c>
      <c r="E906" s="136">
        <v>10.059279999999999</v>
      </c>
    </row>
    <row r="907" spans="1:5" x14ac:dyDescent="0.2">
      <c r="A907" s="136" t="s">
        <v>173</v>
      </c>
      <c r="B907" s="136">
        <v>82.440349999999995</v>
      </c>
      <c r="C907" s="136">
        <v>61.816290000000002</v>
      </c>
      <c r="D907" s="136">
        <v>111.2208</v>
      </c>
      <c r="E907" s="136">
        <v>1.161168</v>
      </c>
    </row>
    <row r="908" spans="1:5" x14ac:dyDescent="0.2">
      <c r="A908" s="136" t="s">
        <v>173</v>
      </c>
      <c r="B908" s="136">
        <v>29.911860000000001</v>
      </c>
      <c r="C908" s="136">
        <v>58.041089999999997</v>
      </c>
      <c r="D908" s="136">
        <v>37.913110000000003</v>
      </c>
      <c r="E908" s="136">
        <v>28.090109999999999</v>
      </c>
    </row>
    <row r="909" spans="1:5" x14ac:dyDescent="0.2">
      <c r="A909" s="136" t="s">
        <v>173</v>
      </c>
      <c r="B909" s="136">
        <v>55.523420000000002</v>
      </c>
      <c r="C909" s="136">
        <v>81.670670000000001</v>
      </c>
      <c r="D909" s="136">
        <v>119.12</v>
      </c>
      <c r="E909" s="136">
        <v>1.122066</v>
      </c>
    </row>
    <row r="910" spans="1:5" x14ac:dyDescent="0.2">
      <c r="A910" s="136" t="s">
        <v>173</v>
      </c>
      <c r="B910" s="136">
        <v>52.883879999999998</v>
      </c>
      <c r="C910" s="136">
        <v>51.46604</v>
      </c>
      <c r="D910" s="136">
        <v>32.482819999999997</v>
      </c>
      <c r="E910" s="136">
        <v>8.6293900000000008</v>
      </c>
    </row>
    <row r="911" spans="1:5" x14ac:dyDescent="0.2">
      <c r="A911" s="136" t="s">
        <v>173</v>
      </c>
      <c r="B911" s="136">
        <v>42.995370000000001</v>
      </c>
      <c r="C911" s="136">
        <v>66.319550000000007</v>
      </c>
      <c r="D911" s="136">
        <v>75.046369999999996</v>
      </c>
      <c r="E911" s="136">
        <v>15.10012</v>
      </c>
    </row>
    <row r="912" spans="1:5" x14ac:dyDescent="0.2">
      <c r="A912" s="136" t="s">
        <v>173</v>
      </c>
      <c r="B912" s="136">
        <v>233.2697</v>
      </c>
      <c r="C912" s="136">
        <v>37.71902</v>
      </c>
      <c r="D912" s="136">
        <v>61.968739999999997</v>
      </c>
      <c r="E912" s="136">
        <v>2.67727</v>
      </c>
    </row>
    <row r="913" spans="1:5" x14ac:dyDescent="0.2">
      <c r="A913" s="136" t="s">
        <v>173</v>
      </c>
      <c r="B913" s="136">
        <v>286.06389999999999</v>
      </c>
      <c r="C913" s="136">
        <v>75.980649999999997</v>
      </c>
      <c r="D913" s="136">
        <v>83.031790000000001</v>
      </c>
      <c r="E913" s="136">
        <v>2.7985639999999998</v>
      </c>
    </row>
    <row r="914" spans="1:5" x14ac:dyDescent="0.2">
      <c r="A914" s="136" t="s">
        <v>173</v>
      </c>
      <c r="B914" s="136">
        <v>42.387990000000002</v>
      </c>
      <c r="C914" s="136">
        <v>13.78839</v>
      </c>
      <c r="D914" s="136">
        <v>40.531930000000003</v>
      </c>
      <c r="E914" s="136">
        <v>11.227270000000001</v>
      </c>
    </row>
    <row r="915" spans="1:5" x14ac:dyDescent="0.2">
      <c r="A915" s="136" t="s">
        <v>173</v>
      </c>
      <c r="B915" s="136">
        <v>85.3733</v>
      </c>
      <c r="C915" s="136">
        <v>22.137090000000001</v>
      </c>
      <c r="D915" s="136">
        <v>79.673180000000002</v>
      </c>
      <c r="E915" s="136">
        <v>7.3327720000000003</v>
      </c>
    </row>
    <row r="916" spans="1:5" x14ac:dyDescent="0.2">
      <c r="A916" s="136" t="s">
        <v>173</v>
      </c>
      <c r="B916" s="136">
        <v>99.184259999999995</v>
      </c>
      <c r="C916" s="136">
        <v>13.63518</v>
      </c>
      <c r="D916" s="136">
        <v>64.088859999999997</v>
      </c>
      <c r="E916" s="136">
        <v>25.076180000000001</v>
      </c>
    </row>
    <row r="917" spans="1:5" x14ac:dyDescent="0.2">
      <c r="A917" s="136" t="s">
        <v>173</v>
      </c>
      <c r="B917" s="136">
        <v>33.330710000000003</v>
      </c>
      <c r="C917" s="136">
        <v>55.350360000000002</v>
      </c>
      <c r="D917" s="136">
        <v>10.38472</v>
      </c>
      <c r="E917" s="136">
        <v>7.4745010000000001</v>
      </c>
    </row>
    <row r="918" spans="1:5" x14ac:dyDescent="0.2">
      <c r="A918" s="136" t="s">
        <v>173</v>
      </c>
      <c r="B918" s="136">
        <v>81.170069999999996</v>
      </c>
      <c r="C918" s="136">
        <v>32.322400000000002</v>
      </c>
      <c r="D918" s="136">
        <v>31.119440000000001</v>
      </c>
      <c r="E918" s="136">
        <v>8.9287150000000004</v>
      </c>
    </row>
    <row r="919" spans="1:5" x14ac:dyDescent="0.2">
      <c r="A919" s="136" t="s">
        <v>173</v>
      </c>
      <c r="B919" s="136">
        <v>68.199709999999996</v>
      </c>
      <c r="C919" s="136">
        <v>60.457160000000002</v>
      </c>
      <c r="D919" s="136">
        <v>28.753080000000001</v>
      </c>
      <c r="E919" s="136">
        <v>7.0872849999999996</v>
      </c>
    </row>
    <row r="920" spans="1:5" x14ac:dyDescent="0.2">
      <c r="A920" s="136" t="s">
        <v>173</v>
      </c>
      <c r="B920" s="136">
        <v>30.039280000000002</v>
      </c>
      <c r="C920" s="136">
        <v>92.049689999999998</v>
      </c>
      <c r="D920" s="136">
        <v>64.371139999999997</v>
      </c>
      <c r="E920" s="136">
        <v>3.1258119999999998</v>
      </c>
    </row>
    <row r="921" spans="1:5" x14ac:dyDescent="0.2">
      <c r="A921" s="136" t="s">
        <v>173</v>
      </c>
      <c r="B921" s="136">
        <v>140.434</v>
      </c>
      <c r="C921" s="136">
        <v>53.392850000000003</v>
      </c>
      <c r="D921" s="136">
        <v>3.8464879999999999</v>
      </c>
      <c r="E921" s="136">
        <v>17.634730000000001</v>
      </c>
    </row>
    <row r="922" spans="1:5" x14ac:dyDescent="0.2">
      <c r="A922" s="136" t="s">
        <v>173</v>
      </c>
      <c r="B922" s="136">
        <v>27.33183</v>
      </c>
      <c r="C922" s="136">
        <v>23.1145</v>
      </c>
      <c r="D922" s="136">
        <v>146.51830000000001</v>
      </c>
      <c r="E922" s="136">
        <v>78.109949999999998</v>
      </c>
    </row>
    <row r="923" spans="1:5" x14ac:dyDescent="0.2">
      <c r="A923" s="136" t="s">
        <v>173</v>
      </c>
      <c r="B923" s="136">
        <v>132.87870000000001</v>
      </c>
      <c r="C923" s="136">
        <v>38.794829999999997</v>
      </c>
      <c r="D923" s="136">
        <v>10.62872</v>
      </c>
      <c r="E923" s="136">
        <v>45.338340000000002</v>
      </c>
    </row>
    <row r="924" spans="1:5" x14ac:dyDescent="0.2">
      <c r="A924" s="136" t="s">
        <v>173</v>
      </c>
      <c r="B924" s="136">
        <v>12.858560000000001</v>
      </c>
      <c r="C924" s="136">
        <v>11.396520000000001</v>
      </c>
      <c r="D924" s="136">
        <v>44.468229999999998</v>
      </c>
      <c r="E924" s="136">
        <v>29.21143</v>
      </c>
    </row>
    <row r="925" spans="1:5" x14ac:dyDescent="0.2">
      <c r="A925" s="136" t="s">
        <v>173</v>
      </c>
      <c r="B925" s="136">
        <v>73.752480000000006</v>
      </c>
      <c r="C925" s="136">
        <v>60.427660000000003</v>
      </c>
      <c r="D925" s="136">
        <v>11.49517</v>
      </c>
      <c r="E925" s="136">
        <v>3.501239</v>
      </c>
    </row>
    <row r="926" spans="1:5" x14ac:dyDescent="0.2">
      <c r="A926" s="136" t="s">
        <v>173</v>
      </c>
      <c r="B926" s="136">
        <v>96.04365</v>
      </c>
      <c r="C926" s="136">
        <v>81.74203</v>
      </c>
      <c r="D926" s="136">
        <v>124.9592</v>
      </c>
      <c r="E926" s="136">
        <v>5.8076850000000002</v>
      </c>
    </row>
    <row r="927" spans="1:5" x14ac:dyDescent="0.2">
      <c r="A927" s="136" t="s">
        <v>173</v>
      </c>
      <c r="B927" s="136">
        <v>35.362609999999997</v>
      </c>
      <c r="C927" s="136">
        <v>35.369599999999998</v>
      </c>
      <c r="D927" s="136">
        <v>111.4006</v>
      </c>
      <c r="E927" s="136">
        <v>4.1462560000000002</v>
      </c>
    </row>
    <row r="928" spans="1:5" x14ac:dyDescent="0.2">
      <c r="A928" s="136" t="s">
        <v>173</v>
      </c>
      <c r="B928" s="136">
        <v>57.223120000000002</v>
      </c>
      <c r="C928" s="136">
        <v>32.154760000000003</v>
      </c>
      <c r="D928" s="136">
        <v>90.716560000000001</v>
      </c>
      <c r="E928" s="136">
        <v>1.491568</v>
      </c>
    </row>
    <row r="929" spans="1:5" x14ac:dyDescent="0.2">
      <c r="A929" s="136" t="s">
        <v>173</v>
      </c>
      <c r="B929" s="136">
        <v>325.03820000000002</v>
      </c>
      <c r="C929" s="136">
        <v>54.56532</v>
      </c>
      <c r="D929" s="136">
        <v>109.8918</v>
      </c>
      <c r="E929" s="136">
        <v>10.04392</v>
      </c>
    </row>
    <row r="930" spans="1:5" x14ac:dyDescent="0.2">
      <c r="A930" s="136" t="s">
        <v>173</v>
      </c>
      <c r="B930" s="136">
        <v>96.628010000000003</v>
      </c>
      <c r="C930" s="136">
        <v>2.2617180000000001</v>
      </c>
      <c r="D930" s="136">
        <v>107.16679999999999</v>
      </c>
      <c r="E930" s="136">
        <v>23.583079999999999</v>
      </c>
    </row>
    <row r="931" spans="1:5" x14ac:dyDescent="0.2">
      <c r="A931" s="136" t="s">
        <v>173</v>
      </c>
      <c r="B931" s="136">
        <v>37.18338</v>
      </c>
      <c r="C931" s="136">
        <v>47.029200000000003</v>
      </c>
      <c r="D931" s="136">
        <v>43.302840000000003</v>
      </c>
      <c r="E931" s="136">
        <v>11.121639999999999</v>
      </c>
    </row>
    <row r="932" spans="1:5" x14ac:dyDescent="0.2">
      <c r="A932" s="136" t="s">
        <v>173</v>
      </c>
      <c r="B932" s="136">
        <v>80.325800000000001</v>
      </c>
      <c r="C932" s="136">
        <v>77.332560000000001</v>
      </c>
      <c r="D932" s="136">
        <v>16.642199999999999</v>
      </c>
      <c r="E932" s="136">
        <v>7.1250169999999997</v>
      </c>
    </row>
    <row r="933" spans="1:5" x14ac:dyDescent="0.2">
      <c r="A933" s="136" t="s">
        <v>173</v>
      </c>
      <c r="B933" s="136">
        <v>48.701169999999998</v>
      </c>
      <c r="C933" s="136">
        <v>43.756070000000001</v>
      </c>
      <c r="D933" s="136">
        <v>49.366230000000002</v>
      </c>
      <c r="E933" s="136">
        <v>63.824770000000001</v>
      </c>
    </row>
    <row r="934" spans="1:5" x14ac:dyDescent="0.2">
      <c r="A934" s="136" t="s">
        <v>173</v>
      </c>
      <c r="B934" s="136">
        <v>95.187640000000002</v>
      </c>
      <c r="C934" s="136">
        <v>52.976680000000002</v>
      </c>
      <c r="D934" s="136">
        <v>36.25403</v>
      </c>
      <c r="E934" s="136">
        <v>14.21696</v>
      </c>
    </row>
    <row r="935" spans="1:5" x14ac:dyDescent="0.2">
      <c r="A935" s="136" t="s">
        <v>173</v>
      </c>
      <c r="B935" s="136">
        <v>42.360149999999997</v>
      </c>
      <c r="C935" s="136">
        <v>16.49811</v>
      </c>
      <c r="D935" s="136">
        <v>28.111550000000001</v>
      </c>
      <c r="E935" s="136">
        <v>15.742369999999999</v>
      </c>
    </row>
    <row r="936" spans="1:5" x14ac:dyDescent="0.2">
      <c r="A936" s="136" t="s">
        <v>173</v>
      </c>
      <c r="B936" s="136">
        <v>43.381680000000003</v>
      </c>
      <c r="C936" s="136">
        <v>58.19126</v>
      </c>
      <c r="D936" s="136">
        <v>27.836269999999999</v>
      </c>
      <c r="E936" s="136">
        <v>18.267969999999998</v>
      </c>
    </row>
    <row r="937" spans="1:5" x14ac:dyDescent="0.2">
      <c r="A937" s="136" t="s">
        <v>173</v>
      </c>
      <c r="B937" s="136">
        <v>57.920110000000001</v>
      </c>
      <c r="C937" s="136">
        <v>43.470399999999998</v>
      </c>
      <c r="D937" s="136">
        <v>136.4556</v>
      </c>
      <c r="E937" s="136">
        <v>11.673959999999999</v>
      </c>
    </row>
    <row r="938" spans="1:5" x14ac:dyDescent="0.2">
      <c r="A938" s="136" t="s">
        <v>173</v>
      </c>
      <c r="B938" s="136">
        <v>50.393430000000002</v>
      </c>
      <c r="C938" s="136">
        <v>44.251840000000001</v>
      </c>
      <c r="D938" s="136">
        <v>2.3737300000000001</v>
      </c>
      <c r="E938" s="136">
        <v>9.2049210000000006</v>
      </c>
    </row>
    <row r="939" spans="1:5" x14ac:dyDescent="0.2">
      <c r="A939" s="136" t="s">
        <v>173</v>
      </c>
      <c r="B939" s="136">
        <v>166.77209999999999</v>
      </c>
      <c r="C939" s="136">
        <v>119.59350000000001</v>
      </c>
      <c r="D939" s="136">
        <v>38.943480000000001</v>
      </c>
      <c r="E939" s="136">
        <v>4.6738679999999997</v>
      </c>
    </row>
    <row r="940" spans="1:5" x14ac:dyDescent="0.2">
      <c r="A940" s="136" t="s">
        <v>173</v>
      </c>
      <c r="B940" s="136">
        <v>17.7913</v>
      </c>
      <c r="C940" s="136">
        <v>8.1365599999999993</v>
      </c>
      <c r="D940" s="136">
        <v>19.151599999999998</v>
      </c>
      <c r="E940" s="136">
        <v>4.54948</v>
      </c>
    </row>
    <row r="941" spans="1:5" x14ac:dyDescent="0.2">
      <c r="A941" s="136" t="s">
        <v>173</v>
      </c>
      <c r="B941" s="136">
        <v>163.06530000000001</v>
      </c>
      <c r="C941" s="136">
        <v>30.32329</v>
      </c>
      <c r="D941" s="136">
        <v>27.374279999999999</v>
      </c>
      <c r="E941" s="136">
        <v>8.3120940000000001</v>
      </c>
    </row>
    <row r="942" spans="1:5" x14ac:dyDescent="0.2">
      <c r="A942" s="136" t="s">
        <v>173</v>
      </c>
      <c r="B942" s="136">
        <v>39.96951</v>
      </c>
      <c r="C942" s="136">
        <v>27.393540000000002</v>
      </c>
      <c r="D942" s="136">
        <v>20.832599999999999</v>
      </c>
      <c r="E942" s="136">
        <v>4.8547960000000003</v>
      </c>
    </row>
    <row r="943" spans="1:5" x14ac:dyDescent="0.2">
      <c r="A943" s="136" t="s">
        <v>173</v>
      </c>
      <c r="B943" s="136">
        <v>137.0941</v>
      </c>
      <c r="C943" s="136">
        <v>92.316609999999997</v>
      </c>
      <c r="D943" s="136">
        <v>8.5594090000000005</v>
      </c>
      <c r="E943" s="136">
        <v>3.0150160000000001</v>
      </c>
    </row>
    <row r="944" spans="1:5" x14ac:dyDescent="0.2">
      <c r="A944" s="136" t="s">
        <v>173</v>
      </c>
      <c r="B944" s="136">
        <v>79.195099999999996</v>
      </c>
      <c r="C944" s="136">
        <v>3.5010819999999998</v>
      </c>
      <c r="D944" s="136">
        <v>43.00132</v>
      </c>
      <c r="E944" s="136">
        <v>8.4028790000000004</v>
      </c>
    </row>
    <row r="945" spans="1:5" x14ac:dyDescent="0.2">
      <c r="A945" s="136" t="s">
        <v>173</v>
      </c>
      <c r="B945" s="136">
        <v>35.214129999999997</v>
      </c>
      <c r="C945" s="136">
        <v>7.1326200000000002</v>
      </c>
      <c r="D945" s="136">
        <v>10.32409</v>
      </c>
      <c r="E945" s="136">
        <v>0.39829999999999999</v>
      </c>
    </row>
    <row r="946" spans="1:5" x14ac:dyDescent="0.2">
      <c r="A946" s="136" t="s">
        <v>173</v>
      </c>
      <c r="B946" s="136">
        <v>77.789630000000002</v>
      </c>
      <c r="C946" s="136">
        <v>55.963729999999998</v>
      </c>
      <c r="D946" s="136">
        <v>10.201930000000001</v>
      </c>
      <c r="E946" s="136">
        <v>26.883420000000001</v>
      </c>
    </row>
    <row r="947" spans="1:5" x14ac:dyDescent="0.2">
      <c r="A947" s="136" t="s">
        <v>173</v>
      </c>
      <c r="B947" s="136">
        <v>175.31739999999999</v>
      </c>
      <c r="C947" s="136">
        <v>51.384050000000002</v>
      </c>
      <c r="D947" s="136">
        <v>174.45689999999999</v>
      </c>
      <c r="E947" s="136">
        <v>28.43777</v>
      </c>
    </row>
    <row r="948" spans="1:5" x14ac:dyDescent="0.2">
      <c r="A948" s="136" t="s">
        <v>173</v>
      </c>
      <c r="B948" s="136">
        <v>178.5369</v>
      </c>
      <c r="C948" s="136">
        <v>9.4762260000000005</v>
      </c>
      <c r="D948" s="136">
        <v>35.995159999999998</v>
      </c>
      <c r="E948" s="136">
        <v>0.40224300000000002</v>
      </c>
    </row>
    <row r="949" spans="1:5" x14ac:dyDescent="0.2">
      <c r="A949" s="136" t="s">
        <v>173</v>
      </c>
      <c r="B949" s="136">
        <v>211.2997</v>
      </c>
      <c r="C949" s="136">
        <v>27.14621</v>
      </c>
      <c r="D949" s="136">
        <v>5.2277110000000002</v>
      </c>
      <c r="E949" s="136">
        <v>49.53866</v>
      </c>
    </row>
    <row r="950" spans="1:5" x14ac:dyDescent="0.2">
      <c r="A950" s="136" t="s">
        <v>173</v>
      </c>
      <c r="B950" s="136">
        <v>68.615070000000003</v>
      </c>
      <c r="C950" s="136">
        <v>33.492370000000001</v>
      </c>
      <c r="D950" s="136">
        <v>79.343400000000003</v>
      </c>
      <c r="E950" s="136">
        <v>10.78107</v>
      </c>
    </row>
    <row r="951" spans="1:5" x14ac:dyDescent="0.2">
      <c r="A951" s="136" t="s">
        <v>173</v>
      </c>
      <c r="B951" s="136">
        <v>70.77037</v>
      </c>
      <c r="C951" s="136">
        <v>15.740449999999999</v>
      </c>
      <c r="D951" s="136">
        <v>28.144649999999999</v>
      </c>
      <c r="E951" s="136">
        <v>19.47702</v>
      </c>
    </row>
    <row r="952" spans="1:5" x14ac:dyDescent="0.2">
      <c r="A952" s="136" t="s">
        <v>173</v>
      </c>
      <c r="B952" s="136">
        <v>16.282689999999999</v>
      </c>
      <c r="C952" s="136">
        <v>35.651800000000001</v>
      </c>
      <c r="D952" s="136">
        <v>77.096299999999999</v>
      </c>
      <c r="E952" s="136">
        <v>3.2491089999999998</v>
      </c>
    </row>
    <row r="953" spans="1:5" x14ac:dyDescent="0.2">
      <c r="A953" s="136" t="s">
        <v>173</v>
      </c>
      <c r="B953" s="136">
        <v>81.981409999999997</v>
      </c>
      <c r="C953" s="136">
        <v>60.272889999999997</v>
      </c>
      <c r="D953" s="136">
        <v>154.1455</v>
      </c>
      <c r="E953" s="136">
        <v>46.799900000000001</v>
      </c>
    </row>
    <row r="954" spans="1:5" x14ac:dyDescent="0.2">
      <c r="A954" s="136" t="s">
        <v>173</v>
      </c>
      <c r="B954" s="136">
        <v>61.857379999999999</v>
      </c>
      <c r="C954" s="136">
        <v>70.07723</v>
      </c>
      <c r="D954" s="136">
        <v>111.5337</v>
      </c>
      <c r="E954" s="136">
        <v>33.115600000000001</v>
      </c>
    </row>
    <row r="955" spans="1:5" x14ac:dyDescent="0.2">
      <c r="A955" s="136" t="s">
        <v>173</v>
      </c>
      <c r="B955" s="136">
        <v>13.765879999999999</v>
      </c>
      <c r="C955" s="136">
        <v>73.896460000000005</v>
      </c>
      <c r="D955" s="136">
        <v>116.0151</v>
      </c>
      <c r="E955" s="136">
        <v>2.4418099999999998</v>
      </c>
    </row>
    <row r="956" spans="1:5" x14ac:dyDescent="0.2">
      <c r="A956" s="136" t="s">
        <v>173</v>
      </c>
      <c r="B956" s="136">
        <v>53.237079999999999</v>
      </c>
      <c r="C956" s="136">
        <v>20.024539999999998</v>
      </c>
      <c r="D956" s="136">
        <v>41.517180000000003</v>
      </c>
      <c r="E956" s="136">
        <v>10.29059</v>
      </c>
    </row>
    <row r="957" spans="1:5" x14ac:dyDescent="0.2">
      <c r="A957" s="136" t="s">
        <v>173</v>
      </c>
      <c r="B957" s="136">
        <v>162.4126</v>
      </c>
      <c r="C957" s="136">
        <v>31.32938</v>
      </c>
      <c r="D957" s="136">
        <v>128.37200000000001</v>
      </c>
      <c r="E957" s="136">
        <v>0.21204999999999999</v>
      </c>
    </row>
    <row r="958" spans="1:5" x14ac:dyDescent="0.2">
      <c r="A958" s="136" t="s">
        <v>173</v>
      </c>
      <c r="B958" s="136">
        <v>18.594349999999999</v>
      </c>
      <c r="C958" s="136">
        <v>56.171900000000001</v>
      </c>
      <c r="D958" s="136">
        <v>15.484870000000001</v>
      </c>
      <c r="E958" s="136">
        <v>24.741050000000001</v>
      </c>
    </row>
    <row r="959" spans="1:5" x14ac:dyDescent="0.2">
      <c r="A959" s="136" t="s">
        <v>173</v>
      </c>
      <c r="B959" s="136">
        <v>108.6558</v>
      </c>
      <c r="C959" s="136">
        <v>11.90991</v>
      </c>
      <c r="D959" s="136">
        <v>115.51220000000001</v>
      </c>
      <c r="E959" s="136">
        <v>25.844270000000002</v>
      </c>
    </row>
    <row r="960" spans="1:5" x14ac:dyDescent="0.2">
      <c r="A960" s="136" t="s">
        <v>173</v>
      </c>
      <c r="B960" s="136">
        <v>36.790570000000002</v>
      </c>
      <c r="C960" s="136">
        <v>29.948779999999999</v>
      </c>
      <c r="D960" s="136">
        <v>62.64087</v>
      </c>
      <c r="E960" s="136">
        <v>14.314920000000001</v>
      </c>
    </row>
    <row r="961" spans="1:5" x14ac:dyDescent="0.2">
      <c r="A961" s="136" t="s">
        <v>173</v>
      </c>
      <c r="B961" s="136">
        <v>18.527830000000002</v>
      </c>
      <c r="C961" s="136">
        <v>25.701370000000001</v>
      </c>
      <c r="D961" s="136">
        <v>27.339580000000002</v>
      </c>
      <c r="E961" s="136">
        <v>15.57826</v>
      </c>
    </row>
    <row r="962" spans="1:5" x14ac:dyDescent="0.2">
      <c r="A962" s="136" t="s">
        <v>173</v>
      </c>
      <c r="B962" s="136">
        <v>57.047359999999998</v>
      </c>
      <c r="C962" s="136">
        <v>51.22654</v>
      </c>
      <c r="D962" s="136">
        <v>86.629040000000003</v>
      </c>
      <c r="E962" s="136">
        <v>10.005000000000001</v>
      </c>
    </row>
    <row r="963" spans="1:5" x14ac:dyDescent="0.2">
      <c r="A963" s="136" t="s">
        <v>173</v>
      </c>
      <c r="B963" s="136">
        <v>22.831720000000001</v>
      </c>
      <c r="C963" s="136">
        <v>26.204529999999998</v>
      </c>
      <c r="D963" s="136">
        <v>10.890610000000001</v>
      </c>
      <c r="E963" s="136">
        <v>12.87026</v>
      </c>
    </row>
    <row r="964" spans="1:5" x14ac:dyDescent="0.2">
      <c r="A964" s="136" t="s">
        <v>173</v>
      </c>
      <c r="B964" s="136">
        <v>76.882959999999997</v>
      </c>
      <c r="C964" s="136">
        <v>27.608059999999998</v>
      </c>
      <c r="D964" s="136">
        <v>57.505009999999999</v>
      </c>
      <c r="E964" s="136">
        <v>19.803609999999999</v>
      </c>
    </row>
    <row r="965" spans="1:5" x14ac:dyDescent="0.2">
      <c r="A965" s="136" t="s">
        <v>173</v>
      </c>
      <c r="B965" s="136">
        <v>33.385489999999997</v>
      </c>
      <c r="C965" s="136">
        <v>60.192689999999999</v>
      </c>
      <c r="D965" s="136">
        <v>31.300080000000001</v>
      </c>
      <c r="E965" s="136">
        <v>7.7400599999999997</v>
      </c>
    </row>
    <row r="966" spans="1:5" x14ac:dyDescent="0.2">
      <c r="A966" s="136" t="s">
        <v>173</v>
      </c>
      <c r="B966" s="136">
        <v>94.096810000000005</v>
      </c>
      <c r="C966" s="136">
        <v>18.045590000000001</v>
      </c>
      <c r="D966" s="136">
        <v>22.065919999999998</v>
      </c>
      <c r="E966" s="136">
        <v>2.9136790000000001</v>
      </c>
    </row>
    <row r="967" spans="1:5" x14ac:dyDescent="0.2">
      <c r="A967" s="136" t="s">
        <v>173</v>
      </c>
      <c r="B967" s="136">
        <v>38.854149999999997</v>
      </c>
      <c r="C967" s="136">
        <v>34.903210000000001</v>
      </c>
      <c r="D967" s="136">
        <v>22.914190000000001</v>
      </c>
      <c r="E967" s="136">
        <v>7.2235959999999997</v>
      </c>
    </row>
    <row r="968" spans="1:5" x14ac:dyDescent="0.2">
      <c r="A968" s="136" t="s">
        <v>173</v>
      </c>
      <c r="B968" s="136">
        <v>31.015779999999999</v>
      </c>
      <c r="C968" s="136">
        <v>6.9971449999999997</v>
      </c>
      <c r="D968" s="136">
        <v>43.822929999999999</v>
      </c>
      <c r="E968" s="136">
        <v>1.93072</v>
      </c>
    </row>
    <row r="969" spans="1:5" x14ac:dyDescent="0.2">
      <c r="A969" s="136" t="s">
        <v>173</v>
      </c>
      <c r="B969" s="136">
        <v>232.38140000000001</v>
      </c>
      <c r="C969" s="136">
        <v>104.2111</v>
      </c>
      <c r="D969" s="136">
        <v>150.31180000000001</v>
      </c>
      <c r="E969" s="136">
        <v>42.764780000000002</v>
      </c>
    </row>
    <row r="970" spans="1:5" x14ac:dyDescent="0.2">
      <c r="A970" s="136" t="s">
        <v>173</v>
      </c>
      <c r="B970" s="136">
        <v>55.757469999999998</v>
      </c>
      <c r="C970" s="136">
        <v>30.661049999999999</v>
      </c>
      <c r="D970" s="136">
        <v>78.396289999999993</v>
      </c>
      <c r="E970" s="136">
        <v>0.75505900000000004</v>
      </c>
    </row>
    <row r="971" spans="1:5" x14ac:dyDescent="0.2">
      <c r="A971" s="136" t="s">
        <v>173</v>
      </c>
      <c r="B971" s="136">
        <v>31.06784</v>
      </c>
      <c r="C971" s="136">
        <v>30.397379999999998</v>
      </c>
      <c r="D971" s="136">
        <v>79.039389999999997</v>
      </c>
      <c r="E971" s="136">
        <v>6.4916809999999998</v>
      </c>
    </row>
    <row r="972" spans="1:5" x14ac:dyDescent="0.2">
      <c r="A972" s="136" t="s">
        <v>173</v>
      </c>
      <c r="B972" s="136">
        <v>54.450510000000001</v>
      </c>
      <c r="C972" s="136">
        <v>44.819879999999998</v>
      </c>
      <c r="D972" s="136">
        <v>105.5014</v>
      </c>
      <c r="E972" s="136">
        <v>4.6547640000000001</v>
      </c>
    </row>
    <row r="973" spans="1:5" x14ac:dyDescent="0.2">
      <c r="A973" s="136" t="s">
        <v>173</v>
      </c>
      <c r="B973" s="136">
        <v>181.54560000000001</v>
      </c>
      <c r="C973" s="136">
        <v>15.14723</v>
      </c>
      <c r="D973" s="136">
        <v>16.014959999999999</v>
      </c>
      <c r="E973" s="136">
        <v>13.17826</v>
      </c>
    </row>
    <row r="974" spans="1:5" x14ac:dyDescent="0.2">
      <c r="A974" s="136" t="s">
        <v>173</v>
      </c>
      <c r="B974" s="136">
        <v>6.1315419999999996</v>
      </c>
      <c r="C974" s="136">
        <v>27.477399999999999</v>
      </c>
      <c r="D974" s="136">
        <v>71.542990000000003</v>
      </c>
      <c r="E974" s="136">
        <v>19.925509999999999</v>
      </c>
    </row>
    <row r="975" spans="1:5" x14ac:dyDescent="0.2">
      <c r="A975" s="136" t="s">
        <v>173</v>
      </c>
      <c r="B975" s="136">
        <v>140.97630000000001</v>
      </c>
      <c r="C975" s="136">
        <v>27.772079999999999</v>
      </c>
      <c r="D975" s="136">
        <v>32.668930000000003</v>
      </c>
      <c r="E975" s="136">
        <v>57.662709999999997</v>
      </c>
    </row>
    <row r="976" spans="1:5" x14ac:dyDescent="0.2">
      <c r="A976" s="136" t="s">
        <v>173</v>
      </c>
      <c r="B976" s="136">
        <v>8.1164819999999995</v>
      </c>
      <c r="C976" s="136">
        <v>44.425139999999999</v>
      </c>
      <c r="D976" s="136">
        <v>47.058109999999999</v>
      </c>
      <c r="E976" s="136">
        <v>2.4626030000000001</v>
      </c>
    </row>
    <row r="977" spans="1:5" x14ac:dyDescent="0.2">
      <c r="A977" s="136" t="s">
        <v>173</v>
      </c>
      <c r="B977" s="136">
        <v>47.430619999999998</v>
      </c>
      <c r="C977" s="136">
        <v>8.2254520000000007</v>
      </c>
      <c r="D977" s="136">
        <v>30.62276</v>
      </c>
      <c r="E977" s="136">
        <v>5.628546</v>
      </c>
    </row>
    <row r="978" spans="1:5" x14ac:dyDescent="0.2">
      <c r="A978" s="136" t="s">
        <v>173</v>
      </c>
      <c r="B978" s="136">
        <v>27.87987</v>
      </c>
      <c r="C978" s="136">
        <v>13.507429999999999</v>
      </c>
      <c r="D978" s="136">
        <v>29.51895</v>
      </c>
      <c r="E978" s="136">
        <v>43.80968</v>
      </c>
    </row>
    <row r="979" spans="1:5" x14ac:dyDescent="0.2">
      <c r="A979" s="136" t="s">
        <v>173</v>
      </c>
      <c r="B979" s="136">
        <v>111.6388</v>
      </c>
      <c r="C979" s="136">
        <v>2.7154989999999999</v>
      </c>
      <c r="D979" s="136">
        <v>39.746250000000003</v>
      </c>
      <c r="E979" s="136">
        <v>0.77948799999999996</v>
      </c>
    </row>
    <row r="980" spans="1:5" x14ac:dyDescent="0.2">
      <c r="A980" s="136" t="s">
        <v>173</v>
      </c>
      <c r="B980" s="136">
        <v>20.97636</v>
      </c>
      <c r="C980" s="136">
        <v>85.291790000000006</v>
      </c>
      <c r="D980" s="136">
        <v>22.58135</v>
      </c>
      <c r="E980" s="136">
        <v>0.80124200000000001</v>
      </c>
    </row>
    <row r="981" spans="1:5" x14ac:dyDescent="0.2">
      <c r="A981" s="136" t="s">
        <v>173</v>
      </c>
      <c r="B981" s="136">
        <v>54.404049999999998</v>
      </c>
      <c r="C981" s="136">
        <v>113.5213</v>
      </c>
      <c r="D981" s="136">
        <v>53.493679999999998</v>
      </c>
      <c r="E981" s="136">
        <v>29.908429999999999</v>
      </c>
    </row>
    <row r="982" spans="1:5" x14ac:dyDescent="0.2">
      <c r="A982" s="136" t="s">
        <v>173</v>
      </c>
      <c r="B982" s="136">
        <v>27.489509999999999</v>
      </c>
      <c r="C982" s="136">
        <v>18.791070000000001</v>
      </c>
      <c r="D982" s="136">
        <v>26.232710000000001</v>
      </c>
      <c r="E982" s="136">
        <v>23.518660000000001</v>
      </c>
    </row>
    <row r="983" spans="1:5" x14ac:dyDescent="0.2">
      <c r="A983" s="136" t="s">
        <v>173</v>
      </c>
      <c r="B983" s="136">
        <v>22.618480000000002</v>
      </c>
      <c r="C983" s="136">
        <v>98.959739999999996</v>
      </c>
      <c r="D983" s="136">
        <v>29.68844</v>
      </c>
      <c r="E983" s="136">
        <v>11.73306</v>
      </c>
    </row>
    <row r="984" spans="1:5" x14ac:dyDescent="0.2">
      <c r="A984" s="136" t="s">
        <v>173</v>
      </c>
      <c r="B984" s="136">
        <v>247.14359999999999</v>
      </c>
      <c r="C984" s="136">
        <v>55.486420000000003</v>
      </c>
      <c r="D984" s="136">
        <v>231.64179999999999</v>
      </c>
      <c r="E984" s="136">
        <v>8.759074</v>
      </c>
    </row>
    <row r="985" spans="1:5" x14ac:dyDescent="0.2">
      <c r="A985" s="136" t="s">
        <v>173</v>
      </c>
      <c r="B985" s="136">
        <v>18.198440000000002</v>
      </c>
      <c r="C985" s="136">
        <v>32.239469999999997</v>
      </c>
      <c r="D985" s="136">
        <v>138.1234</v>
      </c>
      <c r="E985" s="136">
        <v>30.299980000000001</v>
      </c>
    </row>
    <row r="986" spans="1:5" x14ac:dyDescent="0.2">
      <c r="A986" s="136" t="s">
        <v>173</v>
      </c>
      <c r="B986" s="136">
        <v>52.860169999999997</v>
      </c>
      <c r="C986" s="136">
        <v>11.354279999999999</v>
      </c>
      <c r="D986" s="136">
        <v>130.73439999999999</v>
      </c>
      <c r="E986" s="136">
        <v>9.9991339999999997</v>
      </c>
    </row>
    <row r="987" spans="1:5" x14ac:dyDescent="0.2">
      <c r="A987" s="136" t="s">
        <v>173</v>
      </c>
      <c r="B987" s="136">
        <v>23.58182</v>
      </c>
      <c r="C987" s="136">
        <v>30.95513</v>
      </c>
      <c r="D987" s="136">
        <v>77.629519999999999</v>
      </c>
      <c r="E987" s="136">
        <v>9.0241579999999999</v>
      </c>
    </row>
    <row r="988" spans="1:5" x14ac:dyDescent="0.2">
      <c r="A988" s="136" t="s">
        <v>173</v>
      </c>
      <c r="B988" s="136">
        <v>8.9145599999999998</v>
      </c>
      <c r="C988" s="136">
        <v>16.659510000000001</v>
      </c>
      <c r="D988" s="136">
        <v>37.418340000000001</v>
      </c>
      <c r="E988" s="136">
        <v>2.680412</v>
      </c>
    </row>
    <row r="989" spans="1:5" x14ac:dyDescent="0.2">
      <c r="A989" s="136" t="s">
        <v>173</v>
      </c>
      <c r="B989" s="136">
        <v>50.458410000000001</v>
      </c>
      <c r="C989" s="136">
        <v>83.347149999999999</v>
      </c>
      <c r="D989" s="136">
        <v>103.5175</v>
      </c>
      <c r="E989" s="136">
        <v>18.19284</v>
      </c>
    </row>
    <row r="990" spans="1:5" x14ac:dyDescent="0.2">
      <c r="A990" s="136" t="s">
        <v>173</v>
      </c>
      <c r="B990" s="136">
        <v>55.391939999999998</v>
      </c>
      <c r="C990" s="136">
        <v>40.066600000000001</v>
      </c>
      <c r="D990" s="136">
        <v>92.662779999999998</v>
      </c>
      <c r="E990" s="136">
        <v>57.397799999999997</v>
      </c>
    </row>
    <row r="991" spans="1:5" x14ac:dyDescent="0.2">
      <c r="A991" s="136" t="s">
        <v>173</v>
      </c>
      <c r="B991" s="136">
        <v>58.050280000000001</v>
      </c>
      <c r="C991" s="136">
        <v>28.764189999999999</v>
      </c>
      <c r="D991" s="136">
        <v>106.5395</v>
      </c>
      <c r="E991" s="136">
        <v>7.1580240000000002</v>
      </c>
    </row>
    <row r="992" spans="1:5" x14ac:dyDescent="0.2">
      <c r="A992" s="136" t="s">
        <v>173</v>
      </c>
      <c r="B992" s="136">
        <v>43.947119999999998</v>
      </c>
      <c r="C992" s="136">
        <v>44.403709999999997</v>
      </c>
      <c r="D992" s="136">
        <v>18.105560000000001</v>
      </c>
      <c r="E992" s="136">
        <v>4.2404349999999997</v>
      </c>
    </row>
    <row r="993" spans="1:5" x14ac:dyDescent="0.2">
      <c r="A993" s="136" t="s">
        <v>173</v>
      </c>
      <c r="B993" s="136">
        <v>75.888390000000001</v>
      </c>
      <c r="C993" s="136">
        <v>12.05823</v>
      </c>
      <c r="D993" s="136">
        <v>133.14449999999999</v>
      </c>
      <c r="E993" s="136">
        <v>7.0973759999999997</v>
      </c>
    </row>
    <row r="994" spans="1:5" x14ac:dyDescent="0.2">
      <c r="A994" s="136" t="s">
        <v>173</v>
      </c>
      <c r="B994" s="136">
        <v>124.5558</v>
      </c>
      <c r="C994" s="136">
        <v>11.846500000000001</v>
      </c>
      <c r="D994" s="136">
        <v>1.228593</v>
      </c>
      <c r="E994" s="136">
        <v>21.253360000000001</v>
      </c>
    </row>
    <row r="995" spans="1:5" x14ac:dyDescent="0.2">
      <c r="A995" s="136" t="s">
        <v>173</v>
      </c>
      <c r="B995" s="136">
        <v>35.365189999999998</v>
      </c>
      <c r="C995" s="136">
        <v>16.140750000000001</v>
      </c>
      <c r="D995" s="136">
        <v>16.979690000000002</v>
      </c>
      <c r="E995" s="136">
        <v>48.319800000000001</v>
      </c>
    </row>
    <row r="996" spans="1:5" x14ac:dyDescent="0.2">
      <c r="A996" s="136" t="s">
        <v>173</v>
      </c>
      <c r="B996" s="136">
        <v>53.955359999999999</v>
      </c>
      <c r="C996" s="136">
        <v>14.39838</v>
      </c>
      <c r="D996" s="136">
        <v>98.879800000000003</v>
      </c>
      <c r="E996" s="136">
        <v>33.340890000000002</v>
      </c>
    </row>
    <row r="997" spans="1:5" x14ac:dyDescent="0.2">
      <c r="A997" s="136" t="s">
        <v>173</v>
      </c>
      <c r="B997" s="136">
        <v>157.41800000000001</v>
      </c>
      <c r="C997" s="136">
        <v>17.88259</v>
      </c>
      <c r="D997" s="136">
        <v>197.7244</v>
      </c>
      <c r="E997" s="136">
        <v>13.047330000000001</v>
      </c>
    </row>
    <row r="998" spans="1:5" x14ac:dyDescent="0.2">
      <c r="A998" s="136" t="s">
        <v>173</v>
      </c>
      <c r="B998" s="136">
        <v>186.1823</v>
      </c>
      <c r="C998" s="136">
        <v>19.228570000000001</v>
      </c>
      <c r="D998" s="136">
        <v>78.805170000000004</v>
      </c>
      <c r="E998" s="136">
        <v>29.716699999999999</v>
      </c>
    </row>
    <row r="999" spans="1:5" x14ac:dyDescent="0.2">
      <c r="A999" s="136" t="s">
        <v>173</v>
      </c>
      <c r="B999" s="136">
        <v>253.99639999999999</v>
      </c>
      <c r="C999" s="136">
        <v>40.899419999999999</v>
      </c>
      <c r="D999" s="136">
        <v>28.190100000000001</v>
      </c>
      <c r="E999" s="136">
        <v>20.250679999999999</v>
      </c>
    </row>
    <row r="1000" spans="1:5" x14ac:dyDescent="0.2">
      <c r="A1000" s="136" t="s">
        <v>173</v>
      </c>
      <c r="B1000" s="136">
        <v>59.257390000000001</v>
      </c>
      <c r="C1000" s="136">
        <v>91.409469999999999</v>
      </c>
      <c r="D1000" s="136">
        <v>15.719609999999999</v>
      </c>
      <c r="E1000" s="136">
        <v>12.51267</v>
      </c>
    </row>
    <row r="1001" spans="1:5" x14ac:dyDescent="0.2">
      <c r="A1001" s="136" t="s">
        <v>173</v>
      </c>
      <c r="B1001" s="136">
        <v>95.217479999999995</v>
      </c>
      <c r="C1001" s="136">
        <v>35.307319999999997</v>
      </c>
      <c r="D1001" s="136">
        <v>8.2713099999999997</v>
      </c>
      <c r="E1001" s="136">
        <v>0.64392400000000005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165</vt:i4>
      </vt:variant>
    </vt:vector>
  </HeadingPairs>
  <TitlesOfParts>
    <vt:vector size="174" baseType="lpstr">
      <vt:lpstr>Main output</vt:lpstr>
      <vt:lpstr>SA1</vt:lpstr>
      <vt:lpstr>SA2</vt:lpstr>
      <vt:lpstr>SA3</vt:lpstr>
      <vt:lpstr>Beta distribution calculator</vt:lpstr>
      <vt:lpstr>PSA</vt:lpstr>
      <vt:lpstr>PSA1</vt:lpstr>
      <vt:lpstr>PSA2</vt:lpstr>
      <vt:lpstr>Data for R</vt:lpstr>
      <vt:lpstr>AbsContact</vt:lpstr>
      <vt:lpstr>'SA1'!Absenteeism</vt:lpstr>
      <vt:lpstr>'SA2'!Absenteeism</vt:lpstr>
      <vt:lpstr>'SA3'!Absenteeism</vt:lpstr>
      <vt:lpstr>Absenteeism</vt:lpstr>
      <vt:lpstr>AbsenteeismBaseline</vt:lpstr>
      <vt:lpstr>AbsenteeismLFA</vt:lpstr>
      <vt:lpstr>AbsenteeismNoTest</vt:lpstr>
      <vt:lpstr>PSA!AbsenteeismSeq</vt:lpstr>
      <vt:lpstr>AbsPos</vt:lpstr>
      <vt:lpstr>AbsPosSeq</vt:lpstr>
      <vt:lpstr>AbsTest1Pos</vt:lpstr>
      <vt:lpstr>AbsTest1Posi</vt:lpstr>
      <vt:lpstr>AbsTest2Pos</vt:lpstr>
      <vt:lpstr>AccuracyBaseline</vt:lpstr>
      <vt:lpstr>AccuracyLFA</vt:lpstr>
      <vt:lpstr>AccuracyNoTest</vt:lpstr>
      <vt:lpstr>AccuracySeq</vt:lpstr>
      <vt:lpstr>PSA!Appropriate</vt:lpstr>
      <vt:lpstr>'SA1'!Appropriate</vt:lpstr>
      <vt:lpstr>'SA2'!Appropriate</vt:lpstr>
      <vt:lpstr>'SA3'!Appropriate</vt:lpstr>
      <vt:lpstr>Appropriate</vt:lpstr>
      <vt:lpstr>PSA!cohort</vt:lpstr>
      <vt:lpstr>'SA1'!cohort</vt:lpstr>
      <vt:lpstr>'SA2'!cohort</vt:lpstr>
      <vt:lpstr>'SA3'!cohort</vt:lpstr>
      <vt:lpstr>cohort</vt:lpstr>
      <vt:lpstr>PSA!cohort_all</vt:lpstr>
      <vt:lpstr>cohort_all</vt:lpstr>
      <vt:lpstr>PSA!cohort_nonSymp</vt:lpstr>
      <vt:lpstr>cohort_nonSymp</vt:lpstr>
      <vt:lpstr>PSA!cohort1stRound</vt:lpstr>
      <vt:lpstr>'SA3'!cohort1stRound</vt:lpstr>
      <vt:lpstr>cohort1stRound</vt:lpstr>
      <vt:lpstr>PSA!Cohort2ndRound</vt:lpstr>
      <vt:lpstr>'SA3'!Cohort2ndRound</vt:lpstr>
      <vt:lpstr>Cohort2ndRound</vt:lpstr>
      <vt:lpstr>PSA!Cohort3rdRound</vt:lpstr>
      <vt:lpstr>'SA3'!Cohort3rdRound</vt:lpstr>
      <vt:lpstr>Cohort3rdRound</vt:lpstr>
      <vt:lpstr>PSA!contact</vt:lpstr>
      <vt:lpstr>'SA3'!contact</vt:lpstr>
      <vt:lpstr>contact</vt:lpstr>
      <vt:lpstr>PSA!corr</vt:lpstr>
      <vt:lpstr>'SA1'!corr</vt:lpstr>
      <vt:lpstr>'SA2'!corr</vt:lpstr>
      <vt:lpstr>'SA3'!corr</vt:lpstr>
      <vt:lpstr>corr</vt:lpstr>
      <vt:lpstr>PSA!FN1stRound</vt:lpstr>
      <vt:lpstr>'SA3'!FN1stRound</vt:lpstr>
      <vt:lpstr>FN1stRound</vt:lpstr>
      <vt:lpstr>PSA!FN2ndRound</vt:lpstr>
      <vt:lpstr>'SA3'!FN2ndRound</vt:lpstr>
      <vt:lpstr>FN2ndRound</vt:lpstr>
      <vt:lpstr>PSA!FNTest1</vt:lpstr>
      <vt:lpstr>'SA1'!FNTest1</vt:lpstr>
      <vt:lpstr>'SA2'!FNTest1</vt:lpstr>
      <vt:lpstr>'SA3'!FNTest1</vt:lpstr>
      <vt:lpstr>FNTest1</vt:lpstr>
      <vt:lpstr>PSA!FNTest2</vt:lpstr>
      <vt:lpstr>'SA1'!FNTest2</vt:lpstr>
      <vt:lpstr>'SA2'!FNTest2</vt:lpstr>
      <vt:lpstr>'SA3'!FNTest2</vt:lpstr>
      <vt:lpstr>FNTest2</vt:lpstr>
      <vt:lpstr>PSA!FPTest1</vt:lpstr>
      <vt:lpstr>'SA1'!FPTest1</vt:lpstr>
      <vt:lpstr>'SA2'!FPTest1</vt:lpstr>
      <vt:lpstr>'SA3'!FPTest1</vt:lpstr>
      <vt:lpstr>FPTest1</vt:lpstr>
      <vt:lpstr>PSA!FPTest2</vt:lpstr>
      <vt:lpstr>'SA1'!FPTest2</vt:lpstr>
      <vt:lpstr>'SA2'!FPTest2</vt:lpstr>
      <vt:lpstr>'SA3'!FPTest2</vt:lpstr>
      <vt:lpstr>FPTest2</vt:lpstr>
      <vt:lpstr>Glod_Sp</vt:lpstr>
      <vt:lpstr>GoldSn</vt:lpstr>
      <vt:lpstr>PSA!Inappropriate</vt:lpstr>
      <vt:lpstr>'SA1'!Inappropriate</vt:lpstr>
      <vt:lpstr>'SA2'!Inappropriate</vt:lpstr>
      <vt:lpstr>'SA3'!Inappropriate</vt:lpstr>
      <vt:lpstr>Inappropriate</vt:lpstr>
      <vt:lpstr>PSA!Incid</vt:lpstr>
      <vt:lpstr>'SA3'!Incid</vt:lpstr>
      <vt:lpstr>Incid</vt:lpstr>
      <vt:lpstr>PSA!Prev</vt:lpstr>
      <vt:lpstr>'SA1'!prev</vt:lpstr>
      <vt:lpstr>'SA2'!prev</vt:lpstr>
      <vt:lpstr>'SA3'!Prev</vt:lpstr>
      <vt:lpstr>Prev</vt:lpstr>
      <vt:lpstr>PSA!prev1stRound</vt:lpstr>
      <vt:lpstr>'SA3'!prev1stRound</vt:lpstr>
      <vt:lpstr>prev1stRound</vt:lpstr>
      <vt:lpstr>PSA!Prev2ndRound</vt:lpstr>
      <vt:lpstr>'SA3'!Prev2ndRound</vt:lpstr>
      <vt:lpstr>Prev2ndRound</vt:lpstr>
      <vt:lpstr>PSA!Prev3rdRound</vt:lpstr>
      <vt:lpstr>'SA3'!Prev3rdRound</vt:lpstr>
      <vt:lpstr>Prev3rdRound</vt:lpstr>
      <vt:lpstr>PSA!prevalence</vt:lpstr>
      <vt:lpstr>'SA1'!prevalence</vt:lpstr>
      <vt:lpstr>'SA2'!prevalence</vt:lpstr>
      <vt:lpstr>'SA3'!prevalence</vt:lpstr>
      <vt:lpstr>prevalence</vt:lpstr>
      <vt:lpstr>PSA!SnTest1</vt:lpstr>
      <vt:lpstr>'SA1'!SnTest1</vt:lpstr>
      <vt:lpstr>'SA2'!SnTest1</vt:lpstr>
      <vt:lpstr>'SA3'!SnTest1</vt:lpstr>
      <vt:lpstr>SnTest1</vt:lpstr>
      <vt:lpstr>PSA!SnTest2</vt:lpstr>
      <vt:lpstr>'SA1'!SnTest2</vt:lpstr>
      <vt:lpstr>'SA2'!SnTest2</vt:lpstr>
      <vt:lpstr>'SA3'!SnTest2</vt:lpstr>
      <vt:lpstr>SnTest2</vt:lpstr>
      <vt:lpstr>PSA!SpTest1</vt:lpstr>
      <vt:lpstr>'SA1'!SpTest1</vt:lpstr>
      <vt:lpstr>'SA2'!SpTest1</vt:lpstr>
      <vt:lpstr>'SA3'!SpTest1</vt:lpstr>
      <vt:lpstr>SpTest1</vt:lpstr>
      <vt:lpstr>PSA!SpTest2</vt:lpstr>
      <vt:lpstr>'SA1'!SpTest2</vt:lpstr>
      <vt:lpstr>'SA2'!SpTest2</vt:lpstr>
      <vt:lpstr>'SA3'!SpTest2</vt:lpstr>
      <vt:lpstr>SpTest2</vt:lpstr>
      <vt:lpstr>Symp_Cases</vt:lpstr>
      <vt:lpstr>PSA!Symptomatic</vt:lpstr>
      <vt:lpstr>'SA3'!Symptomatic</vt:lpstr>
      <vt:lpstr>Symptomatic</vt:lpstr>
      <vt:lpstr>PSA!TNTest1</vt:lpstr>
      <vt:lpstr>'SA1'!TNTest1</vt:lpstr>
      <vt:lpstr>'SA2'!TNTest1</vt:lpstr>
      <vt:lpstr>'SA3'!TNTest1</vt:lpstr>
      <vt:lpstr>TNTest1</vt:lpstr>
      <vt:lpstr>PSA!TNTest2</vt:lpstr>
      <vt:lpstr>'SA1'!TNTest2</vt:lpstr>
      <vt:lpstr>'SA2'!TNTest2</vt:lpstr>
      <vt:lpstr>'SA3'!TNTest2</vt:lpstr>
      <vt:lpstr>TNTest2</vt:lpstr>
      <vt:lpstr>PSA!TNTest2_2ndRound</vt:lpstr>
      <vt:lpstr>TNTest2_2ndRound</vt:lpstr>
      <vt:lpstr>PSA!TNTest2_3rdRound</vt:lpstr>
      <vt:lpstr>TNTest2_3rdRound</vt:lpstr>
      <vt:lpstr>PSA!Total_SnParallel</vt:lpstr>
      <vt:lpstr>'SA3'!Total_SnParallel</vt:lpstr>
      <vt:lpstr>Total_SnParallel</vt:lpstr>
      <vt:lpstr>PSA!Total_SnSeq</vt:lpstr>
      <vt:lpstr>'SA3'!Total_SnSeq</vt:lpstr>
      <vt:lpstr>Total_SnSeq</vt:lpstr>
      <vt:lpstr>PSA!Total_SpParallel</vt:lpstr>
      <vt:lpstr>'SA3'!Total_SpParallel</vt:lpstr>
      <vt:lpstr>Total_SpParallel</vt:lpstr>
      <vt:lpstr>PSA!Total_SpSeq</vt:lpstr>
      <vt:lpstr>'SA3'!Total_SpSeq</vt:lpstr>
      <vt:lpstr>Total_SpSeq</vt:lpstr>
      <vt:lpstr>PSA!TPs2ndRound</vt:lpstr>
      <vt:lpstr>TPs2ndRound</vt:lpstr>
      <vt:lpstr>PSA!TPs3rdRound</vt:lpstr>
      <vt:lpstr>TPs3rdRound</vt:lpstr>
      <vt:lpstr>PSA!TPSeq</vt:lpstr>
      <vt:lpstr>'SA1'!TPSeq</vt:lpstr>
      <vt:lpstr>'SA2'!TPSeq</vt:lpstr>
      <vt:lpstr>'SA3'!TPSeq</vt:lpstr>
      <vt:lpstr>TPSeq</vt:lpstr>
      <vt:lpstr>PSA!TPSeq2ndRound</vt:lpstr>
      <vt:lpstr>TPSeq2ndRound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Hosein Shabaninejad</dc:creator>
  <cp:lastModifiedBy>Michael Power</cp:lastModifiedBy>
  <dcterms:created xsi:type="dcterms:W3CDTF">2020-12-07T18:11:32Z</dcterms:created>
  <dcterms:modified xsi:type="dcterms:W3CDTF">2021-04-16T21:48:38Z</dcterms:modified>
</cp:coreProperties>
</file>